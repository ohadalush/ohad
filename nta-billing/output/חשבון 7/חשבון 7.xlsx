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ריכוז" sheetId="1" state="visible" r:id="rId1"/>
    <sheet xmlns:r="http://schemas.openxmlformats.org/officeDocument/2006/relationships" name="רשימת כתובות" sheetId="2" state="visible" r:id="rId2"/>
    <sheet xmlns:r="http://schemas.openxmlformats.org/officeDocument/2006/relationships" name="1549" sheetId="3" state="visible" r:id="rId3"/>
  </sheets>
  <definedNames/>
  <calcPr calcId="124519" fullCalcOnLoad="1"/>
</workbook>
</file>

<file path=xl/styles.xml><?xml version="1.0" encoding="utf-8"?>
<styleSheet xmlns="http://schemas.openxmlformats.org/spreadsheetml/2006/main">
  <numFmts count="2">
    <numFmt numFmtId="164" formatCode="_ &quot;₪&quot;\ * #,##0_ ;_ &quot;₪&quot;\ * \-#,##0_ ;_ &quot;₪&quot;\ * &quot;-&quot;??_ ;_ @_ "/>
    <numFmt numFmtId="165" formatCode="_ &quot;₪&quot;\ * #,##0.00_ ;_ &quot;₪&quot;\ * \-#,##0.00_ ;_ &quot;₪&quot;\ * &quot;-&quot;??_ ;_ @_ "/>
  </numFmts>
  <fonts count="8">
    <font>
      <name val="Calibri"/>
      <family val="2"/>
      <color theme="1"/>
      <sz val="11"/>
      <scheme val="minor"/>
    </font>
    <font>
      <b val="1"/>
    </font>
    <font>
      <name val="Calibri"/>
      <family val="2"/>
      <sz val="11"/>
    </font>
    <font>
      <name val="Arial"/>
      <charset val="177"/>
      <family val="2"/>
      <color theme="1"/>
      <sz val="11"/>
      <scheme val="minor"/>
    </font>
    <font>
      <name val="Calibri"/>
      <family val="2"/>
      <b val="1"/>
      <sz val="11"/>
    </font>
    <font>
      <color rgb="000000FF"/>
    </font>
    <font>
      <name val="Arial"/>
      <b val="1"/>
      <color rgb="00FFFFFF"/>
      <sz val="12"/>
    </font>
    <font>
      <name val="Arial"/>
      <sz val="11"/>
    </font>
  </fonts>
  <fills count="5">
    <fill>
      <patternFill/>
    </fill>
    <fill>
      <patternFill patternType="gray125"/>
    </fill>
    <fill>
      <patternFill patternType="solid">
        <fgColor rgb="FFC8C8C8"/>
      </patternFill>
    </fill>
    <fill>
      <patternFill patternType="solid">
        <fgColor rgb="00C8C8C8"/>
      </patternFill>
    </fill>
    <fill>
      <patternFill patternType="solid">
        <fgColor rgb="002E4A5E"/>
      </patternFill>
    </fill>
  </fills>
  <borders count="6">
    <border>
      <left/>
      <right/>
      <top/>
      <bottom/>
      <diagonal/>
    </border>
    <border>
      <left style="thin">
        <color auto="1"/>
      </left>
      <right style="thin">
        <color auto="1"/>
      </right>
      <top style="double">
        <color rgb="FF008000"/>
      </top>
      <bottom/>
      <diagonal/>
    </border>
    <border>
      <left style="thin">
        <color indexed="64"/>
      </left>
      <right style="thin">
        <color indexed="64"/>
      </right>
      <top style="thin">
        <color indexed="64"/>
      </top>
      <bottom style="thin">
        <color indexed="64"/>
      </bottom>
      <diagonal/>
    </border>
    <border>
      <left style="thin">
        <color auto="1"/>
      </left>
      <right style="thin">
        <color auto="1"/>
      </right>
      <top/>
      <bottom/>
      <diagonal/>
    </border>
    <border>
      <left style="thin"/>
      <right style="thin"/>
      <top style="thin"/>
      <bottom style="thin"/>
    </border>
    <border>
      <left style="thin">
        <color rgb="00C9C9C9"/>
      </left>
      <right style="thin">
        <color rgb="00C9C9C9"/>
      </right>
      <top style="thin">
        <color rgb="00C9C9C9"/>
      </top>
      <bottom style="thin">
        <color rgb="00C9C9C9"/>
      </bottom>
    </border>
  </borders>
  <cellStyleXfs count="1">
    <xf numFmtId="0" fontId="0" fillId="0" borderId="0"/>
  </cellStyleXfs>
  <cellXfs count="28">
    <xf numFmtId="0" fontId="0" fillId="0" borderId="0" pivotButton="0" quotePrefix="0" xfId="0"/>
    <xf numFmtId="0" fontId="1" fillId="0" borderId="0" pivotButton="0" quotePrefix="0" xfId="0"/>
    <xf numFmtId="0" fontId="2" fillId="2" borderId="1" applyAlignment="1" pivotButton="0" quotePrefix="0" xfId="0">
      <alignment horizontal="left"/>
    </xf>
    <xf numFmtId="0" fontId="2" fillId="2" borderId="1" applyAlignment="1" pivotButton="0" quotePrefix="0" xfId="0">
      <alignment horizontal="right" wrapText="1"/>
    </xf>
    <xf numFmtId="0" fontId="2" fillId="2" borderId="1" applyAlignment="1" pivotButton="0" quotePrefix="0" xfId="0">
      <alignment horizontal="right" shrinkToFit="1"/>
    </xf>
    <xf numFmtId="4" fontId="2" fillId="2" borderId="1" applyAlignment="1" pivotButton="0" quotePrefix="0" xfId="0">
      <alignment horizontal="right"/>
    </xf>
    <xf numFmtId="4" fontId="2" fillId="2" borderId="1" applyAlignment="1" pivotButton="0" quotePrefix="0" xfId="0">
      <alignment horizontal="right" wrapText="1"/>
    </xf>
    <xf numFmtId="0" fontId="1" fillId="3" borderId="0" pivotButton="0" quotePrefix="0" xfId="0"/>
    <xf numFmtId="49" fontId="2" fillId="0" borderId="2" applyAlignment="1" pivotButton="0" quotePrefix="0" xfId="0">
      <alignment horizontal="left"/>
    </xf>
    <xf numFmtId="0" fontId="2" fillId="0" borderId="2" applyAlignment="1" pivotButton="0" quotePrefix="0" xfId="0">
      <alignment wrapText="1"/>
    </xf>
    <xf numFmtId="0" fontId="2" fillId="0" borderId="2" applyAlignment="1" pivotButton="0" quotePrefix="0" xfId="0">
      <alignment shrinkToFit="1"/>
    </xf>
    <xf numFmtId="4" fontId="2" fillId="0" borderId="2" applyAlignment="1" pivotButton="0" quotePrefix="0" xfId="0">
      <alignment horizontal="right"/>
    </xf>
    <xf numFmtId="164" fontId="3" fillId="0" borderId="2" applyAlignment="1" pivotButton="0" quotePrefix="0" xfId="0">
      <alignment horizontal="right"/>
    </xf>
    <xf numFmtId="165" fontId="3" fillId="0" borderId="2" pivotButton="0" quotePrefix="0" xfId="0"/>
    <xf numFmtId="4" fontId="0" fillId="0" borderId="4" pivotButton="0" quotePrefix="0" xfId="0"/>
    <xf numFmtId="0" fontId="2" fillId="0" borderId="3" applyAlignment="1" pivotButton="0" quotePrefix="0" xfId="0">
      <alignment horizontal="left"/>
    </xf>
    <xf numFmtId="0" fontId="2" fillId="0" borderId="3" applyAlignment="1" pivotButton="0" quotePrefix="0" xfId="0">
      <alignment wrapText="1"/>
    </xf>
    <xf numFmtId="0" fontId="2" fillId="0" borderId="3" applyAlignment="1" pivotButton="0" quotePrefix="0" xfId="0">
      <alignment shrinkToFit="1"/>
    </xf>
    <xf numFmtId="4" fontId="2" fillId="0" borderId="3" applyAlignment="1" pivotButton="0" quotePrefix="0" xfId="0">
      <alignment horizontal="right"/>
    </xf>
    <xf numFmtId="0" fontId="2" fillId="0" borderId="3" applyAlignment="1" pivotButton="0" quotePrefix="0" xfId="0">
      <alignment horizontal="right"/>
    </xf>
    <xf numFmtId="49" fontId="4" fillId="0" borderId="3" applyAlignment="1" pivotButton="0" quotePrefix="0" xfId="0">
      <alignment horizontal="left"/>
    </xf>
    <xf numFmtId="0" fontId="4" fillId="0" borderId="3" applyAlignment="1" pivotButton="0" quotePrefix="0" xfId="0">
      <alignment wrapText="1"/>
    </xf>
    <xf numFmtId="4" fontId="4" fillId="0" borderId="3" applyAlignment="1" pivotButton="0" quotePrefix="0" xfId="0">
      <alignment horizontal="right"/>
    </xf>
    <xf numFmtId="0" fontId="2" fillId="0" borderId="3" pivotButton="0" quotePrefix="0" xfId="0"/>
    <xf numFmtId="0" fontId="6" fillId="4" borderId="5" applyAlignment="1" pivotButton="0" quotePrefix="0" xfId="0">
      <alignment horizontal="center" vertical="center"/>
    </xf>
    <xf numFmtId="0" fontId="7" fillId="0" borderId="5" applyAlignment="1" pivotButton="0" quotePrefix="0" xfId="0">
      <alignment horizontal="center" vertical="center"/>
    </xf>
    <xf numFmtId="0" fontId="7" fillId="0" borderId="5" applyAlignment="1" pivotButton="0" quotePrefix="0" xfId="0">
      <alignment horizontal="right" vertical="center"/>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55"/>
  <sheetViews>
    <sheetView rightToLeft="1" workbookViewId="0">
      <selection activeCell="A1" sqref="A1"/>
    </sheetView>
  </sheetViews>
  <sheetFormatPr baseColWidth="8" defaultRowHeight="15"/>
  <cols>
    <col width="11.59765625" customWidth="1" min="1" max="1"/>
    <col width="63" customWidth="1" min="2" max="2"/>
    <col width="8.19921875" customWidth="1" min="3" max="3"/>
    <col width="10" customWidth="1" min="4" max="4"/>
    <col width="11.09765625" customWidth="1" min="5" max="5"/>
    <col width="10.19921875" customWidth="1" min="6" max="6"/>
    <col width="12.09765625" customWidth="1" min="7" max="7"/>
    <col width="10" customWidth="1" min="8" max="8"/>
    <col width="14" customWidth="1" min="9" max="9"/>
    <col width="16" customWidth="1" min="10" max="10"/>
    <col width="16" customWidth="1" min="11" max="11"/>
  </cols>
  <sheetData>
    <row r="1" ht="17.4" customHeight="1">
      <c r="A1" s="1" t="inlineStr">
        <is>
          <t>חשבון מרוכז</t>
        </is>
      </c>
    </row>
    <row r="3">
      <c r="H3" s="1" t="inlineStr">
        <is>
          <t>כהן אלדן</t>
        </is>
      </c>
      <c r="I3" s="1" t="inlineStr">
        <is>
          <t>1549</t>
        </is>
      </c>
    </row>
    <row r="4">
      <c r="A4" s="2" t="inlineStr">
        <is>
          <t>סעיף</t>
        </is>
      </c>
      <c r="B4" s="3" t="inlineStr">
        <is>
          <t>תאור</t>
        </is>
      </c>
      <c r="C4" s="4" t="inlineStr">
        <is>
          <t>יח'</t>
        </is>
      </c>
      <c r="D4" s="5" t="inlineStr">
        <is>
          <t>מחיר</t>
        </is>
      </c>
      <c r="E4" s="6" t="inlineStr">
        <is>
          <t>הנחת קבלן 15%</t>
        </is>
      </c>
      <c r="F4" s="6" t="inlineStr">
        <is>
          <t>תוספת דירה מאוכלסת 5%</t>
        </is>
      </c>
      <c r="G4" s="6" t="inlineStr">
        <is>
          <t>סה"כ מחיר יחידה</t>
        </is>
      </c>
      <c r="H4" s="7" t="inlineStr">
        <is>
          <t>כמות</t>
        </is>
      </c>
      <c r="I4" s="7" t="inlineStr">
        <is>
          <t>סה"כ לדירה</t>
        </is>
      </c>
      <c r="J4" s="7" t="inlineStr">
        <is>
          <t>סה"כ כמות חשבון</t>
        </is>
      </c>
      <c r="K4" s="7" t="inlineStr">
        <is>
          <t>סה"כ סכום חשבון</t>
        </is>
      </c>
    </row>
    <row r="5" hidden="1"/>
    <row r="6" hidden="1"/>
    <row r="7">
      <c r="A7" s="8" t="inlineStr">
        <is>
          <t>60.020.0090</t>
        </is>
      </c>
      <c r="B7" s="9" t="inlineStr">
        <is>
          <t>חשמלאי מוסמך</t>
        </is>
      </c>
      <c r="C7" s="10" t="inlineStr">
        <is>
          <t>ש"ע</t>
        </is>
      </c>
      <c r="D7" s="11" t="n">
        <v>150</v>
      </c>
      <c r="E7" s="12">
        <f>IF(D7="","",D7*0.15)</f>
        <v>22.5</v>
      </c>
      <c r="F7" s="13">
        <f>IF(D7="","",D7*0.05)</f>
        <v>7.5</v>
      </c>
      <c r="G7" s="13">
        <f>IF(D7="","",D7*1.05*0.85)</f>
        <v>133.875</v>
      </c>
      <c r="H7" s="14">
        <f>'1549'!D7</f>
        <v>4</v>
      </c>
      <c r="I7" s="14">
        <f>IF(H7="","",H7*G7)</f>
        <v>535.5</v>
      </c>
      <c r="J7" s="14">
        <f>H7</f>
        <v>4</v>
      </c>
      <c r="K7" s="14">
        <f>I7</f>
        <v>535.5</v>
      </c>
    </row>
    <row r="8" hidden="1" ht="15.6" customHeight="1">
      <c r="A8" s="8" t="inlineStr">
        <is>
          <t>09</t>
        </is>
      </c>
      <c r="B8" s="9" t="inlineStr">
        <is>
          <t>עבודות טיח</t>
        </is>
      </c>
      <c r="C8" s="10" t="inlineStr"/>
      <c r="D8" s="11" t="n"/>
      <c r="E8" s="12" t="n"/>
      <c r="F8" s="13" t="n"/>
      <c r="G8" s="13" t="n"/>
    </row>
    <row r="9" hidden="1" ht="15.6" customHeight="1">
      <c r="A9" s="8" t="inlineStr">
        <is>
          <t>09.011</t>
        </is>
      </c>
      <c r="B9" s="9" t="inlineStr">
        <is>
          <t>טיח פנים</t>
        </is>
      </c>
      <c r="C9" s="10" t="inlineStr"/>
      <c r="D9" s="11" t="n"/>
      <c r="E9" s="12" t="n"/>
      <c r="F9" s="13" t="n"/>
      <c r="G9" s="13" t="n"/>
    </row>
    <row r="10" ht="57.6" customHeight="1">
      <c r="A10" s="8" t="inlineStr">
        <is>
          <t>09.011.9030</t>
        </is>
      </c>
      <c r="B10" s="9" t="inlineStr">
        <is>
          <t>תיקוני טיח פנים קיים על שטחים מישוריים ברצועות רוחב מעל 15 ס"מ ועד 30 ס"מ לאחר הנחת קווי מים, חשמל וכד' בקירות, סביב משקופי חלונות ודלתות שהורכבו בקירות קיימים, במפגשים בין קירות ו/או תקרות חדשים לקיימים הכל לרבות סיתות והתאמת עובי הטיח החדש לקיים</t>
        </is>
      </c>
      <c r="C10" s="10" t="inlineStr">
        <is>
          <t>מ'</t>
        </is>
      </c>
      <c r="D10" s="11" t="n">
        <v>64</v>
      </c>
      <c r="E10" s="12">
        <f>IF(D10="","",D10*0.15)</f>
        <v>9.6</v>
      </c>
      <c r="F10" s="13">
        <f>IF(D10="","",D10*0.05)</f>
        <v>3.2</v>
      </c>
      <c r="G10" s="13">
        <f>IF(D10="","",D10*1.05*0.85)</f>
        <v>57.12</v>
      </c>
      <c r="H10" s="14">
        <f>'1549'!D10</f>
        <v>31.96</v>
      </c>
      <c r="I10" s="14">
        <f>IF(H10="","",H10*G10)</f>
        <v>1825.5552</v>
      </c>
      <c r="J10" s="14">
        <f>H10</f>
        <v>31.96</v>
      </c>
      <c r="K10" s="14">
        <f>I10</f>
        <v>1825.5552</v>
      </c>
    </row>
    <row r="11" hidden="1" ht="15.6" customHeight="1">
      <c r="A11" s="8" t="inlineStr">
        <is>
          <t>11</t>
        </is>
      </c>
      <c r="B11" s="9" t="inlineStr">
        <is>
          <t>עבודות צביעה</t>
        </is>
      </c>
      <c r="C11" s="10" t="inlineStr"/>
      <c r="D11" s="11" t="n"/>
      <c r="E11" s="12" t="n"/>
      <c r="F11" s="13" t="n"/>
      <c r="G11" s="13" t="n"/>
    </row>
    <row r="12" hidden="1" ht="15.6" customHeight="1">
      <c r="A12" s="8" t="inlineStr">
        <is>
          <t>11.011</t>
        </is>
      </c>
      <c r="B12" s="9" t="inlineStr">
        <is>
          <t>צבע וסיוד פנים, על טיח, בטון, בלוקים וגבס</t>
        </is>
      </c>
      <c r="C12" s="10" t="inlineStr"/>
      <c r="D12" s="11" t="n"/>
      <c r="E12" s="12" t="n"/>
      <c r="F12" s="13" t="n"/>
      <c r="G12" s="13" t="n"/>
    </row>
    <row r="13" ht="43.2" customHeight="1">
      <c r="A13" s="8" t="inlineStr">
        <is>
          <t>11.011.9660</t>
        </is>
      </c>
      <c r="B13" s="9" t="inlineStr">
        <is>
          <t>חידוש צבע פנים על קירות בדירת חדר מרוהטת בשטח 25-35 מ"ר ובגובה עד 2.70 מ'. הקירות ייצבעו בצבע אקרילי, ללא צביעת התקרות, לרבות הסרת צבע רופף, תיקונים קלים וסתימת חורים, ליטוש הקיר וניקוי שאריות הצבע בגמר העבודה</t>
        </is>
      </c>
      <c r="C13" s="10" t="inlineStr">
        <is>
          <t>קומפ</t>
        </is>
      </c>
      <c r="D13" s="11" t="n">
        <v>1770</v>
      </c>
      <c r="E13" s="12">
        <f>IF(D13="","",D13*0.15)</f>
        <v>265.5</v>
      </c>
      <c r="F13" s="13">
        <f>IF(D13="","",D13*0.05)</f>
        <v>88.5</v>
      </c>
      <c r="G13" s="13">
        <f>IF(D13="","",D13*1.05*0.85)</f>
        <v>1579.725</v>
      </c>
      <c r="H13" s="14">
        <f>'1549'!D13</f>
        <v>4</v>
      </c>
      <c r="I13" s="14">
        <f>IF(H13="","",H13*G13)</f>
        <v>6318.9</v>
      </c>
      <c r="J13" s="14">
        <f>H13</f>
        <v>4</v>
      </c>
      <c r="K13" s="14">
        <f>I13</f>
        <v>6318.9</v>
      </c>
    </row>
    <row r="14" hidden="1"/>
    <row r="15" hidden="1" ht="15.6" customHeight="1">
      <c r="A15" s="8" t="inlineStr">
        <is>
          <t>12</t>
        </is>
      </c>
      <c r="B15" s="9" t="inlineStr">
        <is>
          <t>עבודות אלומיניום</t>
        </is>
      </c>
      <c r="C15" s="10" t="inlineStr"/>
      <c r="D15" s="11" t="n"/>
      <c r="E15" s="12" t="n"/>
      <c r="F15" s="13" t="n"/>
      <c r="G15" s="13" t="n"/>
    </row>
    <row r="16" hidden="1" ht="15.6" customHeight="1">
      <c r="A16" s="8" t="inlineStr">
        <is>
          <t>12.011</t>
        </is>
      </c>
      <c r="B16" s="9" t="inlineStr">
        <is>
          <t>חלון אלומיניום נגרר אגף על אגף (הזזה) של 2 אגפים ב-2 מסלולים</t>
        </is>
      </c>
      <c r="C16" s="10" t="inlineStr"/>
      <c r="D16" s="11" t="n"/>
      <c r="E16" s="12" t="n"/>
      <c r="F16" s="13" t="n"/>
      <c r="G16" s="13" t="n"/>
    </row>
    <row r="17" hidden="1" ht="28.8" customHeight="1">
      <c r="A17" s="8" t="inlineStr">
        <is>
          <t>12.011.0210</t>
        </is>
      </c>
      <c r="B17" s="9" t="inlineStr">
        <is>
          <t>חלון נגרר אגף על אגף של 2 אגפים ב-2 מסלולים מאולגן/צבוע כדוגמת קליל קלאסי 7000 או ש"ע, זכוכית שקופה בידודית 5+6+6 מ"מ, בשטח מעל 1.0 מ"ר ועד 2.0 מ"ר</t>
        </is>
      </c>
      <c r="C17" s="10" t="inlineStr">
        <is>
          <t>מ"ר</t>
        </is>
      </c>
      <c r="D17" s="11" t="n">
        <v>1760</v>
      </c>
      <c r="E17" s="12">
        <f>IF(D17="","",D17*0.15)</f>
        <v>264</v>
      </c>
      <c r="F17" s="13">
        <f>IF(D17="","",D17*0.05)</f>
        <v>88</v>
      </c>
      <c r="G17" s="13">
        <f>IF(D17="","",D17*1.05*0.85)</f>
        <v>1570.8</v>
      </c>
      <c r="H17" s="14">
        <f>'1549'!D17</f>
        <v>0</v>
      </c>
      <c r="I17" s="14">
        <f>IF(H17="","",H17*G17)</f>
        <v>0</v>
      </c>
      <c r="J17" s="14">
        <f>H17</f>
        <v>0</v>
      </c>
      <c r="K17" s="14">
        <f>I17</f>
        <v>0</v>
      </c>
    </row>
    <row r="18" hidden="1" ht="28.8" customHeight="1">
      <c r="A18" s="8" t="inlineStr">
        <is>
          <t>12.011.0260</t>
        </is>
      </c>
      <c r="B18" s="9" t="inlineStr">
        <is>
          <t>חלון נגרר אגף על אגף של 2 אגפים ב-2 מסלולים מאולגן/צבוע כדוגמת קליל קלאסי 9000 או ש"ע, זכוכית שקופה בידודית 5+6+6 מ"מ, בשטח מעל 0.6 מ"ר ועד 1.0 מ"ר</t>
        </is>
      </c>
      <c r="C18" s="10" t="inlineStr">
        <is>
          <t>מ"ר</t>
        </is>
      </c>
      <c r="D18" s="11" t="n">
        <v>2440</v>
      </c>
      <c r="E18" s="12">
        <f>IF(D18="","",D18*0.15)</f>
        <v>366</v>
      </c>
      <c r="F18" s="13">
        <f>IF(D18="","",D18*0.05)</f>
        <v>122</v>
      </c>
      <c r="G18" s="13">
        <f>IF(D18="","",D18*1.05*0.85)</f>
        <v>2177.7</v>
      </c>
      <c r="H18" s="14">
        <f>'1549'!D18</f>
        <v>0</v>
      </c>
      <c r="I18" s="14">
        <f>IF(H18="","",H18*G18)</f>
        <v>0</v>
      </c>
      <c r="J18" s="14">
        <f>H18</f>
        <v>0</v>
      </c>
      <c r="K18" s="14">
        <f>I18</f>
        <v>0</v>
      </c>
    </row>
    <row r="19" hidden="1" ht="28.8" customHeight="1">
      <c r="A19" s="8" t="inlineStr">
        <is>
          <t>12.011.0265</t>
        </is>
      </c>
      <c r="B19" s="9" t="inlineStr">
        <is>
          <t>חלון נגרר אגף על אגף של 2 אגפים ב-2 מסלולים מאולגן/צבוע כדוגמת קליל קלאסי 9000 או ש"ע, זכוכית שקופה בידודית 5+6+6 מ"מ, בשטח מעל 1.0 מ"ר ועד 2.0 מ"ר</t>
        </is>
      </c>
      <c r="C19" s="10" t="inlineStr">
        <is>
          <t>מ"ר</t>
        </is>
      </c>
      <c r="D19" s="11" t="n">
        <v>2120</v>
      </c>
      <c r="E19" s="12">
        <f>IF(D19="","",D19*0.15)</f>
        <v>318</v>
      </c>
      <c r="F19" s="13">
        <f>IF(D19="","",D19*0.05)</f>
        <v>106</v>
      </c>
      <c r="G19" s="13">
        <f>IF(D19="","",D19*1.05*0.85)</f>
        <v>1892.1</v>
      </c>
      <c r="H19" s="14">
        <f>'1549'!D19</f>
        <v>0</v>
      </c>
      <c r="I19" s="14">
        <f>IF(H19="","",H19*G19)</f>
        <v>0</v>
      </c>
      <c r="J19" s="14">
        <f>H19</f>
        <v>0</v>
      </c>
      <c r="K19" s="14">
        <f>I19</f>
        <v>0</v>
      </c>
    </row>
    <row r="20" hidden="1" ht="28.8" customHeight="1">
      <c r="A20" s="8" t="inlineStr">
        <is>
          <t>12.011.0270</t>
        </is>
      </c>
      <c r="B20" s="9" t="inlineStr">
        <is>
          <t>חלון נגרר אגף על אגף של 2 אגפים ב-2 מסלולים מאולגן/צבוע כדוגמת קליל קלאסי 9000 או ש"ע, זכוכית שקופה בידודית מחוסמת דו צדדי 6+10+8 מ"מ, בשטח מעל 2.0 מ"ר ועד 3.0 מ"ר</t>
        </is>
      </c>
      <c r="C20" s="10" t="inlineStr">
        <is>
          <t>מ"ר</t>
        </is>
      </c>
      <c r="D20" s="11" t="n">
        <v>1980</v>
      </c>
      <c r="E20" s="12">
        <f>IF(D20="","",D20*0.15)</f>
        <v>297</v>
      </c>
      <c r="F20" s="13">
        <f>IF(D20="","",D20*0.05)</f>
        <v>99</v>
      </c>
      <c r="G20" s="13">
        <f>IF(D20="","",D20*1.05*0.85)</f>
        <v>1767.1499999999999</v>
      </c>
      <c r="H20" s="14">
        <f>'1549'!D20</f>
        <v>0</v>
      </c>
      <c r="I20" s="14">
        <f>IF(H20="","",H20*G20)</f>
        <v>0</v>
      </c>
      <c r="J20" s="14">
        <f>H20</f>
        <v>0</v>
      </c>
      <c r="K20" s="14">
        <f>I20</f>
        <v>0</v>
      </c>
    </row>
    <row r="21">
      <c r="A21" s="8" t="inlineStr">
        <is>
          <t>12.011.0275</t>
        </is>
      </c>
      <c r="B21" s="9" t="inlineStr">
        <is>
          <t>חלון נגרר אגף על אגף של 2 אגפים ב-2 מסלולים מאולגן/צבוע כדוגמת קליל קלאסי 9000 או ש"ע, זכוכית שקופה בידודית מחוסמת דו צדדי 6+10+8 מ"מ, בשטח מעל 3.0 מ"ר ועד 4.0 מ"ר</t>
        </is>
      </c>
      <c r="C21" s="10" t="inlineStr">
        <is>
          <t>מ"ר</t>
        </is>
      </c>
      <c r="D21" s="11" t="n">
        <v>1760</v>
      </c>
      <c r="E21" s="12">
        <f>IF(D21="","",D21*0.15)</f>
        <v>264</v>
      </c>
      <c r="F21" s="13">
        <f>IF(D21="","",D21*0.05)</f>
        <v>88</v>
      </c>
      <c r="G21" s="13">
        <f>IF(D21="","",D21*1.05*0.85)</f>
        <v>1570.8</v>
      </c>
      <c r="H21" s="14">
        <f>'1549'!D21</f>
        <v>11.115</v>
      </c>
      <c r="I21" s="14">
        <f>IF(H21="","",H21*G21)</f>
        <v>17459.442</v>
      </c>
      <c r="J21" s="14">
        <f>H21</f>
        <v>11.115</v>
      </c>
      <c r="K21" s="14">
        <f>I21</f>
        <v>17459.442</v>
      </c>
    </row>
    <row r="22" hidden="1">
      <c r="A22" s="8" t="inlineStr">
        <is>
          <t>12.011.0280</t>
        </is>
      </c>
      <c r="B22" s="9" t="inlineStr">
        <is>
          <t>חלון נגרר אגף על אגף של 2 אגפים ב-2 מסלולים מאולגן/צבוע כדוגמת קליל קלאסי 9000 או ש"ע, זכוכית שקופה בידודית מחוסמת דו צדדי 6+10+10 מ"מ, בשטח מעל 4.0 מ"ר ועד 5.0 מ"ר</t>
        </is>
      </c>
      <c r="C22" s="10" t="inlineStr">
        <is>
          <t>מ"ר</t>
        </is>
      </c>
      <c r="D22" s="11" t="n">
        <v>1630</v>
      </c>
      <c r="E22" s="12">
        <f>IF(D22="","",D22*0.15)</f>
        <v>244.5</v>
      </c>
      <c r="F22" s="13">
        <f>IF(D22="","",D22*0.05)</f>
        <v>81.5</v>
      </c>
      <c r="G22" s="13">
        <f>IF(D22="","",D22*1.05*0.85)</f>
        <v>1454.7749999999999</v>
      </c>
      <c r="H22" s="14">
        <f>'1549'!D22</f>
        <v>0</v>
      </c>
      <c r="I22" s="14">
        <f>IF(H22="","",H22*G22)</f>
        <v>0</v>
      </c>
      <c r="J22" s="14">
        <f>H22</f>
        <v>0</v>
      </c>
      <c r="K22" s="14">
        <f>I22</f>
        <v>0</v>
      </c>
    </row>
    <row r="23" hidden="1">
      <c r="A23" s="8" t="inlineStr">
        <is>
          <t>12.011.0285</t>
        </is>
      </c>
      <c r="B23" s="9" t="inlineStr">
        <is>
          <t>חלון נגרר אגף על אגף של 2 אגפים ב-2 מסלולים מאולגן/צבוע כדוגמת קליל קלאסי 9000 או ש"ע, זכוכית שקופה בידודית מחוסמת דו צדדי 6+10+8 מ"מ, בשטח מעל 5.0 מ"ר ועד 6.0 מ"ר</t>
        </is>
      </c>
      <c r="C23" s="10" t="inlineStr">
        <is>
          <t>מ"ר</t>
        </is>
      </c>
      <c r="D23" s="11" t="n">
        <v>1490</v>
      </c>
      <c r="E23" s="12">
        <f>IF(D23="","",D23*0.15)</f>
        <v>223.5</v>
      </c>
      <c r="F23" s="13">
        <f>IF(D23="","",D23*0.05)</f>
        <v>74.5</v>
      </c>
      <c r="G23" s="13">
        <f>IF(D23="","",D23*1.05*0.85)</f>
        <v>1329.825</v>
      </c>
      <c r="H23" s="14">
        <f>'1549'!D23</f>
        <v>0</v>
      </c>
      <c r="I23" s="14">
        <f>IF(H23="","",H23*G23)</f>
        <v>0</v>
      </c>
      <c r="J23" s="14">
        <f>H23</f>
        <v>0</v>
      </c>
      <c r="K23" s="14">
        <f>I23</f>
        <v>0</v>
      </c>
    </row>
    <row r="24" hidden="1" ht="15.6" customHeight="1">
      <c r="A24" s="8" t="inlineStr">
        <is>
          <t>12.012.0100</t>
        </is>
      </c>
      <c r="B24" s="9" t="inlineStr">
        <is>
          <t>חלון נגרר אגף על אגף של 3 אגפים ב-3 מסלולים מאולגן/צבוע כדוגמת קליל קלאסי 9000 או ש"ע, זכוכית שקופה בידודית 5+6+6 מ"מ, בשטח מעל 1.0 מ"ר ועד 2.0 מ"ר</t>
        </is>
      </c>
      <c r="C24" s="10" t="inlineStr">
        <is>
          <t>מ"ר</t>
        </is>
      </c>
      <c r="D24" s="11" t="n">
        <v>2210</v>
      </c>
      <c r="E24" s="12">
        <f>IF(D24="","",D24*0.15)</f>
        <v>331.5</v>
      </c>
      <c r="F24" s="13">
        <f>IF(D24="","",D24*0.05)</f>
        <v>110.5</v>
      </c>
      <c r="G24" s="13">
        <f>IF(D24="","",D24*1.05*0.85)</f>
        <v>1972.425</v>
      </c>
      <c r="H24" s="14">
        <f>'1549'!D24</f>
        <v>0</v>
      </c>
      <c r="I24" s="14">
        <f>IF(H24="","",H24*G24)</f>
        <v>0</v>
      </c>
      <c r="J24" s="14">
        <f>H24</f>
        <v>0</v>
      </c>
      <c r="K24" s="14">
        <f>I24</f>
        <v>0</v>
      </c>
    </row>
    <row r="25" hidden="1" ht="28.8" customHeight="1">
      <c r="A25" s="8" t="inlineStr">
        <is>
          <t>12.012.0110</t>
        </is>
      </c>
      <c r="B25" s="9" t="inlineStr">
        <is>
          <t>חלון נגרר אגף על אגף של 3 אגפים ב-3 מסלולים מאולגן/צבוע כדוגמת קליל קלאסי 9000 או ש"ע, זכוכית שקופה בידודית 5+6+6 מ"מ, בשטח מעל 2.0 מ"ר ועד 3.0 מ"ר</t>
        </is>
      </c>
      <c r="C25" s="10" t="inlineStr">
        <is>
          <t>מ"ר</t>
        </is>
      </c>
      <c r="D25" s="11" t="n">
        <v>2110</v>
      </c>
      <c r="E25" s="12">
        <f>IF(D25="","",D25*0.15)</f>
        <v>316.5</v>
      </c>
      <c r="F25" s="13">
        <f>IF(D25="","",D25*0.05)</f>
        <v>105.5</v>
      </c>
      <c r="G25" s="13">
        <f>IF(D25="","",D25*1.05*0.85)</f>
        <v>1883.175</v>
      </c>
      <c r="H25" s="14">
        <f>'1549'!D25</f>
        <v>0</v>
      </c>
      <c r="I25" s="14">
        <f>IF(H25="","",H25*G25)</f>
        <v>0</v>
      </c>
      <c r="J25" s="14">
        <f>H25</f>
        <v>0</v>
      </c>
      <c r="K25" s="14">
        <f>I25</f>
        <v>0</v>
      </c>
    </row>
    <row r="26" hidden="1" ht="28.8" customHeight="1">
      <c r="A26" s="8" t="inlineStr">
        <is>
          <t>12.012.0120</t>
        </is>
      </c>
      <c r="B26" s="9" t="inlineStr">
        <is>
          <t>חלון נגרר אגף על אגף של 3 אגפים ב-3 מסלולים מאולגן/צבוע כדוגמת קליל קלאסי 9000 או ש"ע, זכוכית שקופה בידודית מחוסמת דו צדדי 6+10+8 מ"מ, בשטח מעל 3.0 מ"ר ועד 5.0 מ"ר</t>
        </is>
      </c>
      <c r="C26" s="10" t="inlineStr">
        <is>
          <t>מ"ר</t>
        </is>
      </c>
      <c r="D26" s="11" t="n">
        <v>2060</v>
      </c>
      <c r="E26" s="12">
        <f>IF(D26="","",D26*0.15)</f>
        <v>309</v>
      </c>
      <c r="F26" s="13">
        <f>IF(D26="","",D26*0.05)</f>
        <v>103</v>
      </c>
      <c r="G26" s="13">
        <f>IF(D26="","",D26*1.05*0.85)</f>
        <v>1838.55</v>
      </c>
      <c r="H26" s="14">
        <f>'1549'!D26</f>
        <v>0</v>
      </c>
      <c r="I26" s="14">
        <f>IF(H26="","",H26*G26)</f>
        <v>0</v>
      </c>
      <c r="J26" s="14">
        <f>H26</f>
        <v>0</v>
      </c>
      <c r="K26" s="14">
        <f>I26</f>
        <v>0</v>
      </c>
    </row>
    <row r="27" hidden="1" ht="28.8" customHeight="1">
      <c r="A27" s="8" t="inlineStr">
        <is>
          <t>12.012.0130</t>
        </is>
      </c>
      <c r="B27" s="9" t="inlineStr">
        <is>
          <t>חלון נגרר אגף על אגף של 3 אגפים ב-3 מסלולים מאולגן/צבוע כדוגמת קליל קלאסי 9000 או ש"ע, זכוכית שקופה בידודית מחוסמת דו צדדי 6+10+8 מ"מ, בשטח מעל 5.0 מ"ר ועד 7.0 מ"ר</t>
        </is>
      </c>
      <c r="C27" s="10" t="inlineStr">
        <is>
          <t>מ"ר</t>
        </is>
      </c>
      <c r="D27" s="11" t="n">
        <v>1970</v>
      </c>
      <c r="E27" s="12">
        <f>IF(D27="","",D27*0.15)</f>
        <v>295.5</v>
      </c>
      <c r="F27" s="13">
        <f>IF(D27="","",D27*0.05)</f>
        <v>98.5</v>
      </c>
      <c r="G27" s="13">
        <f>IF(D27="","",D27*1.05*0.85)</f>
        <v>1758.225</v>
      </c>
      <c r="H27" s="14">
        <f>'1549'!D27</f>
        <v>0</v>
      </c>
      <c r="I27" s="14">
        <f>IF(H27="","",H27*G27)</f>
        <v>0</v>
      </c>
      <c r="J27" s="14">
        <f>H27</f>
        <v>0</v>
      </c>
      <c r="K27" s="14">
        <f>I27</f>
        <v>0</v>
      </c>
    </row>
    <row r="28" hidden="1" ht="15.6" customHeight="1">
      <c r="A28" s="8" t="inlineStr">
        <is>
          <t>12.012.0560</t>
        </is>
      </c>
      <c r="B28" s="9" t="inlineStr">
        <is>
          <t>חלון נגרר אגף על אגף של 4 אגפים ב-2 מסלולים מאולגן/צבוע כדוגמת קליל קלאסי 9000 או ש"ע, זכוכית שקופה בידודית 6+10+8 מ"מ, בשטח מעל 3.0 מ"ר ועד 5.0 מ"ר</t>
        </is>
      </c>
      <c r="C28" s="10" t="inlineStr">
        <is>
          <t>מ"ר</t>
        </is>
      </c>
      <c r="D28" s="11" t="n">
        <v>2300</v>
      </c>
      <c r="E28" s="12">
        <f>IF(D28="","",D28*0.15)</f>
        <v>345</v>
      </c>
      <c r="F28" s="13">
        <f>IF(D28="","",D28*0.05)</f>
        <v>115</v>
      </c>
      <c r="G28" s="13">
        <f>IF(D28="","",D28*1.05*0.85)</f>
        <v>2052.75</v>
      </c>
      <c r="H28" s="14">
        <f>'1549'!D28</f>
        <v>0</v>
      </c>
      <c r="I28" s="14">
        <f>IF(H28="","",H28*G28)</f>
        <v>0</v>
      </c>
      <c r="J28" s="14">
        <f>H28</f>
        <v>0</v>
      </c>
      <c r="K28" s="14">
        <f>I28</f>
        <v>0</v>
      </c>
    </row>
    <row r="29" ht="28.8" customHeight="1">
      <c r="A29" s="8" t="inlineStr">
        <is>
          <t>12.011.1001</t>
        </is>
      </c>
      <c r="B29" s="9" t="inlineStr">
        <is>
          <t>תוספת עבור חלק קבוע בחלון נגרר אגף על אגף של 2 אגפים. התוספת הינה 15% למחיר מ"ר של החלון</t>
        </is>
      </c>
      <c r="C29" s="10" t="inlineStr">
        <is>
          <t>קומפ</t>
        </is>
      </c>
      <c r="D29" s="11" t="n">
        <v>0.15</v>
      </c>
      <c r="E29" s="12">
        <f>IF(D29="","",D29*0.15)</f>
        <v>0.0225</v>
      </c>
      <c r="F29" s="13">
        <f>IF(D29="","",D29*0.05)</f>
        <v>0.0075</v>
      </c>
      <c r="G29" s="13">
        <f>IF(D29="","",D29*1.05*0.85)</f>
        <v>0.133875</v>
      </c>
      <c r="H29" s="14">
        <f>'1549'!D29</f>
        <v>19562.4</v>
      </c>
      <c r="I29" s="14">
        <f>IF(H29="","",H29*G29)</f>
        <v>2618.9163</v>
      </c>
      <c r="J29" s="14">
        <f>H29</f>
        <v>19562.4</v>
      </c>
      <c r="K29" s="14">
        <f>I29</f>
        <v>2618.9163</v>
      </c>
    </row>
    <row r="30" hidden="1" ht="28.8" customHeight="1">
      <c r="A30" s="8" t="inlineStr">
        <is>
          <t>12.011.9000</t>
        </is>
      </c>
      <c r="B30" s="9" t="inlineStr">
        <is>
          <t>פירוק חלונות אלומיניום ומשקופיהם בשטח של עד 2 מ"ר</t>
        </is>
      </c>
      <c r="C30" s="10" t="inlineStr">
        <is>
          <t>יח'</t>
        </is>
      </c>
      <c r="D30" s="11" t="n">
        <v>140</v>
      </c>
      <c r="E30" s="12">
        <f>IF(D30="","",D30*0.15)</f>
        <v>21</v>
      </c>
      <c r="F30" s="13">
        <f>IF(D30="","",D30*0.05)</f>
        <v>7</v>
      </c>
      <c r="G30" s="13">
        <f>IF(D30="","",D30*1.05*0.85)</f>
        <v>124.95</v>
      </c>
      <c r="H30" s="14">
        <f>'1549'!D30</f>
        <v>0</v>
      </c>
      <c r="I30" s="14">
        <f>IF(H30="","",H30*G30)</f>
        <v>0</v>
      </c>
      <c r="J30" s="14">
        <f>H30</f>
        <v>0</v>
      </c>
      <c r="K30" s="14">
        <f>I30</f>
        <v>0</v>
      </c>
    </row>
    <row r="31" hidden="1" ht="15.6" customHeight="1">
      <c r="A31" s="8" t="inlineStr">
        <is>
          <t>12.011.9016</t>
        </is>
      </c>
      <c r="B31" s="9" t="inlineStr">
        <is>
          <t>פירוק חלונות אלומיניום ומשקופיהם בשטח של מעל 2 מ"ר ועד 3 מ"ר</t>
        </is>
      </c>
      <c r="C31" s="10" t="inlineStr">
        <is>
          <t>יח'</t>
        </is>
      </c>
      <c r="D31" s="11" t="n">
        <v>240</v>
      </c>
      <c r="E31" s="12">
        <f>IF(D31="","",D31*0.15)</f>
        <v>36</v>
      </c>
      <c r="F31" s="13">
        <f>IF(D31="","",D31*0.05)</f>
        <v>12</v>
      </c>
      <c r="G31" s="13">
        <f>IF(D31="","",D31*1.05*0.85)</f>
        <v>214.2</v>
      </c>
      <c r="H31" s="14">
        <f>'1549'!D31</f>
        <v>0</v>
      </c>
      <c r="I31" s="14">
        <f>IF(H31="","",H31*G31)</f>
        <v>0</v>
      </c>
      <c r="J31" s="14">
        <f>H31</f>
        <v>0</v>
      </c>
      <c r="K31" s="14">
        <f>I31</f>
        <v>0</v>
      </c>
    </row>
    <row r="32" ht="28.8" customHeight="1">
      <c r="A32" s="8" t="inlineStr">
        <is>
          <t>12.011.9017</t>
        </is>
      </c>
      <c r="B32" s="9" t="inlineStr">
        <is>
          <t>פירוק חלונות אלומיניום ומשקופיהם בשטח של מעל 3 מ"ר ועד 5 מ"ר</t>
        </is>
      </c>
      <c r="C32" s="10" t="inlineStr">
        <is>
          <t>יח'</t>
        </is>
      </c>
      <c r="D32" s="11" t="n">
        <v>310</v>
      </c>
      <c r="E32" s="12">
        <f>IF(D32="","",D32*0.15)</f>
        <v>46.5</v>
      </c>
      <c r="F32" s="13">
        <f>IF(D32="","",D32*0.05)</f>
        <v>15.5</v>
      </c>
      <c r="G32" s="13">
        <f>IF(D32="","",D32*1.05*0.85)</f>
        <v>276.675</v>
      </c>
      <c r="H32" s="14">
        <f>'1549'!D32</f>
        <v>3</v>
      </c>
      <c r="I32" s="14">
        <f>IF(H32="","",H32*G32)</f>
        <v>830.0250000000001</v>
      </c>
      <c r="J32" s="14">
        <f>H32</f>
        <v>3</v>
      </c>
      <c r="K32" s="14">
        <f>I32</f>
        <v>830.0250000000001</v>
      </c>
    </row>
    <row r="33" hidden="1" ht="28.8" customHeight="1">
      <c r="A33" s="8" t="inlineStr">
        <is>
          <t>12.014</t>
        </is>
      </c>
      <c r="B33" s="9" t="inlineStr">
        <is>
          <t>חלון אלומיניום ציר צד וחלון דו-צירי סב-נטוי (DREH-KIPP)</t>
        </is>
      </c>
      <c r="C33" s="10" t="inlineStr"/>
      <c r="D33" s="11" t="n"/>
      <c r="E33" s="12" t="n"/>
      <c r="F33" s="13" t="n"/>
      <c r="G33" s="13" t="n"/>
    </row>
    <row r="34" hidden="1" ht="28.8" customHeight="1">
      <c r="A34" s="8" t="inlineStr">
        <is>
          <t>12.014.0400</t>
        </is>
      </c>
      <c r="B34" s="9" t="inlineStr">
        <is>
          <t>חלון ציר-צד מאולגן/צבוע כדוגמת קליל קלאסי 4500 או ש"ע, זכוכית שקופה בידודית 5+6+6 מ"מ, בשטח מעל 0.6 מ"ר ועד 1.0 מ"ר</t>
        </is>
      </c>
      <c r="C34" s="10" t="inlineStr">
        <is>
          <t>מ"ר</t>
        </is>
      </c>
      <c r="D34" s="11" t="n">
        <v>2220</v>
      </c>
      <c r="E34" s="12">
        <f>IF(D34="","",D34*0.15)</f>
        <v>333</v>
      </c>
      <c r="F34" s="13">
        <f>IF(D34="","",D34*0.05)</f>
        <v>111</v>
      </c>
      <c r="G34" s="13">
        <f>IF(D34="","",D34*1.05*0.85)</f>
        <v>1981.35</v>
      </c>
      <c r="H34" s="14">
        <f>'1549'!D34</f>
        <v>0</v>
      </c>
      <c r="I34" s="14">
        <f>IF(H34="","",H34*G34)</f>
        <v>0</v>
      </c>
      <c r="J34" s="14">
        <f>H34</f>
        <v>0</v>
      </c>
      <c r="K34" s="14">
        <f>I34</f>
        <v>0</v>
      </c>
    </row>
    <row r="35" hidden="1" ht="15.6" customHeight="1">
      <c r="A35" s="8" t="inlineStr">
        <is>
          <t>12.014.0650</t>
        </is>
      </c>
      <c r="B35" s="9" t="inlineStr">
        <is>
          <t>חלון ציר-צד מאולגן/צבוע כדוגמת קליל קלאסי 4500 או ש"ע, זכוכית שקופה בידודית 5+6+6 מ"מ, בשטח מעל 0.6 מ"ר ועד 1.0 מ"ר</t>
        </is>
      </c>
      <c r="C35" s="10" t="inlineStr">
        <is>
          <t>מ"ר</t>
        </is>
      </c>
      <c r="D35" s="11" t="n">
        <v>2790</v>
      </c>
      <c r="E35" s="12">
        <f>IF(D35="","",D35*0.15)</f>
        <v>418.5</v>
      </c>
      <c r="F35" s="13">
        <f>IF(D35="","",D35*0.05)</f>
        <v>139.5</v>
      </c>
      <c r="G35" s="13">
        <f>IF(D35="","",D35*1.05*0.85)</f>
        <v>2490.075</v>
      </c>
      <c r="H35" s="14">
        <f>'1549'!D35</f>
        <v>0</v>
      </c>
      <c r="I35" s="14">
        <f>IF(H35="","",H35*G35)</f>
        <v>0</v>
      </c>
      <c r="J35" s="14">
        <f>H35</f>
        <v>0</v>
      </c>
      <c r="K35" s="14">
        <f>I35</f>
        <v>0</v>
      </c>
    </row>
    <row r="36" hidden="1" ht="28.8" customHeight="1">
      <c r="A36" s="8" t="inlineStr">
        <is>
          <t>12.014.0660</t>
        </is>
      </c>
      <c r="B36" s="9" t="inlineStr">
        <is>
          <t>חלון דו-צירי סב נטוי (דריי קיפ), מאולגן/צבוע כדוגמת קליל קלאסי 4500 או ש"ע, זכוכית שקופה בידודית מחוסמת דו צדדי 6+10+8 מ"מ, בשטח מעל 1.0 מ"ר ועד 2.0 מ"ר</t>
        </is>
      </c>
      <c r="C36" s="10" t="inlineStr">
        <is>
          <t>מ"ר</t>
        </is>
      </c>
      <c r="D36" s="11" t="n">
        <v>2700</v>
      </c>
      <c r="E36" s="12">
        <f>IF(D36="","",D36*0.15)</f>
        <v>405</v>
      </c>
      <c r="F36" s="13">
        <f>IF(D36="","",D36*0.05)</f>
        <v>135</v>
      </c>
      <c r="G36" s="13">
        <f>IF(D36="","",D36*1.05*0.85)</f>
        <v>2409.75</v>
      </c>
      <c r="H36" s="14">
        <f>'1549'!D36</f>
        <v>0</v>
      </c>
      <c r="I36" s="14">
        <f>IF(H36="","",H36*G36)</f>
        <v>0</v>
      </c>
      <c r="J36" s="14">
        <f>H36</f>
        <v>0</v>
      </c>
      <c r="K36" s="14">
        <f>I36</f>
        <v>0</v>
      </c>
    </row>
    <row r="37" hidden="1" ht="28.8" customHeight="1">
      <c r="A37" s="8" t="inlineStr">
        <is>
          <t>12.016</t>
        </is>
      </c>
      <c r="B37" s="9" t="inlineStr">
        <is>
          <t>חלון אלומיניום קיפ וחלון קבוע</t>
        </is>
      </c>
      <c r="C37" s="10" t="inlineStr"/>
      <c r="D37" s="11" t="n"/>
      <c r="E37" s="12" t="n"/>
      <c r="F37" s="13" t="n"/>
      <c r="G37" s="13" t="n"/>
    </row>
    <row r="38" hidden="1" ht="28.8" customHeight="1">
      <c r="A38" s="8" t="inlineStr">
        <is>
          <t>12.016.0600</t>
        </is>
      </c>
      <c r="B38" s="9" t="inlineStr">
        <is>
          <t>חלון קבוע כדוגמת קליל קלאסי 4500 או ש"ע, זכוכית שקופה בידודית 5+6+6 מ"מ, בשטח מעל 0.6 מ"ר ועד 1.0 מ"ר</t>
        </is>
      </c>
      <c r="C38" s="10" t="inlineStr">
        <is>
          <t>יח'</t>
        </is>
      </c>
      <c r="D38" s="11" t="n">
        <v>1310</v>
      </c>
      <c r="E38" s="12">
        <f>IF(D38="","",D38*0.15)</f>
        <v>196.5</v>
      </c>
      <c r="F38" s="13">
        <f>IF(D38="","",D38*0.05)</f>
        <v>65.5</v>
      </c>
      <c r="G38" s="13">
        <f>IF(D38="","",D38*1.05*0.85)</f>
        <v>1169.175</v>
      </c>
      <c r="H38" s="14">
        <f>'1549'!D38</f>
        <v>0</v>
      </c>
      <c r="I38" s="14">
        <f>IF(H38="","",H38*G38)</f>
        <v>0</v>
      </c>
      <c r="J38" s="14">
        <f>H38</f>
        <v>0</v>
      </c>
      <c r="K38" s="14">
        <f>I38</f>
        <v>0</v>
      </c>
    </row>
    <row r="39" hidden="1" ht="15.6" customHeight="1">
      <c r="A39" s="8" t="inlineStr">
        <is>
          <t>12.016.0610</t>
        </is>
      </c>
      <c r="B39" s="9" t="inlineStr">
        <is>
          <t>חלון קבוע כדוגמת קליל קלאסי 4500 או ש"ע, זכוכית שקופה בידודית 5+6+6 מ"מ, בשטח מעל 1.0 מ"ר ועד 2.0 מ"ר</t>
        </is>
      </c>
      <c r="C39" s="10" t="inlineStr">
        <is>
          <t>יח'</t>
        </is>
      </c>
      <c r="D39" s="11" t="n">
        <v>2090</v>
      </c>
      <c r="E39" s="12">
        <f>IF(D39="","",D39*0.15)</f>
        <v>313.5</v>
      </c>
      <c r="F39" s="13">
        <f>IF(D39="","",D39*0.05)</f>
        <v>104.5</v>
      </c>
      <c r="G39" s="13">
        <f>IF(D39="","",D39*1.05*0.85)</f>
        <v>1865.325</v>
      </c>
      <c r="H39" s="14">
        <f>'1549'!D39</f>
        <v>0</v>
      </c>
      <c r="I39" s="14">
        <f>IF(H39="","",H39*G39)</f>
        <v>0</v>
      </c>
      <c r="J39" s="14">
        <f>H39</f>
        <v>0</v>
      </c>
      <c r="K39" s="14">
        <f>I39</f>
        <v>0</v>
      </c>
    </row>
    <row r="40" hidden="1">
      <c r="A40" s="8" t="inlineStr">
        <is>
          <t>12.051</t>
        </is>
      </c>
      <c r="B40" s="9" t="inlineStr">
        <is>
          <t>דלתות/ויטרינות אלומיניום נגררות אגף על אגף (הזזה) של 2 אגפים</t>
        </is>
      </c>
      <c r="C40" s="10" t="inlineStr"/>
      <c r="D40" s="11" t="n"/>
      <c r="E40" s="12" t="n"/>
      <c r="F40" s="13" t="n"/>
      <c r="G40" s="13" t="n"/>
    </row>
    <row r="41" hidden="1" ht="15.6" customHeight="1">
      <c r="A41" s="8" t="inlineStr">
        <is>
          <t>12.051.0460</t>
        </is>
      </c>
      <c r="B41" s="9" t="inlineStr">
        <is>
          <t>דלת נגררת אגף על אגף של 2 אגפים ב-2 מסלולים מאולגנת/צבועה כדוגמת קליל קלאסי 9000 או ש"ע, זכוכית מחוסמת בעובי 8 מ"מ, בשטח מעל 4.0 מ"ר ועד 6.0 מ"ר</t>
        </is>
      </c>
      <c r="C41" s="10" t="inlineStr">
        <is>
          <t>מ"ר</t>
        </is>
      </c>
      <c r="D41" s="11" t="n">
        <v>1630</v>
      </c>
      <c r="E41" s="12">
        <f>IF(D41="","",D41*0.15)</f>
        <v>244.5</v>
      </c>
      <c r="F41" s="13">
        <f>IF(D41="","",D41*0.05)</f>
        <v>81.5</v>
      </c>
      <c r="G41" s="13">
        <f>IF(D41="","",D41*1.05*0.85)</f>
        <v>1454.7749999999999</v>
      </c>
      <c r="H41" s="14">
        <f>'1549'!D41</f>
        <v>0</v>
      </c>
      <c r="I41" s="14">
        <f>IF(H41="","",H41*G41)</f>
        <v>0</v>
      </c>
      <c r="J41" s="14">
        <f>H41</f>
        <v>0</v>
      </c>
      <c r="K41" s="14">
        <f>I41</f>
        <v>0</v>
      </c>
    </row>
    <row r="42" hidden="1" ht="28.8" customHeight="1">
      <c r="A42" s="8" t="inlineStr">
        <is>
          <t>12.051.0470</t>
        </is>
      </c>
      <c r="B42" s="9" t="inlineStr">
        <is>
          <t>דלת נגררת אגף על אגף של 2 אגפים ב-2 מסלולים מאולגנת/צבועה כדוגמת קליל קלאסי 9000 או ש"ע, זכוכית מחוסמת בעובי 8 מ"מ, בשטח מעל 6.0 מ"ר ועד 8.0 מ"ר</t>
        </is>
      </c>
      <c r="C42" s="10" t="inlineStr">
        <is>
          <t>מ"ר</t>
        </is>
      </c>
      <c r="D42" s="11" t="n">
        <v>1580</v>
      </c>
      <c r="E42" s="12">
        <f>IF(D42="","",D42*0.15)</f>
        <v>237</v>
      </c>
      <c r="F42" s="13">
        <f>IF(D42="","",D42*0.05)</f>
        <v>79</v>
      </c>
      <c r="G42" s="13">
        <f>IF(D42="","",D42*1.05*0.85)</f>
        <v>1410.1499999999999</v>
      </c>
      <c r="H42" s="14">
        <f>'1549'!D42</f>
        <v>0</v>
      </c>
      <c r="I42" s="14">
        <f>IF(H42="","",H42*G42)</f>
        <v>0</v>
      </c>
      <c r="J42" s="14">
        <f>H42</f>
        <v>0</v>
      </c>
      <c r="K42" s="14">
        <f>I42</f>
        <v>0</v>
      </c>
    </row>
    <row r="43" hidden="1" ht="28.8" customHeight="1">
      <c r="A43" s="8" t="inlineStr">
        <is>
          <t>12.052</t>
        </is>
      </c>
      <c r="B43" s="9" t="inlineStr">
        <is>
          <t>דלתות אלומיניום נגררות אגף על אגף (הזזה) של 3 אגפים ו-4 אגפים</t>
        </is>
      </c>
      <c r="C43" s="10" t="inlineStr"/>
      <c r="D43" s="11" t="n"/>
      <c r="E43" s="12" t="n"/>
      <c r="F43" s="13" t="n"/>
      <c r="G43" s="13" t="n"/>
    </row>
    <row r="44" hidden="1" ht="28.2" customHeight="1">
      <c r="A44" s="8" t="inlineStr">
        <is>
          <t>12.052.0020</t>
        </is>
      </c>
      <c r="B44" s="9" t="inlineStr">
        <is>
          <t>דלת נגררת אגף על אגף של 3 אגפים ב-3 מסלולים מאולגנת/צבועה כדוגמת קליל קלאסי 7000 או ש"ע, זכוכית מחוסמת בעובי 6 מ"מ, בשטח מעל 6.0 מ"ר ועד 8.0 מ"ר</t>
        </is>
      </c>
      <c r="C44" s="10" t="inlineStr">
        <is>
          <t>מ"ר</t>
        </is>
      </c>
      <c r="D44" s="11" t="n">
        <v>1760</v>
      </c>
      <c r="E44" s="12">
        <f>IF(D44="","",D44*0.15)</f>
        <v>264</v>
      </c>
      <c r="F44" s="13">
        <f>IF(D44="","",D44*0.05)</f>
        <v>88</v>
      </c>
      <c r="G44" s="13">
        <f>IF(D44="","",D44*1.05*0.85)</f>
        <v>1570.8</v>
      </c>
      <c r="H44" s="14">
        <f>'1549'!D44</f>
        <v>0</v>
      </c>
      <c r="I44" s="14">
        <f>IF(H44="","",H44*G44)</f>
        <v>0</v>
      </c>
      <c r="J44" s="14">
        <f>H44</f>
        <v>0</v>
      </c>
      <c r="K44" s="14">
        <f>I44</f>
        <v>0</v>
      </c>
    </row>
    <row r="45" ht="28.8" customHeight="1">
      <c r="A45" s="8" t="inlineStr">
        <is>
          <t>12.052.0070</t>
        </is>
      </c>
      <c r="B45" s="9" t="inlineStr">
        <is>
          <t>דלת נגררת אגף על אגף של 3 אגפים ב-3 מסלולים מאולגנת/צבועה כדוגמת קליל קלאסי 9000 או ש"ע, זכוכית מחוסמת בעובי 6 מ"מ, בשטח מעל 6.0 מ"ר ועד 8.0 מ"ר</t>
        </is>
      </c>
      <c r="C45" s="10" t="inlineStr">
        <is>
          <t>מ"ר</t>
        </is>
      </c>
      <c r="D45" s="11" t="n">
        <v>1850</v>
      </c>
      <c r="E45" s="12">
        <f>IF(D45="","",D45*0.15)</f>
        <v>277.5</v>
      </c>
      <c r="F45" s="13">
        <f>IF(D45="","",D45*0.05)</f>
        <v>92.5</v>
      </c>
      <c r="G45" s="13">
        <f>IF(D45="","",D45*1.05*0.85)</f>
        <v>1651.125</v>
      </c>
      <c r="H45" s="14">
        <f>'1549'!D45</f>
        <v>7.85</v>
      </c>
      <c r="I45" s="14">
        <f>IF(H45="","",H45*G45)</f>
        <v>12961.33125</v>
      </c>
      <c r="J45" s="14">
        <f>H45</f>
        <v>7.85</v>
      </c>
      <c r="K45" s="14">
        <f>I45</f>
        <v>12961.33125</v>
      </c>
    </row>
    <row r="46" hidden="1">
      <c r="A46" s="8" t="inlineStr">
        <is>
          <t>12.052.0080</t>
        </is>
      </c>
      <c r="B46" s="9" t="inlineStr">
        <is>
          <t>דלת נגררת אגף על אגף של 3 אגפים ב-3 מסלולים מאולגנת/צבועה כדוגמת קליל קלאסי 9000 או ש"ע, זכוכית מחוסמת בעובי 8 מ"מ, בשטח מעל 8.0 מ"ר ועד 10.0 מ"ר</t>
        </is>
      </c>
      <c r="C46" s="10" t="inlineStr">
        <is>
          <t>מ"ר</t>
        </is>
      </c>
      <c r="D46" s="11" t="n">
        <v>1680</v>
      </c>
      <c r="E46" s="12">
        <f>IF(D46="","",D46*0.15)</f>
        <v>252</v>
      </c>
      <c r="F46" s="13">
        <f>IF(D46="","",D46*0.05)</f>
        <v>84</v>
      </c>
      <c r="G46" s="13">
        <f>IF(D46="","",D46*1.05*0.85)</f>
        <v>1499.3999999999999</v>
      </c>
      <c r="H46" s="14">
        <f>'1549'!D46</f>
        <v>0</v>
      </c>
      <c r="I46" s="14">
        <f>IF(H46="","",H46*G46)</f>
        <v>0</v>
      </c>
      <c r="J46" s="14">
        <f>H46</f>
        <v>0</v>
      </c>
      <c r="K46" s="14">
        <f>I46</f>
        <v>0</v>
      </c>
    </row>
    <row r="47" hidden="1">
      <c r="A47" s="8" t="inlineStr">
        <is>
          <t>12.052.0260</t>
        </is>
      </c>
      <c r="B47" s="9" t="inlineStr">
        <is>
          <t>דלת נגררת אגף על אגף של 3 אגפים ב-3 מסלולים מאולגנת/צבועה כדוגמת קליל בלגי 7300 או ש"ע, זכוכית מחוסמת בעובי 6 מ"מ, בשטח מעל 6.0 מ"ר ועד 8.0 מ"ר</t>
        </is>
      </c>
      <c r="C47" s="10" t="inlineStr">
        <is>
          <t>מ"ר</t>
        </is>
      </c>
      <c r="D47" s="11" t="n">
        <v>2101</v>
      </c>
      <c r="E47" s="12">
        <f>IF(D47="","",D47*0.15)</f>
        <v>315.15</v>
      </c>
      <c r="F47" s="13">
        <f>IF(D47="","",D47*0.05)</f>
        <v>105.05000000000001</v>
      </c>
      <c r="G47" s="13">
        <f>IF(D47="","",D47*1.05*0.85)</f>
        <v>1875.1425000000002</v>
      </c>
      <c r="H47" s="14">
        <f>'1549'!D47</f>
        <v>0</v>
      </c>
      <c r="I47" s="14">
        <f>IF(H47="","",H47*G47)</f>
        <v>0</v>
      </c>
      <c r="J47" s="14">
        <f>H47</f>
        <v>0</v>
      </c>
      <c r="K47" s="14">
        <f>I47</f>
        <v>0</v>
      </c>
    </row>
    <row r="48" hidden="1">
      <c r="A48" s="8" t="inlineStr">
        <is>
          <t>12.053</t>
        </is>
      </c>
      <c r="B48" s="9" t="inlineStr">
        <is>
          <t>דלתות אלומיניום ציריות</t>
        </is>
      </c>
      <c r="C48" s="10" t="inlineStr"/>
      <c r="D48" s="11" t="n"/>
      <c r="E48" s="12" t="n"/>
      <c r="F48" s="13" t="n"/>
      <c r="G48" s="13" t="n"/>
    </row>
    <row r="49" hidden="1">
      <c r="A49" s="8" t="inlineStr">
        <is>
          <t>12.053.0200</t>
        </is>
      </c>
      <c r="B49" s="9" t="inlineStr">
        <is>
          <t>דלת ציר אגף אחד מאולגנת/צבועה כדוגמת קליל 4500 או ש"ע, זכוכית מחוסמת בעובי 6 מ"מ, בשטח עד 2.0 מ"ר</t>
        </is>
      </c>
      <c r="C49" s="10" t="inlineStr">
        <is>
          <t>מ"ר</t>
        </is>
      </c>
      <c r="D49" s="11" t="n">
        <v>2850</v>
      </c>
      <c r="E49" s="12">
        <f>IF(D49="","",D49*0.15)</f>
        <v>427.5</v>
      </c>
      <c r="F49" s="13">
        <f>IF(D49="","",D49*0.05)</f>
        <v>142.5</v>
      </c>
      <c r="G49" s="13">
        <f>IF(D49="","",D49*1.05*0.85)</f>
        <v>2543.625</v>
      </c>
      <c r="H49" s="14">
        <f>'1549'!D49</f>
        <v>0</v>
      </c>
      <c r="I49" s="14">
        <f>IF(H49="","",H49*G49)</f>
        <v>0</v>
      </c>
      <c r="J49" s="14">
        <f>H49</f>
        <v>0</v>
      </c>
      <c r="K49" s="14">
        <f>I49</f>
        <v>0</v>
      </c>
    </row>
    <row r="50" hidden="1">
      <c r="A50" s="8" t="inlineStr">
        <is>
          <t>12.053.0210</t>
        </is>
      </c>
      <c r="B50" s="9" t="inlineStr">
        <is>
          <t>דלת ציר אגף אחד מאולגנת/צבועה כדוגמת קליל 4500 או ש"ע, זכוכית מחוסמת בעובי 6 מ"מ, בשטח מעל 2.0 מ"ר ועד 3.0 מ"ר</t>
        </is>
      </c>
      <c r="C50" s="10" t="inlineStr">
        <is>
          <t>מ"ר</t>
        </is>
      </c>
      <c r="D50" s="11" t="n">
        <v>2300</v>
      </c>
      <c r="E50" s="12">
        <f>IF(D50="","",D50*0.15)</f>
        <v>345</v>
      </c>
      <c r="F50" s="13">
        <f>IF(D50="","",D50*0.05)</f>
        <v>115</v>
      </c>
      <c r="G50" s="13">
        <f>IF(D50="","",D50*1.05*0.85)</f>
        <v>2052.75</v>
      </c>
      <c r="H50" s="14">
        <f>'1549'!D50</f>
        <v>0</v>
      </c>
      <c r="I50" s="14">
        <f>IF(H50="","",H50*G50)</f>
        <v>0</v>
      </c>
      <c r="J50" s="14">
        <f>H50</f>
        <v>0</v>
      </c>
      <c r="K50" s="14">
        <f>I50</f>
        <v>0</v>
      </c>
    </row>
    <row r="51" hidden="1">
      <c r="A51" s="8" t="inlineStr">
        <is>
          <t>12.053.0450</t>
        </is>
      </c>
      <c r="B51" s="9" t="inlineStr">
        <is>
          <t>דלת ציר שני אגפים מאולגנת/צבועה כדוגמת קליל קלאסי 4500 או ש"ע, זכוכית מחוסמת בעובי 6 מ"מ, בשטח מעל 3.0 מ"ר ועד 4.0 מ"ר</t>
        </is>
      </c>
      <c r="C51" s="10" t="inlineStr">
        <is>
          <t>מ"ר</t>
        </is>
      </c>
      <c r="D51" s="11" t="n">
        <v>3250</v>
      </c>
      <c r="E51" s="12">
        <f>IF(D51="","",D51*0.15)</f>
        <v>487.5</v>
      </c>
      <c r="F51" s="13">
        <f>IF(D51="","",D51*0.05)</f>
        <v>162.5</v>
      </c>
      <c r="G51" s="13">
        <f>IF(D51="","",D51*1.05*0.85)</f>
        <v>2900.625</v>
      </c>
      <c r="H51" s="14">
        <f>'1549'!D51</f>
        <v>0</v>
      </c>
      <c r="I51" s="14">
        <f>IF(H51="","",H51*G51)</f>
        <v>0</v>
      </c>
      <c r="J51" s="14">
        <f>H51</f>
        <v>0</v>
      </c>
      <c r="K51" s="14">
        <f>I51</f>
        <v>0</v>
      </c>
    </row>
    <row r="52" hidden="1">
      <c r="A52" s="8" t="inlineStr">
        <is>
          <t>12.061</t>
        </is>
      </c>
      <c r="B52" s="9" t="inlineStr">
        <is>
          <t>ויטרינות כניסה מאלומיניום בשטחים ציבוריים</t>
        </is>
      </c>
      <c r="C52" s="10" t="inlineStr"/>
      <c r="D52" s="11" t="n"/>
      <c r="E52" s="12" t="n"/>
      <c r="F52" s="13" t="n"/>
      <c r="G52" s="13" t="n"/>
    </row>
    <row r="53">
      <c r="A53" s="8" t="inlineStr">
        <is>
          <t>12.061.9000</t>
        </is>
      </c>
      <c r="B53" s="9" t="inlineStr">
        <is>
          <t>פירוק ויטרינה מאלומיניום, לרבות המשקוף</t>
        </is>
      </c>
      <c r="C53" s="10" t="inlineStr">
        <is>
          <t>מ"ר</t>
        </is>
      </c>
      <c r="D53" s="11" t="n">
        <v>88</v>
      </c>
      <c r="E53" s="12">
        <f>IF(D53="","",D53*0.15)</f>
        <v>13.2</v>
      </c>
      <c r="F53" s="13">
        <f>IF(D53="","",D53*0.05)</f>
        <v>4.4</v>
      </c>
      <c r="G53" s="13">
        <f>IF(D53="","",D53*1.05*0.85)</f>
        <v>78.54</v>
      </c>
      <c r="H53" s="14">
        <f>'1549'!D53</f>
        <v>7.85</v>
      </c>
      <c r="I53" s="14">
        <f>IF(H53="","",H53*G53)</f>
        <v>616.539</v>
      </c>
      <c r="J53" s="14">
        <f>H53</f>
        <v>7.85</v>
      </c>
      <c r="K53" s="14">
        <f>I53</f>
        <v>616.539</v>
      </c>
    </row>
    <row r="54" hidden="1">
      <c r="A54" s="8" t="inlineStr">
        <is>
          <t>12.065</t>
        </is>
      </c>
      <c r="B54" s="9" t="inlineStr">
        <is>
          <t>תריסי רפפה ותריסי גלילה מאלומיניום ומנועים חשמליים לתריסים</t>
        </is>
      </c>
      <c r="C54" s="10" t="inlineStr"/>
      <c r="D54" s="11" t="n"/>
      <c r="E54" s="12" t="n"/>
      <c r="F54" s="13" t="n"/>
      <c r="G54" s="13" t="n"/>
    </row>
    <row r="55" hidden="1">
      <c r="A55" s="8" t="inlineStr">
        <is>
          <t>12.065.1611</t>
        </is>
      </c>
      <c r="B55" s="9" t="inlineStr">
        <is>
          <t>תריס גלילה עם רפפות מפח אלומיניום עם פוליאוריטן מוקצף לרבות ארגז תריס מונובלוק 40, בשטח מעל 0.6 מ"ר ועד 1.0 מ"ר</t>
        </is>
      </c>
      <c r="C55" s="10" t="inlineStr">
        <is>
          <t>מ"ר</t>
        </is>
      </c>
      <c r="D55" s="11" t="n">
        <v>910</v>
      </c>
      <c r="E55" s="12">
        <f>IF(D55="","",D55*0.15)</f>
        <v>136.5</v>
      </c>
      <c r="F55" s="13">
        <f>IF(D55="","",D55*0.05)</f>
        <v>45.5</v>
      </c>
      <c r="G55" s="13">
        <f>IF(D55="","",D55*1.05*0.85)</f>
        <v>812.175</v>
      </c>
      <c r="H55" s="14">
        <f>'1549'!D55</f>
        <v>0</v>
      </c>
      <c r="I55" s="14">
        <f>IF(H55="","",H55*G55)</f>
        <v>0</v>
      </c>
      <c r="J55" s="14">
        <f>H55</f>
        <v>0</v>
      </c>
      <c r="K55" s="14">
        <f>I55</f>
        <v>0</v>
      </c>
    </row>
    <row r="56" hidden="1" ht="14.4" customHeight="1">
      <c r="A56" s="8" t="inlineStr">
        <is>
          <t>12.065.1613</t>
        </is>
      </c>
      <c r="B56" s="9" t="inlineStr">
        <is>
          <t>תריס גלילה עם רפפות מפח אלומיניום עם פוליאוריטן מוקצף לרבות ארגז תריס מונובלוק 40, בשטח מעל 1.0 מ"ר ועד 3.0 מ"ר</t>
        </is>
      </c>
      <c r="C56" s="10" t="inlineStr">
        <is>
          <t>מ"ר</t>
        </is>
      </c>
      <c r="D56" s="11" t="n">
        <v>717</v>
      </c>
      <c r="E56" s="12">
        <f>IF(D56="","",D56*0.15)</f>
        <v>107.55</v>
      </c>
      <c r="F56" s="13">
        <f>IF(D56="","",D56*0.05)</f>
        <v>35.85</v>
      </c>
      <c r="G56" s="13">
        <f>IF(D56="","",D56*1.05*0.85)</f>
        <v>639.9225</v>
      </c>
      <c r="H56" s="14">
        <f>'1549'!D56</f>
        <v>0</v>
      </c>
      <c r="I56" s="14">
        <f>IF(H56="","",H56*G56)</f>
        <v>0</v>
      </c>
      <c r="J56" s="14">
        <f>H56</f>
        <v>0</v>
      </c>
      <c r="K56" s="14">
        <f>I56</f>
        <v>0</v>
      </c>
    </row>
    <row r="57" ht="14.4" customHeight="1">
      <c r="A57" s="8" t="inlineStr">
        <is>
          <t>12.065.1615</t>
        </is>
      </c>
      <c r="B57" s="9" t="inlineStr">
        <is>
          <t>תריס גלילה עם רפפות מפח אלומיניום עם פוליאוריטן מוקצף לרבות ארגז תריס מונובלוק 40, בשטח מעל 3.0 מ"ר ועד 6.0 מ"ר</t>
        </is>
      </c>
      <c r="C57" s="10" t="inlineStr">
        <is>
          <t>מ"ר</t>
        </is>
      </c>
      <c r="D57" s="11" t="n">
        <v>582</v>
      </c>
      <c r="E57" s="12">
        <f>IF(D57="","",D57*0.15)</f>
        <v>87.3</v>
      </c>
      <c r="F57" s="13">
        <f>IF(D57="","",D57*0.05)</f>
        <v>29.1</v>
      </c>
      <c r="G57" s="13">
        <f>IF(D57="","",D57*1.05*0.85)</f>
        <v>519.4350000000001</v>
      </c>
      <c r="H57" s="14">
        <f>'1549'!D57</f>
        <v>18.965</v>
      </c>
      <c r="I57" s="14">
        <f>IF(H57="","",H57*G57)</f>
        <v>9851.084775000001</v>
      </c>
      <c r="J57" s="14">
        <f>H57</f>
        <v>18.965</v>
      </c>
      <c r="K57" s="14">
        <f>I57</f>
        <v>9851.084775000001</v>
      </c>
    </row>
    <row r="58" hidden="1" ht="14.4" customHeight="1">
      <c r="A58" s="8" t="inlineStr">
        <is>
          <t>12.065.1700</t>
        </is>
      </c>
      <c r="B58" s="9" t="inlineStr">
        <is>
          <t>תריס גלילה "תריס אור" עם רפפות מפח אלומיניום עם פוליאוריטן מוקצף לרבות ארגז תריס מונובלוק 40, בשטח מעל 0.6 מ"ר ועד 1.0 מ"ר</t>
        </is>
      </c>
      <c r="C58" s="10" t="inlineStr">
        <is>
          <t>מ"ר</t>
        </is>
      </c>
      <c r="D58" s="11" t="n">
        <v>1120</v>
      </c>
      <c r="E58" s="12">
        <f>IF(D58="","",D58*0.15)</f>
        <v>168</v>
      </c>
      <c r="F58" s="13">
        <f>IF(D58="","",D58*0.05)</f>
        <v>56</v>
      </c>
      <c r="G58" s="13">
        <f>IF(D58="","",D58*1.05*0.85)</f>
        <v>999.6</v>
      </c>
      <c r="H58" s="14">
        <f>'1549'!D58</f>
        <v>0</v>
      </c>
      <c r="I58" s="14">
        <f>IF(H58="","",H58*G58)</f>
        <v>0</v>
      </c>
      <c r="J58" s="14">
        <f>H58</f>
        <v>0</v>
      </c>
      <c r="K58" s="14">
        <f>I58</f>
        <v>0</v>
      </c>
    </row>
    <row r="59" hidden="1" ht="14.4" customHeight="1">
      <c r="A59" s="8" t="inlineStr">
        <is>
          <t>12.065.1710</t>
        </is>
      </c>
      <c r="B59" s="9" t="inlineStr">
        <is>
          <t>תריס גלילה "תריס אור" עם רפפות מפח אלומיניום עם פוליאוריטן מוקצף לרבות ארגז תריס מונובלוק 40, בשטח מעל 1.0 מ"ר ועד 3.0 מ"ר</t>
        </is>
      </c>
      <c r="C59" s="10" t="inlineStr">
        <is>
          <t>מ"ר</t>
        </is>
      </c>
      <c r="D59" s="11" t="n">
        <v>800</v>
      </c>
      <c r="E59" s="12">
        <f>IF(D59="","",D59*0.15)</f>
        <v>120</v>
      </c>
      <c r="F59" s="13">
        <f>IF(D59="","",D59*0.05)</f>
        <v>40</v>
      </c>
      <c r="G59" s="13">
        <f>IF(D59="","",D59*1.05*0.85)</f>
        <v>714</v>
      </c>
      <c r="H59" s="14">
        <f>'1549'!D59</f>
        <v>0</v>
      </c>
      <c r="I59" s="14">
        <f>IF(H59="","",H59*G59)</f>
        <v>0</v>
      </c>
      <c r="J59" s="14">
        <f>H59</f>
        <v>0</v>
      </c>
      <c r="K59" s="14">
        <f>I59</f>
        <v>0</v>
      </c>
    </row>
    <row r="60" hidden="1" ht="14.4" customHeight="1">
      <c r="A60" s="8" t="inlineStr">
        <is>
          <t>12.065.1720</t>
        </is>
      </c>
      <c r="B60" s="9" t="inlineStr">
        <is>
          <t>תריס גלילה "תריס אור" עם רפפות מפח אלומיניום עם פוליאוריטן מוקצף לרבות ארגז תריס מונובלוק 40, בשטח מעל 3.0 מ"ר ועד 6.0 מ"ר</t>
        </is>
      </c>
      <c r="C60" s="10" t="inlineStr">
        <is>
          <t>מ"ר</t>
        </is>
      </c>
      <c r="D60" s="11" t="n">
        <v>880</v>
      </c>
      <c r="E60" s="12">
        <f>IF(D60="","",D60*0.15)</f>
        <v>132</v>
      </c>
      <c r="F60" s="13">
        <f>IF(D60="","",D60*0.05)</f>
        <v>44</v>
      </c>
      <c r="G60" s="13">
        <f>IF(D60="","",D60*1.05*0.85)</f>
        <v>785.4</v>
      </c>
      <c r="H60" s="14">
        <f>'1549'!D60</f>
        <v>0</v>
      </c>
      <c r="I60" s="14">
        <f>IF(H60="","",H60*G60)</f>
        <v>0</v>
      </c>
      <c r="J60" s="14">
        <f>H60</f>
        <v>0</v>
      </c>
      <c r="K60" s="14">
        <f>I60</f>
        <v>0</v>
      </c>
    </row>
    <row r="61" hidden="1" ht="14.4" customHeight="1">
      <c r="A61" s="8" t="inlineStr">
        <is>
          <t>12.065.1730</t>
        </is>
      </c>
      <c r="B61" s="9" t="inlineStr">
        <is>
          <t>תריס גלילה "תריס אור" עם רפפות מפח אלומיניום עם פוליאוריטן מוקצף לרבות ארגז תריס מונובלוק 40, בשטח מעל 6.0 מ"ר ועד 8.5 מ"ר</t>
        </is>
      </c>
      <c r="C61" s="10" t="inlineStr">
        <is>
          <t>מ"ר</t>
        </is>
      </c>
      <c r="D61" s="11" t="n">
        <v>840</v>
      </c>
      <c r="E61" s="12">
        <f>IF(D61="","",D61*0.15)</f>
        <v>126</v>
      </c>
      <c r="F61" s="13">
        <f>IF(D61="","",D61*0.05)</f>
        <v>42</v>
      </c>
      <c r="G61" s="13">
        <f>IF(D61="","",D61*1.05*0.85)</f>
        <v>749.6999999999999</v>
      </c>
      <c r="H61" s="14">
        <f>'1549'!D61</f>
        <v>0</v>
      </c>
      <c r="I61" s="14">
        <f>IF(H61="","",H61*G61)</f>
        <v>0</v>
      </c>
      <c r="J61" s="14">
        <f>H61</f>
        <v>0</v>
      </c>
      <c r="K61" s="14">
        <f>I61</f>
        <v>0</v>
      </c>
    </row>
    <row r="62" hidden="1" ht="14.4" customHeight="1">
      <c r="A62" s="8" t="inlineStr">
        <is>
          <t>12.065.1661</t>
        </is>
      </c>
      <c r="B62" s="9" t="inlineStr">
        <is>
          <t>תריס גלילה "תריס אור" עם רפפות מאלומיניום שחול (משוך) וחריצים גדולים בין השלבים, צבע לבן לרבות ארגז תריס מונובלוק 40, בשטח מעל 0.6 מ"ר ועד 1.0 מ"ר</t>
        </is>
      </c>
      <c r="C62" s="10" t="inlineStr">
        <is>
          <t>מ"ר</t>
        </is>
      </c>
      <c r="D62" s="11" t="n">
        <v>1840</v>
      </c>
      <c r="E62" s="12">
        <f>IF(D62="","",D62*0.15)</f>
        <v>276</v>
      </c>
      <c r="F62" s="13">
        <f>IF(D62="","",D62*0.05)</f>
        <v>92</v>
      </c>
      <c r="G62" s="13">
        <f>IF(D62="","",D62*1.05*0.85)</f>
        <v>1642.2</v>
      </c>
      <c r="H62" s="14">
        <f>'1549'!D62</f>
        <v>0</v>
      </c>
      <c r="I62" s="14">
        <f>IF(H62="","",H62*G62)</f>
        <v>0</v>
      </c>
      <c r="J62" s="14">
        <f>H62</f>
        <v>0</v>
      </c>
      <c r="K62" s="14">
        <f>I62</f>
        <v>0</v>
      </c>
    </row>
    <row r="63" hidden="1" ht="15" customHeight="1">
      <c r="A63" s="8" t="inlineStr">
        <is>
          <t>12.065.1671</t>
        </is>
      </c>
      <c r="B63" s="9" t="inlineStr">
        <is>
          <t>תריס גלילה "תריס אור" עם רפפות מאלומיניום שחול (משוך) וחריצים גדולים בין השלבים, צבע לבן לרבות ארגז תריס מונובלוק 40, בשטח מעל 1.0 מ"ר ועד 3.0 מ"ר</t>
        </is>
      </c>
      <c r="C63" s="10" t="inlineStr">
        <is>
          <t>מ"ר</t>
        </is>
      </c>
      <c r="D63" s="11" t="n">
        <v>1730</v>
      </c>
      <c r="E63" s="12">
        <f>IF(D63="","",D63*0.15)</f>
        <v>259.5</v>
      </c>
      <c r="F63" s="13">
        <f>IF(D63="","",D63*0.05)</f>
        <v>86.5</v>
      </c>
      <c r="G63" s="13">
        <f>IF(D63="","",D63*1.05*0.85)</f>
        <v>1544.0249999999999</v>
      </c>
      <c r="H63" s="14">
        <f>'1549'!D63</f>
        <v>0</v>
      </c>
      <c r="I63" s="14">
        <f>IF(H63="","",H63*G63)</f>
        <v>0</v>
      </c>
      <c r="J63" s="14">
        <f>H63</f>
        <v>0</v>
      </c>
      <c r="K63" s="14">
        <f>I63</f>
        <v>0</v>
      </c>
    </row>
    <row r="64" hidden="1" ht="43.2" customHeight="1">
      <c r="A64" s="8" t="inlineStr">
        <is>
          <t>12.065.1681</t>
        </is>
      </c>
      <c r="B64" s="9" t="inlineStr">
        <is>
          <t>תריס גלילה "תריס אור" עם רפפות מאלומיניום שחול (משוך) וחריצים גדולים בין השלבים, צבע לבן לרבות ארגז תריס מונובלוק 40, בשטח מעל 3.0 מ"ר ועד 6.0 מ"ר</t>
        </is>
      </c>
      <c r="C64" s="10" t="inlineStr">
        <is>
          <t>מ"ר</t>
        </is>
      </c>
      <c r="D64" s="11" t="n">
        <v>1440</v>
      </c>
      <c r="E64" s="12">
        <f>IF(D64="","",D64*0.15)</f>
        <v>216</v>
      </c>
      <c r="F64" s="13">
        <f>IF(D64="","",D64*0.05)</f>
        <v>72</v>
      </c>
      <c r="G64" s="13">
        <f>IF(D64="","",D64*1.05*0.85)</f>
        <v>1285.2</v>
      </c>
      <c r="H64" s="14">
        <f>'1549'!D64</f>
        <v>0</v>
      </c>
      <c r="I64" s="14">
        <f>IF(H64="","",H64*G64)</f>
        <v>0</v>
      </c>
      <c r="J64" s="14">
        <f>H64</f>
        <v>0</v>
      </c>
      <c r="K64" s="14">
        <f>I64</f>
        <v>0</v>
      </c>
    </row>
    <row r="65" hidden="1" ht="43.2" customHeight="1">
      <c r="A65" s="8" t="inlineStr">
        <is>
          <t>12.065.2000</t>
        </is>
      </c>
      <c r="B65" s="9" t="inlineStr">
        <is>
          <t>מנוע חשמלי לתריס במשקל עד 20 ק"ג, לא כולל נק' החשמל</t>
        </is>
      </c>
      <c r="C65" s="10" t="inlineStr">
        <is>
          <t>יח'</t>
        </is>
      </c>
      <c r="D65" s="11" t="n">
        <v>620</v>
      </c>
      <c r="E65" s="12">
        <f>IF(D65="","",D65*0.15)</f>
        <v>93</v>
      </c>
      <c r="F65" s="13">
        <f>IF(D65="","",D65*0.05)</f>
        <v>31</v>
      </c>
      <c r="G65" s="13">
        <f>IF(D65="","",D65*1.05*0.85)</f>
        <v>553.35</v>
      </c>
      <c r="H65" s="14">
        <f>'1549'!D65</f>
        <v>0</v>
      </c>
      <c r="I65" s="14">
        <f>IF(H65="","",H65*G65)</f>
        <v>0</v>
      </c>
      <c r="J65" s="14">
        <f>H65</f>
        <v>0</v>
      </c>
      <c r="K65" s="14">
        <f>I65</f>
        <v>0</v>
      </c>
    </row>
    <row r="66" hidden="1" ht="15.6" customHeight="1">
      <c r="A66" s="8" t="inlineStr">
        <is>
          <t>12.065.2010</t>
        </is>
      </c>
      <c r="B66" s="9" t="inlineStr">
        <is>
          <t>מנוע חשמלי לתריס במשקל מעל 20 ק"ג ועד 30 ק"ג, לא כולל נק' החשמל</t>
        </is>
      </c>
      <c r="C66" s="10" t="inlineStr">
        <is>
          <t>יח'</t>
        </is>
      </c>
      <c r="D66" s="11" t="n">
        <v>750</v>
      </c>
      <c r="E66" s="12">
        <f>IF(D66="","",D66*0.15)</f>
        <v>112.5</v>
      </c>
      <c r="F66" s="13">
        <f>IF(D66="","",D66*0.05)</f>
        <v>37.5</v>
      </c>
      <c r="G66" s="13">
        <f>IF(D66="","",D66*1.05*0.85)</f>
        <v>669.375</v>
      </c>
      <c r="H66" s="14">
        <f>'1549'!D66</f>
        <v>0</v>
      </c>
      <c r="I66" s="14">
        <f>IF(H66="","",H66*G66)</f>
        <v>0</v>
      </c>
      <c r="J66" s="14">
        <f>H66</f>
        <v>0</v>
      </c>
      <c r="K66" s="14">
        <f>I66</f>
        <v>0</v>
      </c>
    </row>
    <row r="67" hidden="1">
      <c r="A67" s="8" t="inlineStr">
        <is>
          <t>12.065.2020</t>
        </is>
      </c>
      <c r="B67" s="9" t="inlineStr">
        <is>
          <t>מנוע חשמלי לתריס במשקל מעל 30 ק"ג ועד 50 ק"ג, לא כולל נק' החשמל</t>
        </is>
      </c>
      <c r="C67" s="10" t="inlineStr">
        <is>
          <t>יח'</t>
        </is>
      </c>
      <c r="D67" s="11" t="n">
        <v>1020</v>
      </c>
      <c r="E67" s="12">
        <f>IF(D67="","",D67*0.15)</f>
        <v>153</v>
      </c>
      <c r="F67" s="13">
        <f>IF(D67="","",D67*0.05)</f>
        <v>51</v>
      </c>
      <c r="G67" s="13">
        <f>IF(D67="","",D67*1.05*0.85)</f>
        <v>910.35</v>
      </c>
      <c r="H67" s="14">
        <f>'1549'!D67</f>
        <v>0</v>
      </c>
      <c r="I67" s="14">
        <f>IF(H67="","",H67*G67)</f>
        <v>0</v>
      </c>
      <c r="J67" s="14">
        <f>H67</f>
        <v>0</v>
      </c>
      <c r="K67" s="14">
        <f>I67</f>
        <v>0</v>
      </c>
    </row>
    <row r="68">
      <c r="A68" s="8" t="inlineStr">
        <is>
          <t>12.065.2030</t>
        </is>
      </c>
      <c r="B68" s="9" t="inlineStr">
        <is>
          <t>מנוע חשמלי לתריס במשקל מעל 50 ק"ג ועד 70 ק"ג, לא כולל נק' החשמל</t>
        </is>
      </c>
      <c r="C68" s="10" t="inlineStr">
        <is>
          <t>יח'</t>
        </is>
      </c>
      <c r="D68" s="11" t="n">
        <v>1370</v>
      </c>
      <c r="E68" s="12">
        <f>IF(D68="","",D68*0.15)</f>
        <v>205.5</v>
      </c>
      <c r="F68" s="13">
        <f>IF(D68="","",D68*0.05)</f>
        <v>68.5</v>
      </c>
      <c r="G68" s="13">
        <f>IF(D68="","",D68*1.05*0.85)</f>
        <v>1222.725</v>
      </c>
      <c r="H68" s="14">
        <f>'1549'!D68</f>
        <v>3</v>
      </c>
      <c r="I68" s="14">
        <f>IF(H68="","",H68*G68)</f>
        <v>3668.1749999999997</v>
      </c>
      <c r="J68" s="14">
        <f>H68</f>
        <v>3</v>
      </c>
      <c r="K68" s="14">
        <f>I68</f>
        <v>3668.1749999999997</v>
      </c>
    </row>
    <row r="69" hidden="1">
      <c r="A69" s="8" t="inlineStr">
        <is>
          <t>12.065.2040</t>
        </is>
      </c>
      <c r="B69" s="9" t="inlineStr">
        <is>
          <t>מנוע חשמלי לתריס במשקל מעל 70 ק"ג ועד 90 ק"ג, לא כולל נק' החשמל</t>
        </is>
      </c>
      <c r="C69" s="10" t="inlineStr">
        <is>
          <t>יח'</t>
        </is>
      </c>
      <c r="D69" s="11" t="n">
        <v>1650</v>
      </c>
      <c r="E69" s="12">
        <f>IF(D69="","",D69*0.15)</f>
        <v>247.5</v>
      </c>
      <c r="F69" s="13">
        <f>IF(D69="","",D69*0.05)</f>
        <v>82.5</v>
      </c>
      <c r="G69" s="13">
        <f>IF(D69="","",D69*1.05*0.85)</f>
        <v>1472.625</v>
      </c>
      <c r="H69" s="14">
        <f>'1549'!D69</f>
        <v>0</v>
      </c>
      <c r="I69" s="14">
        <f>IF(H69="","",H69*G69)</f>
        <v>0</v>
      </c>
      <c r="J69" s="14">
        <f>H69</f>
        <v>0</v>
      </c>
      <c r="K69" s="14">
        <f>I69</f>
        <v>0</v>
      </c>
    </row>
    <row r="70">
      <c r="A70" s="8" t="inlineStr">
        <is>
          <t>12.065.2050</t>
        </is>
      </c>
      <c r="B70" s="9" t="inlineStr">
        <is>
          <t>מנוע חשמלי לתריס במשקל מעל 90 ק"ג ועד 120 ק"ג, לא כולל נק' החשמל</t>
        </is>
      </c>
      <c r="C70" s="10" t="inlineStr">
        <is>
          <t>יח'</t>
        </is>
      </c>
      <c r="D70" s="11" t="n">
        <v>1820</v>
      </c>
      <c r="E70" s="12">
        <f>IF(D70="","",D70*0.15)</f>
        <v>273</v>
      </c>
      <c r="F70" s="13">
        <f>IF(D70="","",D70*0.05)</f>
        <v>91</v>
      </c>
      <c r="G70" s="13">
        <f>IF(D70="","",D70*1.05*0.85)</f>
        <v>1624.35</v>
      </c>
      <c r="H70" s="14">
        <f>'1549'!D70</f>
        <v>1</v>
      </c>
      <c r="I70" s="14">
        <f>IF(H70="","",H70*G70)</f>
        <v>1624.35</v>
      </c>
      <c r="J70" s="14">
        <f>H70</f>
        <v>1</v>
      </c>
      <c r="K70" s="14">
        <f>I70</f>
        <v>1624.35</v>
      </c>
    </row>
    <row r="71" hidden="1">
      <c r="A71" s="8" t="inlineStr">
        <is>
          <t>12.065.9000</t>
        </is>
      </c>
      <c r="B71" s="9" t="inlineStr">
        <is>
          <t>פירוק תריסי אלומיניום ומשקופיהם בשטח של עד 2 מ"ר</t>
        </is>
      </c>
      <c r="C71" s="10" t="inlineStr">
        <is>
          <t>יח'</t>
        </is>
      </c>
      <c r="D71" s="11" t="n">
        <v>130</v>
      </c>
      <c r="E71" s="12">
        <f>IF(D71="","",D71*0.15)</f>
        <v>19.5</v>
      </c>
      <c r="F71" s="13">
        <f>IF(D71="","",D71*0.05)</f>
        <v>6.5</v>
      </c>
      <c r="G71" s="13">
        <f>IF(D71="","",D71*1.05*0.85)</f>
        <v>116.02499999999999</v>
      </c>
      <c r="H71" s="14">
        <f>'1549'!D71</f>
        <v>0</v>
      </c>
      <c r="I71" s="14">
        <f>IF(H71="","",H71*G71)</f>
        <v>0</v>
      </c>
      <c r="J71" s="14">
        <f>H71</f>
        <v>0</v>
      </c>
      <c r="K71" s="14">
        <f>I71</f>
        <v>0</v>
      </c>
    </row>
    <row r="72">
      <c r="A72" s="8" t="inlineStr">
        <is>
          <t>12.065.9020</t>
        </is>
      </c>
      <c r="B72" s="9" t="inlineStr">
        <is>
          <t>פירוק תריסי אלומיניום ומשקופיהם בשטח של מעל 2 מ"ר</t>
        </is>
      </c>
      <c r="C72" s="10" t="inlineStr">
        <is>
          <t>מ"ר</t>
        </is>
      </c>
      <c r="D72" s="11" t="n">
        <v>60</v>
      </c>
      <c r="E72" s="12">
        <f>IF(D72="","",D72*0.15)</f>
        <v>9</v>
      </c>
      <c r="F72" s="13">
        <f>IF(D72="","",D72*0.05)</f>
        <v>3</v>
      </c>
      <c r="G72" s="13">
        <f>IF(D72="","",D72*1.05*0.85)</f>
        <v>53.55</v>
      </c>
      <c r="H72" s="14">
        <f>'1549'!D72</f>
        <v>18.965</v>
      </c>
      <c r="I72" s="14">
        <f>IF(H72="","",H72*G72)</f>
        <v>1015.57575</v>
      </c>
      <c r="J72" s="14">
        <f>H72</f>
        <v>18.965</v>
      </c>
      <c r="K72" s="14">
        <f>I72</f>
        <v>1015.57575</v>
      </c>
    </row>
    <row r="73" hidden="1" ht="15.6" customHeight="1">
      <c r="A73" s="8" t="inlineStr">
        <is>
          <t>12.065.9100</t>
        </is>
      </c>
      <c r="B73" s="9" t="inlineStr">
        <is>
          <t>פירוק ארגז תריס קיים במידות 35/100 ס"מ</t>
        </is>
      </c>
      <c r="C73" s="10" t="inlineStr">
        <is>
          <t>יח'</t>
        </is>
      </c>
      <c r="D73" s="11" t="n">
        <v>109</v>
      </c>
      <c r="E73" s="12">
        <f>IF(D73="","",D73*0.15)</f>
        <v>16.349999999999998</v>
      </c>
      <c r="F73" s="13">
        <f>IF(D73="","",D73*0.05)</f>
        <v>5.45</v>
      </c>
      <c r="G73" s="13">
        <f>IF(D73="","",D73*1.05*0.85)</f>
        <v>97.2825</v>
      </c>
      <c r="H73" s="14">
        <f>'1549'!D73</f>
        <v>0</v>
      </c>
      <c r="I73" s="14">
        <f>IF(H73="","",H73*G73)</f>
        <v>0</v>
      </c>
      <c r="J73" s="14">
        <f>H73</f>
        <v>0</v>
      </c>
      <c r="K73" s="14">
        <f>I73</f>
        <v>0</v>
      </c>
    </row>
    <row r="74" ht="15.6" customHeight="1">
      <c r="A74" s="8" t="inlineStr">
        <is>
          <t>12.065.9110</t>
        </is>
      </c>
      <c r="B74" s="9" t="inlineStr">
        <is>
          <t>פירוק ארגז תריס קיים במידות 35/150 ס"מ</t>
        </is>
      </c>
      <c r="C74" s="10" t="inlineStr">
        <is>
          <t>יח'</t>
        </is>
      </c>
      <c r="D74" s="11" t="n">
        <v>121</v>
      </c>
      <c r="E74" s="12">
        <f>IF(D74="","",D74*0.15)</f>
        <v>18.15</v>
      </c>
      <c r="F74" s="13">
        <f>IF(D74="","",D74*0.05)</f>
        <v>6.050000000000001</v>
      </c>
      <c r="G74" s="13">
        <f>IF(D74="","",D74*1.05*0.85)</f>
        <v>107.9925</v>
      </c>
      <c r="H74" s="14">
        <f>'1549'!D74</f>
        <v>3</v>
      </c>
      <c r="I74" s="14">
        <f>IF(H74="","",H74*G74)</f>
        <v>323.9775</v>
      </c>
      <c r="J74" s="14">
        <f>H74</f>
        <v>3</v>
      </c>
      <c r="K74" s="14">
        <f>I74</f>
        <v>323.9775</v>
      </c>
    </row>
    <row r="75" hidden="1" ht="28.8" customHeight="1">
      <c r="A75" s="8" t="inlineStr">
        <is>
          <t>12.065.0001</t>
        </is>
      </c>
      <c r="B75" s="9" t="inlineStr">
        <is>
          <t>פירוק ארגז תריס קיים 35/200</t>
        </is>
      </c>
      <c r="C75" s="10" t="inlineStr">
        <is>
          <t>יח'</t>
        </is>
      </c>
      <c r="D75" s="11" t="n">
        <v>133</v>
      </c>
      <c r="E75" s="12">
        <f>IF(D75="","",D75*0.15)</f>
        <v>19.95</v>
      </c>
      <c r="F75" s="13">
        <f>IF(D75="","",D75*0.05)</f>
        <v>6.65</v>
      </c>
      <c r="G75" s="13">
        <f>IF(D75="","",D75*1.05*0.85)</f>
        <v>118.7025</v>
      </c>
      <c r="H75" s="14">
        <f>'1549'!D75</f>
        <v>0</v>
      </c>
      <c r="I75" s="14">
        <f>IF(H75="","",H75*G75)</f>
        <v>0</v>
      </c>
      <c r="J75" s="14">
        <f>H75</f>
        <v>0</v>
      </c>
      <c r="K75" s="14">
        <f>I75</f>
        <v>0</v>
      </c>
    </row>
    <row r="76" hidden="1" ht="43.2" customHeight="1">
      <c r="A76" s="8" t="inlineStr">
        <is>
          <t>12.065.0002</t>
        </is>
      </c>
      <c r="B76" s="9" t="inlineStr">
        <is>
          <t>פירוק ארגז תריס קיים 35/250</t>
        </is>
      </c>
      <c r="C76" s="10" t="inlineStr">
        <is>
          <t>יח'</t>
        </is>
      </c>
      <c r="D76" s="11" t="n">
        <v>145</v>
      </c>
      <c r="E76" s="12">
        <f>IF(D76="","",D76*0.15)</f>
        <v>21.75</v>
      </c>
      <c r="F76" s="13">
        <f>IF(D76="","",D76*0.05)</f>
        <v>7.25</v>
      </c>
      <c r="G76" s="13">
        <f>IF(D76="","",D76*1.05*0.85)</f>
        <v>129.4125</v>
      </c>
      <c r="H76" s="14">
        <f>'1549'!D76</f>
        <v>0</v>
      </c>
      <c r="I76" s="14">
        <f>IF(H76="","",H76*G76)</f>
        <v>0</v>
      </c>
      <c r="J76" s="14">
        <f>H76</f>
        <v>0</v>
      </c>
      <c r="K76" s="14">
        <f>I76</f>
        <v>0</v>
      </c>
    </row>
    <row r="77" hidden="1">
      <c r="A77" s="8" t="inlineStr">
        <is>
          <t>12.065.0003</t>
        </is>
      </c>
      <c r="B77" s="9" t="inlineStr">
        <is>
          <t>פירוק ארגז תריס קיים 35/300</t>
        </is>
      </c>
      <c r="C77" s="10" t="inlineStr">
        <is>
          <t>יח'</t>
        </is>
      </c>
      <c r="D77" s="11" t="n">
        <v>157</v>
      </c>
      <c r="E77" s="12">
        <f>IF(D77="","",D77*0.15)</f>
        <v>23.55</v>
      </c>
      <c r="F77" s="13">
        <f>IF(D77="","",D77*0.05)</f>
        <v>7.8500000000000005</v>
      </c>
      <c r="G77" s="13">
        <f>IF(D77="","",D77*1.05*0.85)</f>
        <v>140.1225</v>
      </c>
      <c r="H77" s="14">
        <f>'1549'!D77</f>
        <v>0</v>
      </c>
      <c r="I77" s="14">
        <f>IF(H77="","",H77*G77)</f>
        <v>0</v>
      </c>
      <c r="J77" s="14">
        <f>H77</f>
        <v>0</v>
      </c>
      <c r="K77" s="14">
        <f>I77</f>
        <v>0</v>
      </c>
    </row>
    <row r="78" ht="15.6" customHeight="1">
      <c r="A78" s="8" t="inlineStr">
        <is>
          <t>12.065.0004</t>
        </is>
      </c>
      <c r="B78" s="9" t="inlineStr">
        <is>
          <t>פירוק ארגז תריס קיים 35/350</t>
        </is>
      </c>
      <c r="C78" s="10" t="inlineStr">
        <is>
          <t>יח'</t>
        </is>
      </c>
      <c r="D78" s="11" t="n">
        <v>169</v>
      </c>
      <c r="E78" s="12">
        <f>IF(D78="","",D78*0.15)</f>
        <v>25.349999999999998</v>
      </c>
      <c r="F78" s="13">
        <f>IF(D78="","",D78*0.05)</f>
        <v>8.450000000000001</v>
      </c>
      <c r="G78" s="13">
        <f>IF(D78="","",D78*1.05*0.85)</f>
        <v>150.8325</v>
      </c>
      <c r="H78" s="14">
        <f>'1549'!D78</f>
        <v>1</v>
      </c>
      <c r="I78" s="14">
        <f>IF(H78="","",H78*G78)</f>
        <v>150.8325</v>
      </c>
      <c r="J78" s="14">
        <f>H78</f>
        <v>1</v>
      </c>
      <c r="K78" s="14">
        <f>I78</f>
        <v>150.8325</v>
      </c>
    </row>
    <row r="79" hidden="1" ht="15.6" customHeight="1">
      <c r="A79" s="8" t="inlineStr">
        <is>
          <t>12.065.0005</t>
        </is>
      </c>
      <c r="B79" s="9" t="inlineStr">
        <is>
          <t>פירוק ארגז תריס קיים 35/400</t>
        </is>
      </c>
      <c r="C79" s="10" t="inlineStr">
        <is>
          <t>יח'</t>
        </is>
      </c>
      <c r="D79" s="11" t="n">
        <v>181</v>
      </c>
      <c r="E79" s="12">
        <f>IF(D79="","",D79*0.15)</f>
        <v>27.15</v>
      </c>
      <c r="F79" s="13">
        <f>IF(D79="","",D79*0.05)</f>
        <v>9.05</v>
      </c>
      <c r="G79" s="13">
        <f>IF(D79="","",D79*1.05*0.85)</f>
        <v>161.54250000000002</v>
      </c>
      <c r="H79" s="14">
        <f>'1549'!D79</f>
        <v>0</v>
      </c>
      <c r="I79" s="14">
        <f>IF(H79="","",H79*G79)</f>
        <v>0</v>
      </c>
      <c r="J79" s="14">
        <f>H79</f>
        <v>0</v>
      </c>
      <c r="K79" s="14">
        <f>I79</f>
        <v>0</v>
      </c>
    </row>
    <row r="80" hidden="1" ht="15.6" customHeight="1">
      <c r="A80" s="8" t="inlineStr">
        <is>
          <t>12.065.0006</t>
        </is>
      </c>
      <c r="B80" s="9" t="inlineStr">
        <is>
          <t>פירוק ארגז תריס קיים 35/450</t>
        </is>
      </c>
      <c r="C80" s="10" t="inlineStr">
        <is>
          <t>יח'</t>
        </is>
      </c>
      <c r="D80" s="11" t="n">
        <v>193</v>
      </c>
      <c r="E80" s="12">
        <f>IF(D80="","",D80*0.15)</f>
        <v>28.95</v>
      </c>
      <c r="F80" s="13">
        <f>IF(D80="","",D80*0.05)</f>
        <v>9.65</v>
      </c>
      <c r="G80" s="13">
        <f>IF(D80="","",D80*1.05*0.85)</f>
        <v>172.2525</v>
      </c>
      <c r="H80" s="14">
        <f>'1549'!D80</f>
        <v>0</v>
      </c>
      <c r="I80" s="14">
        <f>IF(H80="","",H80*G80)</f>
        <v>0</v>
      </c>
      <c r="J80" s="14">
        <f>H80</f>
        <v>0</v>
      </c>
      <c r="K80" s="14">
        <f>I80</f>
        <v>0</v>
      </c>
    </row>
    <row r="81" hidden="1" ht="15.6" customHeight="1">
      <c r="A81" s="8" t="inlineStr">
        <is>
          <t>12.067</t>
        </is>
      </c>
      <c r="B81" s="9" t="inlineStr">
        <is>
          <t>רשתות גלילה ורשתות יתושים</t>
        </is>
      </c>
      <c r="C81" s="10" t="inlineStr"/>
      <c r="D81" s="11" t="n"/>
      <c r="E81" s="12" t="n"/>
      <c r="F81" s="13" t="n"/>
      <c r="G81" s="13" t="n"/>
    </row>
    <row r="82" ht="15.6" customHeight="1">
      <c r="A82" s="8" t="inlineStr">
        <is>
          <t>12.067.9000</t>
        </is>
      </c>
      <c r="B82" s="9" t="inlineStr">
        <is>
          <t>פירוק רשתות יתושים, לרבות מסגרת</t>
        </is>
      </c>
      <c r="C82" s="10" t="inlineStr">
        <is>
          <t>מ"ר</t>
        </is>
      </c>
      <c r="D82" s="11" t="n">
        <v>53</v>
      </c>
      <c r="E82" s="12">
        <f>IF(D82="","",D82*0.15)</f>
        <v>7.949999999999999</v>
      </c>
      <c r="F82" s="13">
        <f>IF(D82="","",D82*0.05)</f>
        <v>2.6500000000000004</v>
      </c>
      <c r="G82" s="13">
        <f>IF(D82="","",D82*1.05*0.85)</f>
        <v>47.3025</v>
      </c>
      <c r="H82" s="14">
        <f>'1549'!D82</f>
        <v>10.817</v>
      </c>
      <c r="I82" s="14">
        <f>IF(H82="","",H82*G82)</f>
        <v>511.67114250000003</v>
      </c>
      <c r="J82" s="14">
        <f>H82</f>
        <v>10.817</v>
      </c>
      <c r="K82" s="14">
        <f>I82</f>
        <v>511.67114250000003</v>
      </c>
    </row>
    <row r="83" hidden="1" ht="28.8" customHeight="1">
      <c r="A83" s="8" t="inlineStr">
        <is>
          <t>12.067.0200</t>
        </is>
      </c>
      <c r="B83" s="9" t="inlineStr">
        <is>
          <t>רשת יתושים קטנה מפיברגלס, עבור חלון הזזה (הרשת על חצי הפתח) לרבות מסגרת מפרופיל אלומיניום מאולגן במידות 40/15 מ"מ, לרבות מסילה בתוך משקוף החלון, בשטח מעל 0.6 מ"ר ועד 1.0 מ"ר. המדידה לפי שטח הרשת</t>
        </is>
      </c>
      <c r="C83" s="10" t="inlineStr">
        <is>
          <t>מ"ר</t>
        </is>
      </c>
      <c r="D83" s="11" t="n">
        <v>880</v>
      </c>
      <c r="E83" s="12">
        <f>IF(D83="","",D83*0.15)</f>
        <v>132</v>
      </c>
      <c r="F83" s="13">
        <f>IF(D83="","",D83*0.05)</f>
        <v>44</v>
      </c>
      <c r="G83" s="13">
        <f>IF(D83="","",D83*1.05*0.85)</f>
        <v>785.4</v>
      </c>
      <c r="H83" s="14">
        <f>'1549'!D83</f>
        <v>0</v>
      </c>
      <c r="I83" s="14">
        <f>IF(H83="","",H83*G83)</f>
        <v>0</v>
      </c>
      <c r="J83" s="14">
        <f>H83</f>
        <v>0</v>
      </c>
      <c r="K83" s="14">
        <f>I83</f>
        <v>0</v>
      </c>
    </row>
    <row r="84" ht="28.8" customHeight="1">
      <c r="A84" s="8" t="inlineStr">
        <is>
          <t>12.067.0210</t>
        </is>
      </c>
      <c r="B84" s="9" t="inlineStr">
        <is>
          <t>רשת יתושים קטנה מפיברגלס, עבור חלון הזזה (הרשת על חצי הפתח) לרבות מסגרת מפרופיל אלומיניום מאולגן במידות 40/15 מ"מ, לרבות מסילה בתוך משקוף החלון, בשטח מעל 1.0 מ"ר ועד 2.0 מ"ר. המדידה לפי שטח הרשת</t>
        </is>
      </c>
      <c r="C84" s="10" t="inlineStr">
        <is>
          <t>מ"ר</t>
        </is>
      </c>
      <c r="D84" s="11" t="n">
        <v>650</v>
      </c>
      <c r="E84" s="12">
        <f>IF(D84="","",D84*0.15)</f>
        <v>97.5</v>
      </c>
      <c r="F84" s="13">
        <f>IF(D84="","",D84*0.05)</f>
        <v>32.5</v>
      </c>
      <c r="G84" s="13">
        <f>IF(D84="","",D84*1.05*0.85)</f>
        <v>580.125</v>
      </c>
      <c r="H84" s="14">
        <f>'1549'!D84</f>
        <v>10.817</v>
      </c>
      <c r="I84" s="14">
        <f>IF(H84="","",H84*G84)</f>
        <v>6275.212125</v>
      </c>
      <c r="J84" s="14">
        <f>H84</f>
        <v>10.817</v>
      </c>
      <c r="K84" s="14">
        <f>I84</f>
        <v>6275.212125</v>
      </c>
    </row>
    <row r="85" hidden="1" ht="28.2" customHeight="1">
      <c r="A85" s="8" t="inlineStr">
        <is>
          <t>12.068</t>
        </is>
      </c>
      <c r="B85" s="9" t="inlineStr">
        <is>
          <t>זכוכית לזיגוג דלתות וחלונות, ציפויי חלונות וקירות וזכוכית לסגירת מרפסות</t>
        </is>
      </c>
      <c r="C85" s="10" t="inlineStr"/>
      <c r="D85" s="11" t="n"/>
      <c r="E85" s="12" t="n"/>
      <c r="F85" s="13" t="n"/>
      <c r="G85" s="13" t="n"/>
    </row>
    <row r="86" hidden="1" ht="15.6" customHeight="1">
      <c r="A86" s="8" t="inlineStr">
        <is>
          <t>12.068.1320</t>
        </is>
      </c>
      <c r="B86" s="9" t="inlineStr">
        <is>
          <t>זכוכית בטחון 5+5 מ"מ עם 0.76 P.V.B</t>
        </is>
      </c>
      <c r="C86" s="10" t="inlineStr">
        <is>
          <t>מ"ר</t>
        </is>
      </c>
      <c r="D86" s="11" t="n">
        <v>265</v>
      </c>
      <c r="E86" s="12">
        <f>IF(D86="","",D86*0.15)</f>
        <v>39.75</v>
      </c>
      <c r="F86" s="13">
        <f>IF(D86="","",D86*0.05)</f>
        <v>13.25</v>
      </c>
      <c r="G86" s="13">
        <f>IF(D86="","",D86*1.05*0.85)</f>
        <v>236.5125</v>
      </c>
      <c r="H86" s="14">
        <f>'1549'!D86</f>
        <v>0</v>
      </c>
      <c r="I86" s="14">
        <f>IF(H86="","",H86*G86)</f>
        <v>0</v>
      </c>
      <c r="J86" s="14">
        <f>H86</f>
        <v>0</v>
      </c>
      <c r="K86" s="14">
        <f>I86</f>
        <v>0</v>
      </c>
    </row>
    <row r="87" ht="15.6" customHeight="1">
      <c r="A87" s="8" t="inlineStr">
        <is>
          <t>12.068.1216</t>
        </is>
      </c>
      <c r="B87" s="9" t="inlineStr">
        <is>
          <t>זכוכית שקופה בידודית מחוסמת משני הצדדים 6+10+8 מ"מ</t>
        </is>
      </c>
      <c r="C87" s="10" t="inlineStr">
        <is>
          <t>מ"ר</t>
        </is>
      </c>
      <c r="D87" s="11" t="n">
        <v>375</v>
      </c>
      <c r="E87" s="12">
        <f>IF(D87="","",D87*0.15)</f>
        <v>56.25</v>
      </c>
      <c r="F87" s="13">
        <f>IF(D87="","",D87*0.05)</f>
        <v>18.75</v>
      </c>
      <c r="G87" s="13">
        <f>IF(D87="","",D87*1.05*0.85)</f>
        <v>334.6875</v>
      </c>
      <c r="H87" s="14">
        <f>'1549'!D87</f>
        <v>5.558</v>
      </c>
      <c r="I87" s="14">
        <f>IF(H87="","",H87*G87)</f>
        <v>1860.193125</v>
      </c>
      <c r="J87" s="14">
        <f>H87</f>
        <v>5.558</v>
      </c>
      <c r="K87" s="14">
        <f>I87</f>
        <v>1860.193125</v>
      </c>
    </row>
    <row r="88" hidden="1" ht="43.2" customHeight="1">
      <c r="A88" s="8" t="inlineStr">
        <is>
          <t>12.068.1172</t>
        </is>
      </c>
      <c r="B88" s="9" t="inlineStr">
        <is>
          <t>זכוכית שקופה בידודית מחוסמת משני הצדדים 5+6+6 מ"מ</t>
        </is>
      </c>
      <c r="C88" s="10" t="inlineStr">
        <is>
          <t>מ"ר</t>
        </is>
      </c>
      <c r="D88" s="11" t="n">
        <v>317</v>
      </c>
      <c r="E88" s="12">
        <f>IF(D88="","",D88*0.15)</f>
        <v>47.55</v>
      </c>
      <c r="F88" s="13">
        <f>IF(D88="","",D88*0.05)</f>
        <v>15.850000000000001</v>
      </c>
      <c r="G88" s="13">
        <f>IF(D88="","",D88*1.05*0.85)</f>
        <v>282.9225</v>
      </c>
      <c r="H88" s="14">
        <f>'1549'!D88</f>
        <v>0</v>
      </c>
      <c r="I88" s="14">
        <f>IF(H88="","",H88*G88)</f>
        <v>0</v>
      </c>
      <c r="J88" s="14">
        <f>H88</f>
        <v>0</v>
      </c>
      <c r="K88" s="14">
        <f>I88</f>
        <v>0</v>
      </c>
    </row>
    <row r="89">
      <c r="A89" s="8" t="inlineStr">
        <is>
          <t>12.068.1004</t>
        </is>
      </c>
      <c r="B89" s="9" t="inlineStr">
        <is>
          <t>זכוכית שטוחה מחוסמת בעובי 6 מ"מ</t>
        </is>
      </c>
      <c r="C89" s="10" t="inlineStr">
        <is>
          <t>מ"ר</t>
        </is>
      </c>
      <c r="D89" s="11" t="n">
        <v>172</v>
      </c>
      <c r="E89" s="12">
        <f>IF(D89="","",D89*0.15)</f>
        <v>25.8</v>
      </c>
      <c r="F89" s="13">
        <f>IF(D89="","",D89*0.05)</f>
        <v>8.6</v>
      </c>
      <c r="G89" s="13">
        <f>IF(D89="","",D89*1.05*0.85)</f>
        <v>153.51</v>
      </c>
      <c r="H89" s="14">
        <f>'1549'!D89</f>
        <v>-7.85</v>
      </c>
      <c r="I89" s="14">
        <f>IF(H89="","",H89*G89)</f>
        <v>-1205.0535</v>
      </c>
      <c r="J89" s="14">
        <f>H89</f>
        <v>-7.85</v>
      </c>
      <c r="K89" s="14">
        <f>I89</f>
        <v>-1205.0535</v>
      </c>
    </row>
    <row r="90" hidden="1">
      <c r="A90" s="8" t="inlineStr">
        <is>
          <t>12.068.0902</t>
        </is>
      </c>
      <c r="B90" s="9" t="inlineStr">
        <is>
          <t>זכוכית שטוחה שקופה בעובי 5 מ"מ</t>
        </is>
      </c>
      <c r="C90" s="10" t="inlineStr">
        <is>
          <t>מ"ר</t>
        </is>
      </c>
      <c r="D90" s="11" t="n">
        <v>94</v>
      </c>
      <c r="E90" s="12">
        <f>IF(D90="","",D90*0.15)</f>
        <v>14.1</v>
      </c>
      <c r="F90" s="13">
        <f>IF(D90="","",D90*0.05)</f>
        <v>4.7</v>
      </c>
      <c r="G90" s="13">
        <f>IF(D90="","",D90*1.05*0.85)</f>
        <v>83.895</v>
      </c>
      <c r="H90" s="14">
        <f>'1549'!D90</f>
        <v>0</v>
      </c>
      <c r="I90" s="14">
        <f>IF(H90="","",H90*G90)</f>
        <v>0</v>
      </c>
      <c r="J90" s="14">
        <f>H90</f>
        <v>0</v>
      </c>
      <c r="K90" s="14">
        <f>I90</f>
        <v>0</v>
      </c>
    </row>
    <row r="91" hidden="1" ht="28.8" customHeight="1">
      <c r="A91" s="8" t="inlineStr">
        <is>
          <t>12.068.1002</t>
        </is>
      </c>
      <c r="B91" s="9" t="inlineStr">
        <is>
          <t>זכוכית שטוחה מחוסמת בעובי 5 מ"מ</t>
        </is>
      </c>
      <c r="C91" s="10" t="inlineStr">
        <is>
          <t>מ"ר</t>
        </is>
      </c>
      <c r="D91" s="11" t="n">
        <v>157</v>
      </c>
      <c r="E91" s="12">
        <f>IF(D91="","",D91*0.15)</f>
        <v>23.55</v>
      </c>
      <c r="F91" s="13">
        <f>IF(D91="","",D91*0.05)</f>
        <v>7.8500000000000005</v>
      </c>
      <c r="G91" s="13">
        <f>IF(D91="","",D91*1.05*0.85)</f>
        <v>140.1225</v>
      </c>
      <c r="H91" s="14">
        <f>'1549'!D91</f>
        <v>0</v>
      </c>
      <c r="I91" s="14">
        <f>IF(H91="","",H91*G91)</f>
        <v>0</v>
      </c>
      <c r="J91" s="14">
        <f>H91</f>
        <v>0</v>
      </c>
      <c r="K91" s="14">
        <f>I91</f>
        <v>0</v>
      </c>
    </row>
    <row r="92" hidden="1" ht="55.8" customHeight="1">
      <c r="A92" s="8" t="inlineStr">
        <is>
          <t>12.068.1006</t>
        </is>
      </c>
      <c r="B92" s="9" t="inlineStr">
        <is>
          <t>זכוכית שטוחה מחוסמת בעובי 8 מ"מ</t>
        </is>
      </c>
      <c r="C92" s="10" t="inlineStr">
        <is>
          <t>מ"ר</t>
        </is>
      </c>
      <c r="D92" s="11" t="n">
        <v>315</v>
      </c>
      <c r="E92" s="12">
        <f>IF(D92="","",D92*0.15)</f>
        <v>47.25</v>
      </c>
      <c r="F92" s="13">
        <f>IF(D92="","",D92*0.05)</f>
        <v>15.75</v>
      </c>
      <c r="G92" s="13">
        <f>IF(D92="","",D92*1.05*0.85)</f>
        <v>281.1375</v>
      </c>
      <c r="H92" s="14">
        <f>'1549'!D92</f>
        <v>0</v>
      </c>
      <c r="I92" s="14">
        <f>IF(H92="","",H92*G92)</f>
        <v>0</v>
      </c>
      <c r="J92" s="14">
        <f>H92</f>
        <v>0</v>
      </c>
      <c r="K92" s="14">
        <f>I92</f>
        <v>0</v>
      </c>
    </row>
    <row r="93" hidden="1">
      <c r="A93" s="8" t="inlineStr">
        <is>
          <t>15</t>
        </is>
      </c>
      <c r="B93" s="9" t="inlineStr">
        <is>
          <t>מתקני מיזוג אוויר</t>
        </is>
      </c>
      <c r="C93" s="10" t="inlineStr"/>
      <c r="D93" s="11" t="n"/>
      <c r="E93" s="12" t="n"/>
      <c r="F93" s="13" t="n"/>
      <c r="G93" s="13" t="n"/>
    </row>
    <row r="94" hidden="1">
      <c r="A94" s="8" t="inlineStr">
        <is>
          <t>15.041</t>
        </is>
      </c>
      <c r="B94" s="9" t="inlineStr">
        <is>
          <t>מזגנים מפוצלים ויחידות מיני מרכזיות</t>
        </is>
      </c>
      <c r="C94" s="10" t="inlineStr"/>
      <c r="D94" s="11" t="n"/>
      <c r="E94" s="12" t="n"/>
      <c r="F94" s="13" t="n"/>
      <c r="G94" s="13" t="n"/>
    </row>
    <row r="95">
      <c r="A95" s="8" t="inlineStr">
        <is>
          <t>15.041.1200</t>
        </is>
      </c>
      <c r="B95" s="9" t="inlineStr">
        <is>
          <t>מזגן מפוצל אינוורטר (התקנה סטנדרטית) כדוגמת "אלקטרה" או ש"ע לתפוקת קירור נומינלית BTU/HR 9,500 (1 כ"ס) לרבות 2.0 מ"א ראשונים של צנרת גז וחשמל, מותקן מושלם</t>
        </is>
      </c>
      <c r="C95" s="10" t="inlineStr">
        <is>
          <t>קומפ'</t>
        </is>
      </c>
      <c r="D95" s="11" t="n">
        <v>3050</v>
      </c>
      <c r="E95" s="12">
        <f>IF(D95="","",D95*0.15)</f>
        <v>457.5</v>
      </c>
      <c r="F95" s="13">
        <f>IF(D95="","",D95*0.05)</f>
        <v>152.5</v>
      </c>
      <c r="G95" s="13">
        <f>IF(D95="","",D95*1.05*0.85)</f>
        <v>2722.125</v>
      </c>
      <c r="H95" s="14">
        <f>'1549'!D95</f>
        <v>1</v>
      </c>
      <c r="I95" s="14">
        <f>IF(H95="","",H95*G95)</f>
        <v>2722.125</v>
      </c>
      <c r="J95" s="14">
        <f>H95</f>
        <v>1</v>
      </c>
      <c r="K95" s="14">
        <f>I95</f>
        <v>2722.125</v>
      </c>
    </row>
    <row r="96" hidden="1">
      <c r="A96" s="8" t="inlineStr">
        <is>
          <t>15.041.1210</t>
        </is>
      </c>
      <c r="B96" s="9" t="inlineStr">
        <is>
          <t>מזגן מפוצל אינוורטר (התקנה סטנדרטית) כדוגמת "אלקטרה" או ש"ע לתפוקת קירור נומינלית BTU/HR 12,000 (1.2 כ"ס) לרבות 2.0 מ"א ראשונים של צנרת גז וחשמל, מותקן מושלם</t>
        </is>
      </c>
      <c r="C96" s="10" t="inlineStr">
        <is>
          <t>קומפ</t>
        </is>
      </c>
      <c r="D96" s="11" t="n">
        <v>3500</v>
      </c>
      <c r="E96" s="12">
        <f>IF(D96="","",D96*0.15)</f>
        <v>525</v>
      </c>
      <c r="F96" s="13">
        <f>IF(D96="","",D96*0.05)</f>
        <v>175</v>
      </c>
      <c r="G96" s="13">
        <f>IF(D96="","",D96*1.05*0.85)</f>
        <v>3123.75</v>
      </c>
      <c r="H96" s="14">
        <f>'1549'!D96</f>
        <v>0</v>
      </c>
      <c r="I96" s="14">
        <f>IF(H96="","",H96*G96)</f>
        <v>0</v>
      </c>
      <c r="J96" s="14">
        <f>H96</f>
        <v>0</v>
      </c>
      <c r="K96" s="14">
        <f>I96</f>
        <v>0</v>
      </c>
    </row>
    <row r="97">
      <c r="A97" s="8" t="inlineStr">
        <is>
          <t>15.041.4000</t>
        </is>
      </c>
      <c r="B97" s="9" t="inlineStr">
        <is>
          <t>צנרת גז וחשמל למזגן עם מעטה למיזוג אוויר (צמ"א) הכוללת 2 צינורות נחושת מבודדים בקטרים "3/8, "5/8, צינור חשמל עם כבל רב גידי, הכל מאוגד יחדיו בשרוול (מעל 2.0 מ"א הראשונים הכלולים במחיר התקנת מזגן) לרבות מילוי גז ושמן כנדרש לתוספת צנרת זו</t>
        </is>
      </c>
      <c r="C97" s="10" t="inlineStr">
        <is>
          <t>מ"א</t>
        </is>
      </c>
      <c r="D97" s="11" t="n">
        <v>128</v>
      </c>
      <c r="E97" s="12">
        <f>IF(D97="","",D97*0.15)</f>
        <v>19.2</v>
      </c>
      <c r="F97" s="13">
        <f>IF(D97="","",D97*0.05)</f>
        <v>6.4</v>
      </c>
      <c r="G97" s="13">
        <f>IF(D97="","",D97*1.05*0.85)</f>
        <v>114.24</v>
      </c>
      <c r="H97" s="14">
        <f>'1549'!D97</f>
        <v>2</v>
      </c>
      <c r="I97" s="14">
        <f>IF(H97="","",H97*G97)</f>
        <v>228.48</v>
      </c>
      <c r="J97" s="14">
        <f>H97</f>
        <v>2</v>
      </c>
      <c r="K97" s="14">
        <f>I97</f>
        <v>228.48</v>
      </c>
    </row>
    <row r="98" hidden="1">
      <c r="A98" s="8" t="inlineStr">
        <is>
          <t>15.041.4010</t>
        </is>
      </c>
      <c r="B98" s="9" t="inlineStr">
        <is>
          <t>צנרת גז וחשמל למזגן עם מעטה למיזוג אוויר (צמ"א) הכוללת 2 צינורות נחושת מבודדים בקטרים "1/2, "7/8, צינור חשמל עם כבל רב גידי, הכל מאוגד יחדיו בשרוול (מעל 2.0 מ"א הראשונים הכלולים במחיר התקנת מזגן), לרבות מילוי גז ושמן כנדרש לתוספת צנרת זו</t>
        </is>
      </c>
      <c r="C98" s="10" t="inlineStr">
        <is>
          <t>מ'</t>
        </is>
      </c>
      <c r="D98" s="11" t="n">
        <v>172</v>
      </c>
      <c r="E98" s="12">
        <f>IF(D98="","",D98*0.15)</f>
        <v>25.8</v>
      </c>
      <c r="F98" s="13">
        <f>IF(D98="","",D98*0.05)</f>
        <v>8.6</v>
      </c>
      <c r="G98" s="13">
        <f>IF(D98="","",D98*1.05*0.85)</f>
        <v>153.51</v>
      </c>
      <c r="H98" s="14">
        <f>'1549'!D98</f>
        <v>0</v>
      </c>
      <c r="I98" s="14">
        <f>IF(H98="","",H98*G98)</f>
        <v>0</v>
      </c>
      <c r="J98" s="14">
        <f>H98</f>
        <v>0</v>
      </c>
      <c r="K98" s="14">
        <f>I98</f>
        <v>0</v>
      </c>
    </row>
    <row r="99">
      <c r="A99" s="8" t="inlineStr">
        <is>
          <t>15.041.9161</t>
        </is>
      </c>
      <c r="B99" s="9" t="inlineStr">
        <is>
          <t>תוספת לסעיפי התקנה של מזגנים עבור ביצוע קידוח למעבר צנרת, בקיר בטון בעובי 30-35 ס"מ במקום בקיר בלוקים בעובי 20-25 ס"מ. קוטר הקידוח עד "3</t>
        </is>
      </c>
      <c r="C99" s="10" t="inlineStr">
        <is>
          <t>יח'</t>
        </is>
      </c>
      <c r="D99" s="11" t="n">
        <v>320</v>
      </c>
      <c r="E99" s="12">
        <f>IF(D99="","",D99*0.15)</f>
        <v>48</v>
      </c>
      <c r="F99" s="13">
        <f>IF(D99="","",D99*0.05)</f>
        <v>16</v>
      </c>
      <c r="G99" s="13">
        <f>IF(D99="","",D99*1.05*0.85)</f>
        <v>285.59999999999997</v>
      </c>
      <c r="H99" s="14">
        <f>'1549'!D99</f>
        <v>2</v>
      </c>
      <c r="I99" s="14">
        <f>IF(H99="","",H99*G99)</f>
        <v>571.1999999999999</v>
      </c>
      <c r="J99" s="14">
        <f>H99</f>
        <v>2</v>
      </c>
      <c r="K99" s="14">
        <f>I99</f>
        <v>571.1999999999999</v>
      </c>
    </row>
    <row r="100">
      <c r="A100" s="8" t="inlineStr">
        <is>
          <t>15.041.9620</t>
        </is>
      </c>
      <c r="B100" s="9" t="inlineStr">
        <is>
          <t>החלפת צינור שרשורי לניקוז מזגן מפוצל.</t>
        </is>
      </c>
      <c r="C100" s="10" t="inlineStr">
        <is>
          <t>מ"א</t>
        </is>
      </c>
      <c r="D100" s="11" t="n">
        <v>23.5</v>
      </c>
      <c r="E100" s="12">
        <f>IF(D100="","",D100*0.15)</f>
        <v>3.525</v>
      </c>
      <c r="F100" s="13">
        <f>IF(D100="","",D100*0.05)</f>
        <v>1.175</v>
      </c>
      <c r="G100" s="13">
        <f>IF(D100="","",D100*1.05*0.85)</f>
        <v>20.97375</v>
      </c>
      <c r="H100" s="14">
        <f>'1549'!D100</f>
        <v>3</v>
      </c>
      <c r="I100" s="14">
        <f>IF(H100="","",H100*G100)</f>
        <v>62.92125</v>
      </c>
      <c r="J100" s="14">
        <f>H100</f>
        <v>3</v>
      </c>
      <c r="K100" s="14">
        <f>I100</f>
        <v>62.92125</v>
      </c>
    </row>
    <row r="101">
      <c r="A101" s="8" t="inlineStr">
        <is>
          <t>15.041.9950</t>
        </is>
      </c>
      <c r="B101" s="9" t="inlineStr">
        <is>
          <t>תוספת עבור הרמת מעבה מזגן בתפוקת קירור של עד 16,000 BTU/HR (2 כ"ס) לגובה מעל 3 מ', ללא מנוף</t>
        </is>
      </c>
      <c r="C101" s="10" t="inlineStr">
        <is>
          <t>יח'</t>
        </is>
      </c>
      <c r="D101" s="11" t="n">
        <v>180</v>
      </c>
      <c r="E101" s="12">
        <f>IF(D101="","",D101*0.15)</f>
        <v>27</v>
      </c>
      <c r="F101" s="13">
        <f>IF(D101="","",D101*0.05)</f>
        <v>9</v>
      </c>
      <c r="G101" s="13">
        <f>IF(D101="","",D101*1.05*0.85)</f>
        <v>160.65</v>
      </c>
      <c r="H101" s="14">
        <f>'1549'!D101</f>
        <v>1</v>
      </c>
      <c r="I101" s="14">
        <f>IF(H101="","",H101*G101)</f>
        <v>160.65</v>
      </c>
      <c r="J101" s="14">
        <f>H101</f>
        <v>1</v>
      </c>
      <c r="K101" s="14">
        <f>I101</f>
        <v>160.65</v>
      </c>
    </row>
    <row r="102">
      <c r="A102" s="8" t="inlineStr">
        <is>
          <t>30.050.9010</t>
        </is>
      </c>
      <c r="B102" s="9" t="inlineStr">
        <is>
          <t>פירוק צלונים/וילונות ונציאניים מסוגים שונים לשימוש חוזר, לרבות קונסטרוקצית תליה וכבלים</t>
        </is>
      </c>
      <c r="C102" s="10" t="inlineStr">
        <is>
          <t>מ"ר</t>
        </is>
      </c>
      <c r="D102" s="11" t="n">
        <v>48</v>
      </c>
      <c r="E102" s="12">
        <f>IF(D102="","",D102*0.15)</f>
        <v>7.199999999999999</v>
      </c>
      <c r="F102" s="13">
        <f>IF(D102="","",D102*0.05)</f>
        <v>2.4000000000000004</v>
      </c>
      <c r="G102" s="13">
        <f>IF(D102="","",D102*1.05*0.85)</f>
        <v>42.84</v>
      </c>
      <c r="H102" s="14">
        <f>'1549'!D102</f>
        <v>18.965</v>
      </c>
      <c r="I102" s="14">
        <f>IF(H102="","",H102*G102)</f>
        <v>812.4606000000001</v>
      </c>
      <c r="J102" s="14">
        <f>H102</f>
        <v>18.965</v>
      </c>
      <c r="K102" s="14">
        <f>I102</f>
        <v>812.4606000000001</v>
      </c>
    </row>
    <row r="103" hidden="1">
      <c r="A103" s="8" t="inlineStr">
        <is>
          <t>60</t>
        </is>
      </c>
      <c r="B103" s="9" t="inlineStr">
        <is>
          <t>מחירי שעות עבודה ושכירת ציוד</t>
        </is>
      </c>
      <c r="C103" s="10" t="inlineStr"/>
      <c r="D103" s="11" t="n"/>
      <c r="E103" s="12" t="n"/>
      <c r="F103" s="13" t="n"/>
      <c r="G103" s="13" t="n"/>
    </row>
    <row r="104" hidden="1">
      <c r="A104" s="8" t="inlineStr">
        <is>
          <t>60.020</t>
        </is>
      </c>
      <c r="B104" s="9" t="inlineStr">
        <is>
          <t>ש"ע פועלי בנין - מחירי קבלן משנה</t>
        </is>
      </c>
      <c r="C104" s="10" t="inlineStr"/>
      <c r="D104" s="11" t="n"/>
      <c r="E104" s="12" t="n"/>
      <c r="F104" s="13" t="n"/>
      <c r="G104" s="13" t="n"/>
    </row>
    <row r="105">
      <c r="A105" s="8" t="inlineStr">
        <is>
          <t>60.010.0020</t>
        </is>
      </c>
      <c r="B105" s="9" t="inlineStr">
        <is>
          <t>פועל בנין פשוט</t>
        </is>
      </c>
      <c r="C105" s="10" t="inlineStr">
        <is>
          <t>ש"ע</t>
        </is>
      </c>
      <c r="D105" s="11" t="n">
        <v>130</v>
      </c>
      <c r="E105" s="12">
        <f>IF(D105="","",D105*0.15)</f>
        <v>19.5</v>
      </c>
      <c r="F105" s="13">
        <f>IF(D105="","",D105*0.05)</f>
        <v>6.5</v>
      </c>
      <c r="G105" s="13">
        <f>IF(D105="","",D105*1.05*0.85)</f>
        <v>116.02499999999999</v>
      </c>
      <c r="H105" s="14">
        <f>'1549'!D105</f>
        <v>3</v>
      </c>
      <c r="I105" s="14">
        <f>IF(H105="","",H105*G105)</f>
        <v>348.075</v>
      </c>
      <c r="J105" s="14">
        <f>H105</f>
        <v>3</v>
      </c>
      <c r="K105" s="14">
        <f>I105</f>
        <v>348.075</v>
      </c>
    </row>
    <row r="106">
      <c r="A106" s="8" t="inlineStr">
        <is>
          <t>60.010.0010</t>
        </is>
      </c>
      <c r="B106" s="9" t="inlineStr">
        <is>
          <t>פועל בנין מקצועי</t>
        </is>
      </c>
      <c r="C106" s="10" t="inlineStr">
        <is>
          <t>ש"ע</t>
        </is>
      </c>
      <c r="D106" s="11" t="n">
        <v>145</v>
      </c>
      <c r="E106" s="12">
        <f>IF(D106="","",D106*0.15)</f>
        <v>21.75</v>
      </c>
      <c r="F106" s="13">
        <f>IF(D106="","",D106*0.05)</f>
        <v>7.25</v>
      </c>
      <c r="G106" s="13">
        <f>IF(D106="","",D106*1.05*0.85)</f>
        <v>129.4125</v>
      </c>
      <c r="H106" s="14">
        <f>'1549'!D106</f>
        <v>5</v>
      </c>
      <c r="I106" s="14">
        <f>IF(H106="","",H106*G106)</f>
        <v>647.0625</v>
      </c>
      <c r="J106" s="14">
        <f>H106</f>
        <v>5</v>
      </c>
      <c r="K106" s="14">
        <f>I106</f>
        <v>647.0625</v>
      </c>
    </row>
    <row r="107" hidden="1">
      <c r="A107" s="8" t="inlineStr">
        <is>
          <t>60.030</t>
        </is>
      </c>
      <c r="B107" s="9" t="inlineStr">
        <is>
          <t>ש"ע לשכירת ציוד מכני הנדסי, רכב משא ומיכליות מים</t>
        </is>
      </c>
      <c r="C107" s="10" t="inlineStr"/>
      <c r="D107" s="11" t="n"/>
      <c r="E107" s="12" t="n"/>
      <c r="F107" s="13" t="n"/>
      <c r="G107" s="13" t="n"/>
    </row>
    <row r="108" hidden="1">
      <c r="A108" s="8" t="inlineStr">
        <is>
          <t>60.030.0605</t>
        </is>
      </c>
      <c r="B108" s="9" t="inlineStr">
        <is>
          <t>משאית מנוף 23-30 טון, אורך זרוע 15-20 מ' (כושר הרמה לפי מפרט היצרן). המחיר הינו לשעתיים עבודה</t>
        </is>
      </c>
      <c r="C108" s="10" t="inlineStr">
        <is>
          <t>יח'</t>
        </is>
      </c>
      <c r="D108" s="11" t="n">
        <v>1460</v>
      </c>
      <c r="E108" s="12">
        <f>IF(D108="","",D108*0.15)</f>
        <v>219</v>
      </c>
      <c r="F108" s="13">
        <f>IF(D108="","",D108*0.05)</f>
        <v>73</v>
      </c>
      <c r="G108" s="13">
        <f>IF(D108="","",D108*1.05*0.85)</f>
        <v>1303.05</v>
      </c>
      <c r="H108" s="14">
        <f>'1549'!D108</f>
        <v>0</v>
      </c>
      <c r="I108" s="14">
        <f>IF(H108="","",H108*G108)</f>
        <v>0</v>
      </c>
      <c r="J108" s="14">
        <f>H108</f>
        <v>0</v>
      </c>
      <c r="K108" s="14">
        <f>I108</f>
        <v>0</v>
      </c>
    </row>
    <row r="109">
      <c r="A109" s="8" t="inlineStr">
        <is>
          <t>60.030.0634</t>
        </is>
      </c>
      <c r="B109" s="9" t="inlineStr">
        <is>
          <t>משאית מנוף 55-70 טון, אורך זרוע 30-35 מ' (כושר הרמה לפי מפרט היצרן). המחיר הינו לשעתיים עבודה</t>
        </is>
      </c>
      <c r="C109" s="10" t="inlineStr">
        <is>
          <t>יח'</t>
        </is>
      </c>
      <c r="D109" s="11" t="n">
        <v>1810</v>
      </c>
      <c r="E109" s="12">
        <f>IF(D109="","",D109*0.15)</f>
        <v>271.5</v>
      </c>
      <c r="F109" s="13">
        <f>IF(D109="","",D109*0.05)</f>
        <v>90.5</v>
      </c>
      <c r="G109" s="13">
        <f>IF(D109="","",D109*1.05*0.85)</f>
        <v>1615.425</v>
      </c>
      <c r="H109" s="14">
        <f>'1549'!D109</f>
        <v>1</v>
      </c>
      <c r="I109" s="14">
        <f>IF(H109="","",H109*G109)</f>
        <v>1615.425</v>
      </c>
      <c r="J109" s="14">
        <f>H109</f>
        <v>1</v>
      </c>
      <c r="K109" s="14">
        <f>I109</f>
        <v>1615.425</v>
      </c>
    </row>
    <row r="110" hidden="1">
      <c r="A110" s="8" t="inlineStr">
        <is>
          <t>60.030.0644</t>
        </is>
      </c>
      <c r="B110" s="9" t="inlineStr">
        <is>
          <t>משאית מנוף 95-100 טון, אורך זרוע 35-40 מ' (כושר הרמה לפי מפרט היצרן). המחיר הינו לשעתיים עבודה</t>
        </is>
      </c>
      <c r="C110" s="10" t="inlineStr">
        <is>
          <t>יח'</t>
        </is>
      </c>
      <c r="D110" s="11" t="n">
        <v>2200</v>
      </c>
      <c r="E110" s="12">
        <f>IF(D110="","",D110*0.15)</f>
        <v>330</v>
      </c>
      <c r="F110" s="13">
        <f>IF(D110="","",D110*0.05)</f>
        <v>110</v>
      </c>
      <c r="G110" s="13">
        <f>IF(D110="","",D110*1.05*0.85)</f>
        <v>1963.5</v>
      </c>
      <c r="H110" s="14">
        <f>'1549'!D110</f>
        <v>0</v>
      </c>
      <c r="I110" s="14">
        <f>IF(H110="","",H110*G110)</f>
        <v>0</v>
      </c>
      <c r="J110" s="14">
        <f>H110</f>
        <v>0</v>
      </c>
      <c r="K110" s="14">
        <f>I110</f>
        <v>0</v>
      </c>
    </row>
    <row r="111" hidden="1">
      <c r="A111" s="8" t="inlineStr">
        <is>
          <t>85</t>
        </is>
      </c>
      <c r="B111" s="9" t="inlineStr">
        <is>
          <t>חומרי איטום ובידוד תרמי</t>
        </is>
      </c>
      <c r="C111" s="10" t="inlineStr"/>
      <c r="D111" s="11" t="n"/>
      <c r="E111" s="12" t="n"/>
      <c r="F111" s="13" t="n"/>
      <c r="G111" s="13" t="n"/>
    </row>
    <row r="112" hidden="1">
      <c r="A112" s="8" t="inlineStr">
        <is>
          <t>85.095</t>
        </is>
      </c>
      <c r="B112" s="9" t="inlineStr">
        <is>
          <t>חומרים לבידוד תרמי ואקוסטי</t>
        </is>
      </c>
      <c r="C112" s="10" t="inlineStr"/>
      <c r="D112" s="11" t="n"/>
      <c r="E112" s="12" t="n"/>
      <c r="F112" s="13" t="n"/>
      <c r="G112" s="13" t="n"/>
    </row>
    <row r="113">
      <c r="A113" s="8" t="inlineStr">
        <is>
          <t>85.095.0950</t>
        </is>
      </c>
      <c r="B113" s="9" t="inlineStr">
        <is>
          <t>חומר בלבד: "דבטק" טקסאונד SY50 - יריעה פולימרית סינטטית לבידוד אקוסטי בעובי 2.5 מ"מ (מזרון דק), לא דליק, לקירות בבניין ותעשייה, משקל 5 ק"ג למ"ר - אריזת גליל 7.32 מ"ר, ברוחב 1.22 ובאורך 6.05 (המחיר ביח' לגליל)</t>
        </is>
      </c>
      <c r="C113" s="10" t="inlineStr">
        <is>
          <t>מ"ר</t>
        </is>
      </c>
      <c r="D113" s="11" t="n">
        <v>129.7814207650273</v>
      </c>
      <c r="E113" s="12">
        <f>IF(D113="","",D113*0.15)</f>
        <v>19.46721311475409</v>
      </c>
      <c r="F113" s="13">
        <f>IF(D113="","",D113*0.05)</f>
        <v>6.489071038251365</v>
      </c>
      <c r="G113" s="13">
        <f>IF(D113="","",D113*1.05*0.85)</f>
        <v>115.82991803278686</v>
      </c>
      <c r="H113" s="14">
        <f>'1549'!D113</f>
        <v>2.292</v>
      </c>
      <c r="I113" s="14">
        <f>IF(H113="","",H113*G113)</f>
        <v>265.4821721311475</v>
      </c>
      <c r="J113" s="14">
        <f>H113</f>
        <v>2.292</v>
      </c>
      <c r="K113" s="14">
        <f>I113</f>
        <v>265.4821721311475</v>
      </c>
    </row>
    <row r="114" hidden="1">
      <c r="A114" s="8" t="inlineStr">
        <is>
          <t>95</t>
        </is>
      </c>
      <c r="B114" s="9" t="inlineStr">
        <is>
          <t>חומרים</t>
        </is>
      </c>
      <c r="C114" s="10" t="inlineStr"/>
      <c r="D114" s="11" t="n"/>
      <c r="E114" s="12" t="n"/>
      <c r="F114" s="13" t="n"/>
      <c r="G114" s="13" t="n"/>
    </row>
    <row r="115">
      <c r="A115" s="8" t="inlineStr">
        <is>
          <t>95.040.0230</t>
        </is>
      </c>
      <c r="B115" s="9" t="inlineStr">
        <is>
          <t>חומר בלבד: מפסק פאקט חד פאזי ליחידת עיבוי</t>
        </is>
      </c>
      <c r="C115" s="10" t="inlineStr">
        <is>
          <t>יח'</t>
        </is>
      </c>
      <c r="D115" s="11" t="n">
        <v>150</v>
      </c>
      <c r="E115" s="12">
        <f>IF(D115="","",D115*0.15)</f>
        <v>22.5</v>
      </c>
      <c r="F115" s="13">
        <f>IF(D115="","",D115*0.05)</f>
        <v>7.5</v>
      </c>
      <c r="G115" s="13">
        <f>IF(D115="","",D115*1.05*0.85)</f>
        <v>133.875</v>
      </c>
      <c r="H115" s="14">
        <f>'1549'!D115</f>
        <v>1</v>
      </c>
      <c r="I115" s="14">
        <f>IF(H115="","",H115*G115)</f>
        <v>133.875</v>
      </c>
      <c r="J115" s="14">
        <f>H115</f>
        <v>1</v>
      </c>
      <c r="K115" s="14">
        <f>I115</f>
        <v>133.875</v>
      </c>
    </row>
    <row r="116">
      <c r="A116" s="8" t="inlineStr">
        <is>
          <t>12.99.0001</t>
        </is>
      </c>
      <c r="B116" s="9" t="inlineStr">
        <is>
          <t>תוספת ידיות מיוחדות ומנגנון נעילה מיוחד לויטרינות</t>
        </is>
      </c>
      <c r="C116" s="10" t="inlineStr">
        <is>
          <t>יח'</t>
        </is>
      </c>
      <c r="D116" s="11" t="n">
        <v>2375.350140056022</v>
      </c>
      <c r="E116" s="12">
        <f>IF(D116="","",D116*0.15)</f>
        <v>356.3025210084033</v>
      </c>
      <c r="F116" s="13">
        <f>IF(D116="","",D116*0.05)</f>
        <v>118.76750700280111</v>
      </c>
      <c r="G116" s="13">
        <f>IF(D116="","",D116*1.05*0.85)</f>
        <v>2120</v>
      </c>
      <c r="H116" s="14">
        <f>'1549'!D116</f>
        <v>1</v>
      </c>
      <c r="I116" s="14">
        <f>IF(H116="","",H116*G116)</f>
        <v>2120</v>
      </c>
      <c r="J116" s="14">
        <f>H116</f>
        <v>1</v>
      </c>
      <c r="K116" s="14">
        <f>I116</f>
        <v>2120</v>
      </c>
    </row>
    <row r="117">
      <c r="A117" s="8" t="inlineStr">
        <is>
          <t>12.99.0002</t>
        </is>
      </c>
      <c r="B117" s="9" t="inlineStr">
        <is>
          <t>תוספת ידיות מיוחדות ומנגנון נעילה מיוחד לחלונות</t>
        </is>
      </c>
      <c r="C117" s="10" t="inlineStr">
        <is>
          <t>יח'</t>
        </is>
      </c>
      <c r="D117" s="11" t="n">
        <v>950.1400560224089</v>
      </c>
      <c r="E117" s="12">
        <f>IF(D117="","",D117*0.15)</f>
        <v>142.52100840336132</v>
      </c>
      <c r="F117" s="13">
        <f>IF(D117="","",D117*0.05)</f>
        <v>47.50700280112045</v>
      </c>
      <c r="G117" s="13">
        <f>IF(D117="","",D117*1.05*0.85)</f>
        <v>848</v>
      </c>
      <c r="H117" s="14">
        <f>'1549'!D117</f>
        <v>3</v>
      </c>
      <c r="I117" s="14">
        <f>IF(H117="","",H117*G117)</f>
        <v>2544</v>
      </c>
      <c r="J117" s="14">
        <f>H117</f>
        <v>3</v>
      </c>
      <c r="K117" s="14">
        <f>I117</f>
        <v>2544</v>
      </c>
    </row>
    <row r="118">
      <c r="A118" s="8" t="inlineStr">
        <is>
          <t>12.093.0022</t>
        </is>
      </c>
      <c r="B118" s="9" t="inlineStr">
        <is>
          <t>תוספת עבור צבע מטאלי Fine Iron במראה מתכתי ובמרקם חלק בכל הגוונים. התוספת הינה 6% למחירי החלונות</t>
        </is>
      </c>
      <c r="C118" s="10" t="inlineStr">
        <is>
          <t>%</t>
        </is>
      </c>
      <c r="D118" s="11" t="n">
        <v>0.06</v>
      </c>
      <c r="E118" s="12">
        <f>IF(D118="","",D118*0.15)</f>
        <v>0.009</v>
      </c>
      <c r="F118" s="13">
        <f>IF(D118="","",D118*0.05)</f>
        <v>0.003</v>
      </c>
      <c r="G118" s="13">
        <f>IF(D118="","",D118*1.05*0.85)</f>
        <v>0.05355</v>
      </c>
      <c r="H118" s="14">
        <f>'1549'!D118</f>
        <v>60313.71030812325</v>
      </c>
      <c r="I118" s="14">
        <f>IF(H118="","",H118*G118)</f>
        <v>3229.799187</v>
      </c>
      <c r="J118" s="14">
        <f>H118</f>
        <v>60313.71030812325</v>
      </c>
      <c r="K118" s="14">
        <f>I118</f>
        <v>3229.799187</v>
      </c>
    </row>
    <row r="119" hidden="1">
      <c r="A119" s="8" t="inlineStr">
        <is>
          <t>60.020.0067</t>
        </is>
      </c>
      <c r="B119" s="9" t="inlineStr">
        <is>
          <t>צוות לעב' אלומיניום - 2 פועלים (מרכיב מקצועי ועוזר) - לרבות ציוד ורכב/טנדר למרחק עד 70 ק"מ. הסעיף הינו עבור קריאה מיוחדת, לאחר סיום העבודה או באישור מיוחד של המפקח, ובתנאי שלא ניתן לתמחר את העבודה לפי סעיפים אחרים והיא אינה כלולה כחלק מחובת תיקון הליקויים של הקבלן. מחיר ליום עבודה לפי 8 ש"ע, בשעות רגילות</t>
        </is>
      </c>
      <c r="C119" s="10" t="inlineStr">
        <is>
          <t>י"ע</t>
        </is>
      </c>
      <c r="D119" s="11" t="n">
        <v>3400</v>
      </c>
      <c r="E119" s="12">
        <f>IF(D119="","",D119*0.15)</f>
        <v>510</v>
      </c>
      <c r="F119" s="13">
        <f>IF(D119="","",D119*0.05)</f>
        <v>170</v>
      </c>
      <c r="G119" s="13">
        <f>IF(D119="","",D119*1.05*0.85)</f>
        <v>3034.5</v>
      </c>
      <c r="H119" s="14">
        <f>'1549'!D119</f>
        <v>0</v>
      </c>
      <c r="I119" s="14">
        <f>IF(H119="","",H119*G119)</f>
        <v>0</v>
      </c>
      <c r="J119" s="14">
        <f>H119</f>
        <v>0</v>
      </c>
      <c r="K119" s="14">
        <f>I119</f>
        <v>0</v>
      </c>
    </row>
    <row r="120" hidden="1">
      <c r="A120" s="8" t="inlineStr">
        <is>
          <t>11.011.2000</t>
        </is>
      </c>
      <c r="B120" s="9" t="inlineStr">
        <is>
          <t>תוספת עבור צבע בגוון מעבר לבסיס "P". התוספת הינה 15% למחיר הצבע</t>
        </is>
      </c>
      <c r="C120" s="10" t="inlineStr">
        <is>
          <t>קומפ'</t>
        </is>
      </c>
      <c r="D120" s="11" t="n">
        <v>0.15</v>
      </c>
      <c r="E120" s="12">
        <f>IF(D120="","",D120*0.15)</f>
        <v>0.0225</v>
      </c>
      <c r="F120" s="13">
        <f>IF(D120="","",D120*0.05)</f>
        <v>0.0075</v>
      </c>
      <c r="G120" s="13">
        <f>IF(D120="","",D120*1.05*0.85)</f>
        <v>0.133875</v>
      </c>
      <c r="H120" s="14">
        <f>'1549'!D120</f>
        <v>0</v>
      </c>
      <c r="I120" s="14">
        <f>IF(H120="","",H120*G120)</f>
        <v>0</v>
      </c>
      <c r="J120" s="14">
        <f>H120</f>
        <v>0</v>
      </c>
      <c r="K120" s="14">
        <f>I120</f>
        <v>0</v>
      </c>
    </row>
    <row r="121" hidden="1">
      <c r="A121" s="8" t="inlineStr">
        <is>
          <t>12.99.1</t>
        </is>
      </c>
      <c r="B121" s="9" t="inlineStr">
        <is>
          <t>תוספת עבור כיפוף קבוע עליון + זכוכית מעוגלת</t>
        </is>
      </c>
      <c r="C121" s="10" t="inlineStr">
        <is>
          <t>קומפ'</t>
        </is>
      </c>
      <c r="D121" s="11" t="n">
        <v>6162.464985994397</v>
      </c>
      <c r="E121" s="12">
        <f>IF(D121="","",D121*0.15)</f>
        <v>924.3697478991594</v>
      </c>
      <c r="F121" s="13">
        <f>IF(D121="","",D121*0.05)</f>
        <v>308.1232492997199</v>
      </c>
      <c r="G121" s="13">
        <f>IF(D121="","",D121*1.05*0.85)</f>
        <v>5499.999999999999</v>
      </c>
      <c r="H121" s="14">
        <f>'1549'!D121</f>
        <v>0</v>
      </c>
      <c r="I121" s="14">
        <f>IF(H121="","",H121*G121)</f>
        <v>0</v>
      </c>
      <c r="J121" s="14">
        <f>H121</f>
        <v>0</v>
      </c>
      <c r="K121" s="14">
        <f>I121</f>
        <v>0</v>
      </c>
    </row>
    <row r="122" hidden="1">
      <c r="A122" s="8" t="inlineStr">
        <is>
          <t>60.020.0105</t>
        </is>
      </c>
      <c r="B122" s="9" t="inlineStr">
        <is>
          <t>צוות חשמלאים - 2 פועלים (חשמלאי מוסמך ועוזר) - לרבות ציוד ורכב/טנדר למרחק עד 70 ק"מ. הסעיף הינו עבור קריאה מיוחדת, לאחר סיום העבודה או באישור מיוחד של המפקח, ובתנאי שלא ניתן לתמחר את העבודה לפי סעיפים אחרים והיא אינה כלולה כחלק מחובת תיקון הליקויים של הקבלן. מחיר ליום עבודה לפי 8 ש"ע, בשעות רגילות</t>
        </is>
      </c>
      <c r="C122" s="10" t="inlineStr">
        <is>
          <t>י"ע</t>
        </is>
      </c>
      <c r="D122" s="11" t="n">
        <v>3500</v>
      </c>
      <c r="E122" s="12">
        <f>IF(D122="","",D122*0.15)</f>
        <v>525</v>
      </c>
      <c r="F122" s="13">
        <f>IF(D122="","",D122*0.05)</f>
        <v>175</v>
      </c>
      <c r="G122" s="13">
        <f>IF(D122="","",D122*1.05*0.85)</f>
        <v>3123.75</v>
      </c>
      <c r="H122" s="14">
        <f>'1549'!D122</f>
        <v>0</v>
      </c>
      <c r="I122" s="14">
        <f>IF(H122="","",H122*G122)</f>
        <v>0</v>
      </c>
      <c r="J122" s="14">
        <f>H122</f>
        <v>0</v>
      </c>
      <c r="K122" s="14">
        <f>I122</f>
        <v>0</v>
      </c>
    </row>
    <row r="123" hidden="1">
      <c r="A123" s="8" t="inlineStr">
        <is>
          <t>60.010.0120</t>
        </is>
      </c>
      <c r="B123" s="9" t="inlineStr">
        <is>
          <t>צוות רצפים - 2 פועלים (רצף/חפאי מקצועי ועוזר) - לרבות ציוד ורכב/טנדר למרחק עד 70 ק"מ. הסעיף הינו עבור קריאה מיוחדת, לאחר סיום העבודה או באישור מיוחד של המפקח, ובתנאי שלא ניתן לתמחר את העבודה לפי סעיפים אחרים והיא אינה כלולה כחלק מחובת תיקון הליקויים של הקבלן. מחיר ליום עבודה לפי 8 ש"ע, בשעות רגילות</t>
        </is>
      </c>
      <c r="C123" s="10" t="inlineStr">
        <is>
          <t>י"ע</t>
        </is>
      </c>
      <c r="D123" s="11" t="n">
        <v>3650</v>
      </c>
      <c r="E123" s="12">
        <f>IF(D123="","",D123*0.15)</f>
        <v>547.5</v>
      </c>
      <c r="F123" s="13">
        <f>IF(D123="","",D123*0.05)</f>
        <v>182.5</v>
      </c>
      <c r="G123" s="13">
        <f>IF(D123="","",D123*1.05*0.85)</f>
        <v>3257.625</v>
      </c>
      <c r="H123" s="14">
        <f>'1549'!D123</f>
        <v>0</v>
      </c>
      <c r="I123" s="14">
        <f>IF(H123="","",H123*G123)</f>
        <v>0</v>
      </c>
      <c r="J123" s="14">
        <f>H123</f>
        <v>0</v>
      </c>
      <c r="K123" s="14">
        <f>I123</f>
        <v>0</v>
      </c>
    </row>
    <row r="124" hidden="1">
      <c r="A124" s="8" t="inlineStr">
        <is>
          <t>60.010.0110</t>
        </is>
      </c>
      <c r="B124" s="9" t="inlineStr">
        <is>
          <t>צוות בניה - 2 פועלים (פועל בניה מקצועי ועוזר) - לרבות ציוד ורכב/טנדר למרחק עד 70 ק"מ. הסעיף הינו עבור קריאה מיוחדת, לאחר סיום העבודה או באישור מיוחד של המפקח, ובתנאי שלא ניתן לתמחר את העבודה לפי סעיפים אחרים והיא אינה כלולה כחלק מחובת תיקון הליקויים של הקבלן. מחיר ליום עבודה לפי 8 ש"ע, בשעות רגילות</t>
        </is>
      </c>
      <c r="C124" s="10" t="inlineStr">
        <is>
          <t>י"ע</t>
        </is>
      </c>
      <c r="D124" s="11" t="n">
        <v>3550</v>
      </c>
      <c r="E124" s="12">
        <f>IF(D124="","",D124*0.15)</f>
        <v>532.5</v>
      </c>
      <c r="F124" s="13">
        <f>IF(D124="","",D124*0.05)</f>
        <v>177.5</v>
      </c>
      <c r="G124" s="13">
        <f>IF(D124="","",D124*1.05*0.85)</f>
        <v>3168.375</v>
      </c>
      <c r="H124" s="14">
        <f>'1549'!D124</f>
        <v>0</v>
      </c>
      <c r="I124" s="14">
        <f>IF(H124="","",H124*G124)</f>
        <v>0</v>
      </c>
      <c r="J124" s="14">
        <f>H124</f>
        <v>0</v>
      </c>
      <c r="K124" s="14">
        <f>I124</f>
        <v>0</v>
      </c>
    </row>
    <row r="125" hidden="1"/>
    <row r="126" hidden="1"/>
    <row r="127" hidden="1">
      <c r="A127" s="15" t="n"/>
      <c r="B127" s="16" t="inlineStr">
        <is>
          <t>01 - עבודות עפר</t>
        </is>
      </c>
      <c r="C127" s="17" t="n"/>
      <c r="D127" s="18" t="n"/>
      <c r="E127" s="19" t="n"/>
      <c r="F127" s="18" t="n"/>
      <c r="G127" s="18" t="n"/>
      <c r="I127" s="14">
        <f>SUMIF(A:A,"01.*",I:I)</f>
        <v>0</v>
      </c>
    </row>
    <row r="128" hidden="1">
      <c r="A128" s="15" t="n"/>
      <c r="B128" s="16" t="inlineStr">
        <is>
          <t>05 - עבודות איטום</t>
        </is>
      </c>
      <c r="C128" s="17" t="n"/>
      <c r="D128" s="18" t="n"/>
      <c r="E128" s="19" t="n"/>
      <c r="F128" s="18" t="n"/>
      <c r="G128" s="18" t="n"/>
      <c r="I128" s="14">
        <f>SUMIF(A:A,"05.*",I:I)</f>
        <v>0</v>
      </c>
    </row>
    <row r="129" hidden="1">
      <c r="A129" s="15" t="n"/>
      <c r="B129" s="16" t="inlineStr">
        <is>
          <t>09 - עבודות טיח</t>
        </is>
      </c>
      <c r="C129" s="17" t="n"/>
      <c r="D129" s="18" t="n"/>
      <c r="E129" s="19" t="n"/>
      <c r="F129" s="18" t="n"/>
      <c r="G129" s="18" t="n"/>
      <c r="I129" s="14">
        <f>SUMIF(A:A,"09.*",I:I)</f>
        <v>1825.5552</v>
      </c>
    </row>
    <row r="130" hidden="1">
      <c r="A130" s="15" t="n"/>
      <c r="B130" s="16" t="inlineStr">
        <is>
          <t>11 - עבודות צביעה</t>
        </is>
      </c>
      <c r="C130" s="17" t="n"/>
      <c r="D130" s="18" t="n"/>
      <c r="E130" s="19" t="n"/>
      <c r="F130" s="18" t="n"/>
      <c r="G130" s="18" t="n"/>
      <c r="I130" s="14">
        <f>SUMIF(A:A,"11.*",I:I)</f>
        <v>6318.9</v>
      </c>
    </row>
    <row r="131" hidden="1">
      <c r="A131" s="15" t="n"/>
      <c r="B131" s="16" t="inlineStr">
        <is>
          <t>12 - עבודות אלומיניום</t>
        </is>
      </c>
      <c r="C131" s="17" t="n"/>
      <c r="D131" s="18" t="n"/>
      <c r="E131" s="19" t="n"/>
      <c r="F131" s="18" t="n"/>
      <c r="G131" s="18" t="n"/>
      <c r="I131" s="14">
        <f>SUMIF(A:A,"12.*",I:I)</f>
        <v>66456.0711545</v>
      </c>
    </row>
    <row r="132" hidden="1">
      <c r="A132" s="15" t="n"/>
      <c r="B132" s="16" t="inlineStr">
        <is>
          <t>15 - מתקני מיזוג אוויר</t>
        </is>
      </c>
      <c r="C132" s="17" t="n"/>
      <c r="D132" s="18" t="n"/>
      <c r="E132" s="19" t="n"/>
      <c r="F132" s="18" t="n"/>
      <c r="G132" s="18" t="n"/>
      <c r="I132" s="14">
        <f>SUMIF(A:A,"15.*",I:I)</f>
        <v>3745.37625</v>
      </c>
    </row>
    <row r="133" hidden="1">
      <c r="A133" s="15" t="n"/>
      <c r="B133" s="16" t="inlineStr">
        <is>
          <t>22 - אלמנטים מתועשים</t>
        </is>
      </c>
      <c r="C133" s="17" t="n"/>
      <c r="D133" s="18" t="n"/>
      <c r="E133" s="19" t="n"/>
      <c r="F133" s="18" t="n"/>
      <c r="G133" s="18" t="n"/>
      <c r="I133" s="14">
        <f>SUMIF(A:A,"22.*",I:I)</f>
        <v>0</v>
      </c>
    </row>
    <row r="134" hidden="1">
      <c r="A134" s="15" t="n"/>
      <c r="B134" s="16" t="inlineStr">
        <is>
          <t>וילונות - 30</t>
        </is>
      </c>
      <c r="C134" s="17" t="n"/>
      <c r="D134" s="18" t="n"/>
      <c r="E134" s="19" t="n"/>
      <c r="F134" s="18" t="n"/>
      <c r="G134" s="18" t="n"/>
      <c r="I134" s="14">
        <f>SUMIF(A:A,"30.*",I:I)</f>
        <v>812.4606000000001</v>
      </c>
    </row>
    <row r="135" hidden="1">
      <c r="A135" s="15" t="n"/>
      <c r="B135" s="16" t="inlineStr">
        <is>
          <t>60 - מחירי שעות עבודה ושכירת ציוד</t>
        </is>
      </c>
      <c r="C135" s="17" t="n"/>
      <c r="D135" s="18" t="n"/>
      <c r="E135" s="19" t="n"/>
      <c r="F135" s="18" t="n"/>
      <c r="G135" s="18" t="n"/>
      <c r="I135" s="14">
        <f>SUMIF(A:A,"60.*",I:I)</f>
        <v>3146.0625</v>
      </c>
    </row>
    <row r="136" hidden="1">
      <c r="A136" s="15" t="n"/>
      <c r="B136" s="16" t="inlineStr">
        <is>
          <t>85 - חומרי איטום ובידוד תרמי</t>
        </is>
      </c>
      <c r="C136" s="17" t="n"/>
      <c r="D136" s="18" t="n"/>
      <c r="E136" s="19" t="n"/>
      <c r="F136" s="18" t="n"/>
      <c r="G136" s="18" t="n"/>
      <c r="I136" s="14">
        <f>SUMIF(A:A,"85.*",I:I)</f>
        <v>265.4821721311475</v>
      </c>
    </row>
    <row r="137" hidden="1">
      <c r="A137" s="15" t="n"/>
      <c r="B137" s="16" t="inlineStr">
        <is>
          <t>95 - חומרים</t>
        </is>
      </c>
      <c r="C137" s="17" t="n"/>
      <c r="D137" s="18" t="n"/>
      <c r="E137" s="19" t="n"/>
      <c r="F137" s="18" t="n"/>
      <c r="G137" s="18" t="n"/>
      <c r="I137" s="14">
        <f>SUMIF(A:A,"95.*",I:I)</f>
        <v>133.875</v>
      </c>
    </row>
    <row r="138" hidden="1">
      <c r="A138" s="20" t="n"/>
      <c r="B138" s="21" t="inlineStr">
        <is>
          <t>סה"כ עלות</t>
        </is>
      </c>
      <c r="C138" s="17" t="n"/>
      <c r="D138" s="18" t="n"/>
      <c r="E138" s="19" t="n"/>
      <c r="F138" s="22" t="n"/>
      <c r="G138" s="22" t="n"/>
      <c r="I138" s="14">
        <f>SUM(I127:I137)</f>
        <v>82703.78287663114</v>
      </c>
    </row>
    <row r="139" hidden="1">
      <c r="A139" s="20" t="n"/>
      <c r="B139" s="21" t="inlineStr">
        <is>
          <t>מע"מ בשיעור 18%</t>
        </is>
      </c>
      <c r="C139" s="17" t="n"/>
      <c r="D139" s="18" t="n"/>
      <c r="E139" s="19" t="n"/>
      <c r="F139" s="22" t="n"/>
      <c r="G139" s="22" t="n"/>
      <c r="I139" s="14">
        <f>(I138*(1/100*18))</f>
        <v>14886.680917793605</v>
      </c>
    </row>
    <row r="140" hidden="1">
      <c r="A140" s="20" t="n"/>
      <c r="B140" s="21" t="inlineStr">
        <is>
          <t>סה"כ עלות כולל מע"מ</t>
        </is>
      </c>
      <c r="C140" s="17" t="n"/>
      <c r="D140" s="18" t="n"/>
      <c r="E140" s="19" t="n"/>
      <c r="F140" s="22" t="n"/>
      <c r="G140" s="22" t="n"/>
      <c r="I140" s="14">
        <f>I138+I139</f>
        <v>97590.46379442475</v>
      </c>
    </row>
    <row r="141" hidden="1"/>
    <row r="142" hidden="1">
      <c r="A142" s="15" t="n"/>
      <c r="B142" s="16" t="inlineStr">
        <is>
          <t>01 - עבודות עפר</t>
        </is>
      </c>
      <c r="C142" s="17" t="n"/>
      <c r="D142" s="18" t="n"/>
      <c r="E142" s="19" t="n"/>
      <c r="F142" s="18" t="n"/>
      <c r="G142" s="18" t="n"/>
      <c r="H142" s="18" t="n"/>
      <c r="I142" s="23" t="n"/>
      <c r="J142" s="23" t="n"/>
      <c r="K142" s="23">
        <f>SUMIF(A:A,"01.*",K:K)</f>
        <v>0</v>
      </c>
    </row>
    <row r="143" hidden="1">
      <c r="A143" s="15" t="n"/>
      <c r="B143" s="16" t="inlineStr">
        <is>
          <t>05 - עבודות איטום</t>
        </is>
      </c>
      <c r="C143" s="17" t="n"/>
      <c r="D143" s="18" t="n"/>
      <c r="E143" s="19" t="n"/>
      <c r="F143" s="18" t="n"/>
      <c r="G143" s="18" t="n"/>
      <c r="H143" s="18" t="n"/>
      <c r="I143" s="23" t="n"/>
      <c r="J143" s="23" t="n"/>
      <c r="K143" s="23">
        <f>SUMIF(A:A,"05.*",K:K)</f>
        <v>0</v>
      </c>
    </row>
    <row r="144" hidden="1">
      <c r="A144" s="15" t="n"/>
      <c r="B144" s="16" t="inlineStr">
        <is>
          <t>09 - עבודות טיח</t>
        </is>
      </c>
      <c r="C144" s="17" t="n"/>
      <c r="D144" s="18" t="n"/>
      <c r="E144" s="19" t="n"/>
      <c r="F144" s="18" t="n"/>
      <c r="G144" s="18" t="n"/>
      <c r="H144" s="18" t="n"/>
      <c r="I144" s="23" t="n"/>
      <c r="J144" s="23" t="n"/>
      <c r="K144" s="23">
        <f>SUMIF(A:A,"09.*",K:K)</f>
        <v>1825.5552</v>
      </c>
    </row>
    <row r="145" hidden="1">
      <c r="A145" s="15" t="n"/>
      <c r="B145" s="16" t="inlineStr">
        <is>
          <t>11 - עבודות צביעה</t>
        </is>
      </c>
      <c r="C145" s="17" t="n"/>
      <c r="D145" s="18" t="n"/>
      <c r="E145" s="19" t="n"/>
      <c r="F145" s="18" t="n"/>
      <c r="G145" s="18" t="n"/>
      <c r="H145" s="18" t="n"/>
      <c r="I145" s="23" t="n"/>
      <c r="J145" s="23" t="n"/>
      <c r="K145" s="23">
        <f>SUMIF(A:A,"11.*",K:K)</f>
        <v>6318.9</v>
      </c>
    </row>
    <row r="146" hidden="1">
      <c r="A146" s="15" t="n"/>
      <c r="B146" s="16" t="inlineStr">
        <is>
          <t>12 - עבודות אלומיניום</t>
        </is>
      </c>
      <c r="C146" s="17" t="n"/>
      <c r="D146" s="18" t="n"/>
      <c r="E146" s="19" t="n"/>
      <c r="F146" s="18" t="n"/>
      <c r="G146" s="18" t="n"/>
      <c r="H146" s="18" t="n"/>
      <c r="I146" s="23" t="n"/>
      <c r="J146" s="23" t="n"/>
      <c r="K146" s="23">
        <f>SUMIF(A:A,"12.*",K:K)</f>
        <v>66456.0711545</v>
      </c>
    </row>
    <row r="147" hidden="1">
      <c r="A147" s="15" t="n"/>
      <c r="B147" s="16" t="inlineStr">
        <is>
          <t>15 - מתקני מיזוג אוויר</t>
        </is>
      </c>
      <c r="C147" s="17" t="n"/>
      <c r="D147" s="18" t="n"/>
      <c r="E147" s="19" t="n"/>
      <c r="F147" s="18" t="n"/>
      <c r="G147" s="18" t="n"/>
      <c r="H147" s="18" t="n"/>
      <c r="I147" s="23" t="n"/>
      <c r="J147" s="23" t="n"/>
      <c r="K147" s="23">
        <f>SUMIF(A:A,"15.*",K:K)</f>
        <v>3745.37625</v>
      </c>
    </row>
    <row r="148" hidden="1">
      <c r="A148" s="15" t="n"/>
      <c r="B148" s="16" t="inlineStr">
        <is>
          <t>22 - אלמנטים מתועשים</t>
        </is>
      </c>
      <c r="C148" s="17" t="n"/>
      <c r="D148" s="18" t="n"/>
      <c r="E148" s="19" t="n"/>
      <c r="F148" s="18" t="n"/>
      <c r="G148" s="18" t="n"/>
      <c r="H148" s="18" t="n"/>
      <c r="I148" s="23" t="n"/>
      <c r="J148" s="23" t="n"/>
      <c r="K148" s="23">
        <f>SUMIF(A:A,"22.*",K:K)</f>
        <v>0</v>
      </c>
    </row>
    <row r="149" hidden="1">
      <c r="A149" s="15" t="n"/>
      <c r="B149" s="16" t="inlineStr">
        <is>
          <t>וילונות - 30</t>
        </is>
      </c>
      <c r="C149" s="17" t="n"/>
      <c r="D149" s="18" t="n"/>
      <c r="E149" s="19" t="n"/>
      <c r="F149" s="18" t="n"/>
      <c r="G149" s="18" t="n"/>
      <c r="H149" s="18" t="n"/>
      <c r="I149" s="23" t="n"/>
      <c r="J149" s="23" t="n"/>
      <c r="K149" s="23">
        <f>SUMIF(A:A,"30.*",K:K)</f>
        <v>812.4606000000001</v>
      </c>
    </row>
    <row r="150" hidden="1">
      <c r="A150" s="15" t="n"/>
      <c r="B150" s="16" t="inlineStr">
        <is>
          <t>60 - מחירי שעות עבודה ושכירת ציוד</t>
        </is>
      </c>
      <c r="C150" s="17" t="n"/>
      <c r="D150" s="18" t="n"/>
      <c r="E150" s="19" t="n"/>
      <c r="F150" s="18" t="n"/>
      <c r="G150" s="18" t="n"/>
      <c r="H150" s="18" t="n"/>
      <c r="I150" s="23" t="n"/>
      <c r="J150" s="23" t="n"/>
      <c r="K150" s="23">
        <f>SUMIF(A:A,"60.*",K:K)</f>
        <v>3146.0625</v>
      </c>
    </row>
    <row r="151" hidden="1">
      <c r="A151" s="15" t="n"/>
      <c r="B151" s="16" t="inlineStr">
        <is>
          <t>85 - חומרי איטום ובידוד תרמי</t>
        </is>
      </c>
      <c r="C151" s="17" t="n"/>
      <c r="D151" s="18" t="n"/>
      <c r="E151" s="19" t="n"/>
      <c r="F151" s="18" t="n"/>
      <c r="G151" s="18" t="n"/>
      <c r="H151" s="18" t="n"/>
      <c r="I151" s="23" t="n"/>
      <c r="J151" s="23" t="n"/>
      <c r="K151" s="23">
        <f>SUMIF(A:A,"85.*",K:K)</f>
        <v>265.4821721311475</v>
      </c>
    </row>
    <row r="152" hidden="1">
      <c r="A152" s="15" t="n"/>
      <c r="B152" s="16" t="inlineStr">
        <is>
          <t>95 - חומרים</t>
        </is>
      </c>
      <c r="C152" s="17" t="n"/>
      <c r="D152" s="18" t="n"/>
      <c r="E152" s="19" t="n"/>
      <c r="F152" s="18" t="n"/>
      <c r="G152" s="18" t="n"/>
      <c r="H152" s="18" t="n"/>
      <c r="I152" s="23" t="n"/>
      <c r="J152" s="23" t="n"/>
      <c r="K152" s="23">
        <f>SUMIF(A:A,"95.*",K:K)</f>
        <v>133.875</v>
      </c>
    </row>
    <row r="153" hidden="1">
      <c r="A153" s="20" t="n"/>
      <c r="B153" s="21" t="inlineStr">
        <is>
          <t>סה"כ עלות</t>
        </is>
      </c>
      <c r="C153" s="17" t="n"/>
      <c r="D153" s="18" t="n"/>
      <c r="E153" s="19" t="n"/>
      <c r="F153" s="22" t="n"/>
      <c r="G153" s="22" t="n"/>
      <c r="H153" s="22" t="n"/>
      <c r="I153" s="22" t="n"/>
      <c r="J153" s="22" t="n"/>
      <c r="K153" s="22">
        <f>SUM(K142:K152)</f>
        <v>82703.78287663114</v>
      </c>
    </row>
    <row r="154" hidden="1">
      <c r="A154" s="20" t="n"/>
      <c r="B154" s="21" t="inlineStr">
        <is>
          <t>מע"מ בשיעור 18%</t>
        </is>
      </c>
      <c r="C154" s="17" t="n"/>
      <c r="D154" s="18" t="n"/>
      <c r="E154" s="19" t="n"/>
      <c r="F154" s="22" t="n"/>
      <c r="G154" s="22" t="n"/>
      <c r="H154" s="22" t="n"/>
      <c r="I154" s="22" t="n"/>
      <c r="J154" s="22" t="n"/>
      <c r="K154" s="22">
        <f>(K153*(1/100*18))</f>
        <v>14886.680917793605</v>
      </c>
    </row>
    <row r="155" hidden="1">
      <c r="A155" s="20" t="n"/>
      <c r="B155" s="21" t="inlineStr">
        <is>
          <t>סה"כ עלות כולל מע"מ</t>
        </is>
      </c>
      <c r="C155" s="17" t="n"/>
      <c r="D155" s="18" t="n"/>
      <c r="E155" s="19" t="n"/>
      <c r="F155" s="22" t="n"/>
      <c r="G155" s="22" t="n"/>
      <c r="H155" s="22" t="n"/>
      <c r="I155" s="22" t="n"/>
      <c r="J155" s="22" t="n"/>
      <c r="K155" s="22">
        <f>K153+K154</f>
        <v>97590.46379442475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rightToLeft="1" workbookViewId="0">
      <selection activeCell="A1" sqref="A1"/>
    </sheetView>
  </sheetViews>
  <sheetFormatPr baseColWidth="8" defaultRowHeight="15"/>
  <cols>
    <col width="12" customWidth="1" min="1" max="1"/>
    <col width="20" customWidth="1" min="2" max="2"/>
    <col width="24" customWidth="1" min="3" max="3"/>
    <col width="8" customWidth="1" min="4" max="4"/>
    <col width="8" customWidth="1" min="5" max="5"/>
  </cols>
  <sheetData>
    <row r="1" ht="22" customHeight="1">
      <c r="A1" s="24" t="inlineStr">
        <is>
          <t>מס' הזמנה</t>
        </is>
      </c>
      <c r="B1" s="24" t="inlineStr">
        <is>
          <t>שם משפחה</t>
        </is>
      </c>
      <c r="C1" s="24" t="inlineStr">
        <is>
          <t>כתובת</t>
        </is>
      </c>
      <c r="D1" s="24" t="inlineStr">
        <is>
          <t>קומה</t>
        </is>
      </c>
      <c r="E1" s="24" t="inlineStr">
        <is>
          <t>דירה</t>
        </is>
      </c>
    </row>
    <row r="2">
      <c r="A2" s="25" t="inlineStr">
        <is>
          <t>1549</t>
        </is>
      </c>
      <c r="B2" s="26" t="inlineStr">
        <is>
          <t>כהן אלדן</t>
        </is>
      </c>
      <c r="C2" s="26" t="inlineStr">
        <is>
          <t>מנחם בגין 48</t>
        </is>
      </c>
      <c r="D2" s="25" t="inlineStr">
        <is>
          <t>5</t>
        </is>
      </c>
      <c r="E2" s="25" t="inlineStr">
        <is>
          <t>14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38"/>
  <sheetViews>
    <sheetView rightToLeft="1" workbookViewId="0">
      <selection activeCell="A1" sqref="A1"/>
    </sheetView>
  </sheetViews>
  <sheetFormatPr baseColWidth="8" defaultRowHeight="15"/>
  <cols>
    <col width="11.59765625" customWidth="1" min="1" max="1"/>
    <col width="63" customWidth="1" min="2" max="2"/>
    <col width="8.19921875" customWidth="1" min="3" max="3"/>
    <col width="10" customWidth="1" min="4" max="4"/>
    <col width="11.09765625" customWidth="1" min="5" max="5"/>
    <col width="10.19921875" customWidth="1" min="6" max="6"/>
    <col width="12.09765625" customWidth="1" min="7" max="7"/>
    <col width="14" customWidth="1" min="8" max="8"/>
    <col width="13.3984375" customWidth="1" min="9" max="9"/>
    <col width="32" customWidth="1" min="11" max="11"/>
    <col width="12" customWidth="1" min="12" max="12"/>
  </cols>
  <sheetData>
    <row r="1" ht="17.4" customHeight="1">
      <c r="C1" s="1" t="inlineStr">
        <is>
          <t>כהן אלדן</t>
        </is>
      </c>
      <c r="D1" t="inlineStr">
        <is>
          <t>1549</t>
        </is>
      </c>
      <c r="K1" s="1" t="inlineStr">
        <is>
          <t>נתוני מדידה גולמיים (קלט מריכוז כמויות)</t>
        </is>
      </c>
    </row>
    <row r="2">
      <c r="K2" s="1" t="inlineStr">
        <is>
          <t>שדה</t>
        </is>
      </c>
      <c r="L2" s="1" t="inlineStr">
        <is>
          <t>ערך</t>
        </is>
      </c>
    </row>
    <row r="3">
      <c r="K3" t="inlineStr">
        <is>
          <t>מס' חדרים</t>
        </is>
      </c>
      <c r="L3" s="27" t="n">
        <v>4</v>
      </c>
    </row>
    <row r="4">
      <c r="K4" t="inlineStr">
        <is>
          <t>היקף כולל</t>
        </is>
      </c>
      <c r="L4" s="27" t="n">
        <v>31.96</v>
      </c>
    </row>
    <row r="5">
      <c r="K5" t="inlineStr">
        <is>
          <t>שטח ויטרינה</t>
        </is>
      </c>
      <c r="L5" s="27" t="n">
        <v>7.85</v>
      </c>
    </row>
    <row r="6" ht="29.4" customHeight="1">
      <c r="A6" s="2" t="inlineStr">
        <is>
          <t>סעיף</t>
        </is>
      </c>
      <c r="B6" s="3" t="inlineStr">
        <is>
          <t>תאור</t>
        </is>
      </c>
      <c r="C6" s="4" t="inlineStr">
        <is>
          <t>יח'</t>
        </is>
      </c>
      <c r="D6" s="5" t="inlineStr">
        <is>
          <t>כמות</t>
        </is>
      </c>
      <c r="E6" s="6" t="inlineStr">
        <is>
          <t>מחיר</t>
        </is>
      </c>
      <c r="F6" s="6" t="inlineStr">
        <is>
          <t>הנחת קבלן 15%</t>
        </is>
      </c>
      <c r="G6" s="6" t="inlineStr">
        <is>
          <t>תוספת דירה מאוכלסת 5%</t>
        </is>
      </c>
      <c r="H6" s="6" t="inlineStr">
        <is>
          <t>סה"כ מחיר יחידה</t>
        </is>
      </c>
      <c r="I6" s="5" t="inlineStr">
        <is>
          <t>סה"כ אחרי הנחה</t>
        </is>
      </c>
      <c r="K6" t="inlineStr">
        <is>
          <t>שטח קיפ+קבוע</t>
        </is>
      </c>
      <c r="L6" s="27" t="n">
        <v>0</v>
      </c>
    </row>
    <row r="7">
      <c r="A7" s="8" t="inlineStr">
        <is>
          <t>60.020.0090</t>
        </is>
      </c>
      <c r="B7" s="9" t="inlineStr">
        <is>
          <t>חשמלאי מוסמך</t>
        </is>
      </c>
      <c r="C7" s="10" t="inlineStr">
        <is>
          <t>ש"ע</t>
        </is>
      </c>
      <c r="D7" s="11">
        <f>IF(SUM(D65,D66,D67,D68,D69,D70)&gt;0,2,0)+2</f>
        <v>4</v>
      </c>
      <c r="E7" s="12" t="n">
        <v>150</v>
      </c>
      <c r="F7" s="13">
        <f>IF(E7="","",E7*0.15)</f>
        <v>22.5</v>
      </c>
      <c r="G7" s="13">
        <f>IF(E7="","",E7*0.05)</f>
        <v>7.5</v>
      </c>
      <c r="H7" s="13">
        <f>IF(E7="","",E7*1.05*0.85)</f>
        <v>133.875</v>
      </c>
      <c r="I7" s="11">
        <f>IF(D7="","",H7*D7)</f>
        <v>535.5</v>
      </c>
      <c r="K7" t="inlineStr">
        <is>
          <t>שטח רשת כולל</t>
        </is>
      </c>
      <c r="L7" s="27" t="n">
        <v>10.817</v>
      </c>
    </row>
    <row r="8" ht="15.6" customHeight="1">
      <c r="A8" s="8" t="inlineStr">
        <is>
          <t>09</t>
        </is>
      </c>
      <c r="B8" s="9" t="inlineStr">
        <is>
          <t>עבודות טיח</t>
        </is>
      </c>
      <c r="C8" s="10" t="inlineStr"/>
      <c r="D8" s="11" t="n"/>
      <c r="E8" s="12" t="n"/>
      <c r="F8" s="13" t="n"/>
      <c r="G8" s="13" t="n"/>
      <c r="H8" s="13" t="n"/>
      <c r="I8" s="11" t="n"/>
      <c r="K8" t="inlineStr">
        <is>
          <t>מס' חלונות עד 2 מ"ר</t>
        </is>
      </c>
      <c r="L8" s="27" t="n">
        <v>0</v>
      </c>
    </row>
    <row r="9" ht="15.6" customHeight="1">
      <c r="A9" s="8" t="inlineStr">
        <is>
          <t>09.011</t>
        </is>
      </c>
      <c r="B9" s="9" t="inlineStr">
        <is>
          <t>טיח פנים</t>
        </is>
      </c>
      <c r="C9" s="10" t="inlineStr"/>
      <c r="D9" s="11" t="n"/>
      <c r="E9" s="12" t="n"/>
      <c r="F9" s="13" t="n"/>
      <c r="G9" s="13" t="n"/>
      <c r="H9" s="13" t="n"/>
      <c r="I9" s="11" t="n"/>
      <c r="K9" t="inlineStr">
        <is>
          <t>מס' חלונות מעל 2 מ"ר ועד 3 מ"ר</t>
        </is>
      </c>
      <c r="L9" s="27" t="n">
        <v>0</v>
      </c>
    </row>
    <row r="10" ht="57.6" customHeight="1">
      <c r="A10" s="8" t="inlineStr">
        <is>
          <t>09.011.9030</t>
        </is>
      </c>
      <c r="B10" s="9" t="inlineStr">
        <is>
          <t>תיקוני טיח פנים קיים על שטחים מישוריים ברצועות רוחב מעל 15 ס"מ ועד 30 ס"מ לאחר הנחת קווי מים, חשמל וכד' בקירות, סביב משקופי חלונות ודלתות שהורכבו בקירות קיימים, במפגשים בין קירות ו/או תקרות חדשים לקיימים הכל לרבות סיתות והתאמת עובי הטיח החדש לקיים</t>
        </is>
      </c>
      <c r="C10" s="10" t="inlineStr">
        <is>
          <t>מ'</t>
        </is>
      </c>
      <c r="D10" s="11">
        <f>L4</f>
        <v>31.96</v>
      </c>
      <c r="E10" s="12" t="n">
        <v>64</v>
      </c>
      <c r="F10" s="13">
        <f>IF(E10="","",E10*0.15)</f>
        <v>9.6</v>
      </c>
      <c r="G10" s="13">
        <f>IF(E10="","",E10*0.05)</f>
        <v>3.2</v>
      </c>
      <c r="H10" s="13">
        <f>IF(E10="","",E10*1.05*0.85)</f>
        <v>57.12</v>
      </c>
      <c r="I10" s="11">
        <f>IF(D10="","",H10*D10)</f>
        <v>1825.5552</v>
      </c>
      <c r="K10" t="inlineStr">
        <is>
          <t>מספר חלונות מעל 3 מ"ר ועד 5 מ"ר</t>
        </is>
      </c>
      <c r="L10" s="27" t="n">
        <v>3</v>
      </c>
    </row>
    <row r="11" ht="15.6" customHeight="1">
      <c r="A11" s="8" t="inlineStr">
        <is>
          <t>11</t>
        </is>
      </c>
      <c r="B11" s="9" t="inlineStr">
        <is>
          <t>עבודות צביעה</t>
        </is>
      </c>
      <c r="C11" s="10" t="inlineStr"/>
      <c r="D11" s="11" t="n"/>
      <c r="E11" s="12" t="n"/>
      <c r="F11" s="13" t="n"/>
      <c r="G11" s="13" t="n"/>
      <c r="H11" s="13" t="n"/>
      <c r="I11" s="11" t="n"/>
      <c r="K11" t="inlineStr">
        <is>
          <t>רוחב 0-100</t>
        </is>
      </c>
      <c r="L11" s="27" t="n">
        <v>0</v>
      </c>
    </row>
    <row r="12" ht="15.6" customHeight="1">
      <c r="A12" s="8" t="inlineStr">
        <is>
          <t>11.011</t>
        </is>
      </c>
      <c r="B12" s="9" t="inlineStr">
        <is>
          <t>צבע וסיוד פנים, על טיח, בטון, בלוקים וגבס</t>
        </is>
      </c>
      <c r="C12" s="10" t="inlineStr"/>
      <c r="D12" s="11" t="n"/>
      <c r="E12" s="12" t="n"/>
      <c r="F12" s="13" t="n"/>
      <c r="G12" s="13" t="n"/>
      <c r="H12" s="13" t="n"/>
      <c r="I12" s="11" t="n"/>
      <c r="K12" t="inlineStr">
        <is>
          <t>רוחב 101-150</t>
        </is>
      </c>
      <c r="L12" s="27" t="n">
        <v>3</v>
      </c>
    </row>
    <row r="13" ht="43.2" customHeight="1">
      <c r="A13" s="8" t="inlineStr">
        <is>
          <t>11.011.9660</t>
        </is>
      </c>
      <c r="B13" s="9" t="inlineStr">
        <is>
          <t>חידוש צבע פנים על קירות בדירת חדר מרוהטת בשטח 25-35 מ"ר ובגובה עד 2.70 מ'. הקירות ייצבעו בצבע אקרילי, ללא צביעת התקרות, לרבות הסרת צבע רופף, תיקונים קלים וסתימת חורים, ליטוש הקיר וניקוי שאריות הצבע בגמר העבודה</t>
        </is>
      </c>
      <c r="C13" s="10" t="inlineStr">
        <is>
          <t>קומפ</t>
        </is>
      </c>
      <c r="D13" s="11">
        <f>L3</f>
        <v>4</v>
      </c>
      <c r="E13" s="12" t="n">
        <v>1770</v>
      </c>
      <c r="F13" s="13">
        <f>IF(E13="","",E13*0.15)</f>
        <v>265.5</v>
      </c>
      <c r="G13" s="13">
        <f>IF(E13="","",E13*0.05)</f>
        <v>88.5</v>
      </c>
      <c r="H13" s="13">
        <f>IF(E13="","",E13*1.05*0.85)</f>
        <v>1579.725</v>
      </c>
      <c r="I13" s="11">
        <f>IF(D13="","",H13*D13)</f>
        <v>6318.9</v>
      </c>
      <c r="K13" t="inlineStr">
        <is>
          <t>רוחב 151-200</t>
        </is>
      </c>
      <c r="L13" s="27" t="n">
        <v>0</v>
      </c>
    </row>
    <row r="14">
      <c r="K14" t="inlineStr">
        <is>
          <t>רוחב 201-250</t>
        </is>
      </c>
      <c r="L14" s="27" t="n">
        <v>0</v>
      </c>
    </row>
    <row r="15" ht="15.6" customHeight="1">
      <c r="A15" s="8" t="inlineStr">
        <is>
          <t>12</t>
        </is>
      </c>
      <c r="B15" s="9" t="inlineStr">
        <is>
          <t>עבודות אלומיניום</t>
        </is>
      </c>
      <c r="C15" s="10" t="inlineStr"/>
      <c r="D15" s="11" t="n"/>
      <c r="E15" s="12" t="n"/>
      <c r="F15" s="13" t="n"/>
      <c r="G15" s="13" t="n"/>
      <c r="H15" s="13" t="n"/>
      <c r="I15" s="11" t="n"/>
      <c r="K15" t="inlineStr">
        <is>
          <t>רוחב 251-300</t>
        </is>
      </c>
      <c r="L15" s="27" t="n">
        <v>0</v>
      </c>
    </row>
    <row r="16" ht="15.6" customHeight="1">
      <c r="A16" s="8" t="inlineStr">
        <is>
          <t>12.011</t>
        </is>
      </c>
      <c r="B16" s="9" t="inlineStr">
        <is>
          <t>חלון אלומיניום נגרר אגף על אגף (הזזה) של 2 אגפים ב-2 מסלולים</t>
        </is>
      </c>
      <c r="C16" s="10" t="inlineStr"/>
      <c r="D16" s="11" t="n"/>
      <c r="E16" s="12" t="n"/>
      <c r="F16" s="13" t="n"/>
      <c r="G16" s="13" t="n"/>
      <c r="H16" s="13" t="n"/>
      <c r="I16" s="11" t="n"/>
      <c r="K16" t="inlineStr">
        <is>
          <t>רוחב 301-350</t>
        </is>
      </c>
      <c r="L16" s="27" t="n">
        <v>1</v>
      </c>
    </row>
    <row r="17" hidden="1" ht="28.8" customHeight="1">
      <c r="A17" s="8" t="inlineStr">
        <is>
          <t>12.011.0210</t>
        </is>
      </c>
      <c r="B17" s="9" t="inlineStr">
        <is>
          <t>חלון נגרר אגף על אגף של 2 אגפים ב-2 מסלולים מאולגן/צבוע כדוגמת קליל קלאסי 7000 או ש"ע, זכוכית שקופה בידודית 5+6+6 מ"מ, בשטח מעל 1.0 מ"ר ועד 2.0 מ"ר</t>
        </is>
      </c>
      <c r="C17" s="10" t="inlineStr">
        <is>
          <t>מ"ר</t>
        </is>
      </c>
      <c r="D17" s="11" t="n">
        <v>0</v>
      </c>
      <c r="E17" s="12" t="n">
        <v>1760</v>
      </c>
      <c r="F17" s="13">
        <f>IF(E17="","",E17*0.15)</f>
        <v>264</v>
      </c>
      <c r="G17" s="13">
        <f>IF(E17="","",E17*0.05)</f>
        <v>88</v>
      </c>
      <c r="H17" s="13">
        <f>IF(E17="","",E17*1.05*0.85)</f>
        <v>1570.8</v>
      </c>
      <c r="I17" s="11">
        <f>IF(D17="","",H17*D17)</f>
        <v>0</v>
      </c>
      <c r="K17" t="inlineStr">
        <is>
          <t>רוחב 351-400</t>
        </is>
      </c>
      <c r="L17" s="27" t="n">
        <v>0</v>
      </c>
    </row>
    <row r="18" hidden="1" ht="28.8" customHeight="1">
      <c r="A18" s="8" t="inlineStr">
        <is>
          <t>12.011.0260</t>
        </is>
      </c>
      <c r="B18" s="9" t="inlineStr">
        <is>
          <t>חלון נגרר אגף על אגף של 2 אגפים ב-2 מסלולים מאולגן/צבוע כדוגמת קליל קלאסי 9000 או ש"ע, זכוכית שקופה בידודית 5+6+6 מ"מ, בשטח מעל 0.6 מ"ר ועד 1.0 מ"ר</t>
        </is>
      </c>
      <c r="C18" s="10" t="inlineStr">
        <is>
          <t>מ"ר</t>
        </is>
      </c>
      <c r="D18" s="11" t="n">
        <v>0</v>
      </c>
      <c r="E18" s="12" t="n">
        <v>2440</v>
      </c>
      <c r="F18" s="13">
        <f>IF(E18="","",E18*0.15)</f>
        <v>366</v>
      </c>
      <c r="G18" s="13">
        <f>IF(E18="","",E18*0.05)</f>
        <v>122</v>
      </c>
      <c r="H18" s="13">
        <f>IF(E18="","",E18*1.05*0.85)</f>
        <v>2177.7</v>
      </c>
      <c r="I18" s="11">
        <f>IF(D18="","",H18*D18)</f>
        <v>0</v>
      </c>
      <c r="K18" t="inlineStr">
        <is>
          <t>רוחב 401-450</t>
        </is>
      </c>
      <c r="L18" s="27" t="n">
        <v>0</v>
      </c>
    </row>
    <row r="19" hidden="1" ht="28.8" customHeight="1">
      <c r="A19" s="8" t="inlineStr">
        <is>
          <t>12.011.0265</t>
        </is>
      </c>
      <c r="B19" s="9" t="inlineStr">
        <is>
          <t>חלון נגרר אגף על אגף של 2 אגפים ב-2 מסלולים מאולגן/צבוע כדוגמת קליל קלאסי 9000 או ש"ע, זכוכית שקופה בידודית 5+6+6 מ"מ, בשטח מעל 1.0 מ"ר ועד 2.0 מ"ר</t>
        </is>
      </c>
      <c r="C19" s="10" t="inlineStr">
        <is>
          <t>מ"ר</t>
        </is>
      </c>
      <c r="D19" s="11" t="n">
        <v>0</v>
      </c>
      <c r="E19" s="12" t="n">
        <v>2120</v>
      </c>
      <c r="F19" s="13">
        <f>IF(E19="","",E19*0.15)</f>
        <v>318</v>
      </c>
      <c r="G19" s="13">
        <f>IF(E19="","",E19*0.05)</f>
        <v>106</v>
      </c>
      <c r="H19" s="13">
        <f>IF(E19="","",E19*1.05*0.85)</f>
        <v>1892.1</v>
      </c>
      <c r="I19" s="11">
        <f>IF(D19="","",H19*D19)</f>
        <v>0</v>
      </c>
      <c r="K19" t="inlineStr">
        <is>
          <t>קומה 0-3</t>
        </is>
      </c>
      <c r="L19" s="27" t="n">
        <v>0</v>
      </c>
    </row>
    <row r="20" hidden="1" ht="28.8" customHeight="1">
      <c r="A20" s="8" t="inlineStr">
        <is>
          <t>12.011.0270</t>
        </is>
      </c>
      <c r="B20" s="9" t="inlineStr">
        <is>
          <t>חלון נגרר אגף על אגף של 2 אגפים ב-2 מסלולים מאולגן/צבוע כדוגמת קליל קלאסי 9000 או ש"ע, זכוכית שקופה בידודית מחוסמת דו צדדי 6+10+8 מ"מ, בשטח מעל 2.0 מ"ר ועד 3.0 מ"ר</t>
        </is>
      </c>
      <c r="C20" s="10" t="inlineStr">
        <is>
          <t>מ"ר</t>
        </is>
      </c>
      <c r="D20" s="11" t="n">
        <v>0</v>
      </c>
      <c r="E20" s="12" t="n">
        <v>1980</v>
      </c>
      <c r="F20" s="13">
        <f>IF(E20="","",E20*0.15)</f>
        <v>297</v>
      </c>
      <c r="G20" s="13">
        <f>IF(E20="","",E20*0.05)</f>
        <v>99</v>
      </c>
      <c r="H20" s="13">
        <f>IF(E20="","",E20*1.05*0.85)</f>
        <v>1767.1499999999999</v>
      </c>
      <c r="I20" s="11">
        <f>IF(D20="","",H20*D20)</f>
        <v>0</v>
      </c>
      <c r="K20" t="inlineStr">
        <is>
          <t>קומה 4-7</t>
        </is>
      </c>
      <c r="L20" s="27" t="n">
        <v>1</v>
      </c>
    </row>
    <row r="21">
      <c r="A21" s="8" t="inlineStr">
        <is>
          <t>12.011.0275</t>
        </is>
      </c>
      <c r="B21" s="9" t="inlineStr">
        <is>
          <t>חלון נגרר אגף על אגף של 2 אגפים ב-2 מסלולים מאולגן/צבוע כדוגמת קליל קלאסי 9000 או ש"ע, זכוכית שקופה בידודית מחוסמת דו צדדי 6+10+8 מ"מ, בשטח מעל 3.0 מ"ר ועד 4.0 מ"ר</t>
        </is>
      </c>
      <c r="C21" s="10" t="inlineStr">
        <is>
          <t>מ"ר</t>
        </is>
      </c>
      <c r="D21" s="11" t="n">
        <v>11.115</v>
      </c>
      <c r="E21" s="12" t="n">
        <v>1760</v>
      </c>
      <c r="F21" s="13">
        <f>IF(E21="","",E21*0.15)</f>
        <v>264</v>
      </c>
      <c r="G21" s="13">
        <f>IF(E21="","",E21*0.05)</f>
        <v>88</v>
      </c>
      <c r="H21" s="13">
        <f>IF(E21="","",E21*1.05*0.85)</f>
        <v>1570.8</v>
      </c>
      <c r="I21" s="11">
        <f>IF(D21="","",H21*D21)</f>
        <v>17459.442</v>
      </c>
      <c r="K21" t="inlineStr">
        <is>
          <t>קומה 7 ומעלה</t>
        </is>
      </c>
      <c r="L21" s="27" t="n">
        <v>0</v>
      </c>
    </row>
    <row r="22" hidden="1">
      <c r="A22" s="8" t="inlineStr">
        <is>
          <t>12.011.0280</t>
        </is>
      </c>
      <c r="B22" s="9" t="inlineStr">
        <is>
          <t>חלון נגרר אגף על אגף של 2 אגפים ב-2 מסלולים מאולגן/צבוע כדוגמת קליל קלאסי 9000 או ש"ע, זכוכית שקופה בידודית מחוסמת דו צדדי 6+10+10 מ"מ, בשטח מעל 4.0 מ"ר ועד 5.0 מ"ר</t>
        </is>
      </c>
      <c r="C22" s="10" t="inlineStr">
        <is>
          <t>מ"ר</t>
        </is>
      </c>
      <c r="D22" s="11" t="n">
        <v>0</v>
      </c>
      <c r="E22" s="12" t="n">
        <v>1630</v>
      </c>
      <c r="F22" s="13">
        <f>IF(E22="","",E22*0.15)</f>
        <v>244.5</v>
      </c>
      <c r="G22" s="13">
        <f>IF(E22="","",E22*0.05)</f>
        <v>81.5</v>
      </c>
      <c r="H22" s="13">
        <f>IF(E22="","",E22*1.05*0.85)</f>
        <v>1454.7749999999999</v>
      </c>
      <c r="I22" s="11">
        <f>IF(D22="","",H22*D22)</f>
        <v>0</v>
      </c>
      <c r="K22" t="inlineStr">
        <is>
          <t>שטח תריסים לחלונות (אור)</t>
        </is>
      </c>
      <c r="L22" s="27" t="n">
        <v>0</v>
      </c>
    </row>
    <row r="23" hidden="1">
      <c r="A23" s="8" t="inlineStr">
        <is>
          <t>12.011.0285</t>
        </is>
      </c>
      <c r="B23" s="9" t="inlineStr">
        <is>
          <t>חלון נגרר אגף על אגף של 2 אגפים ב-2 מסלולים מאולגן/צבוע כדוגמת קליל קלאסי 9000 או ש"ע, זכוכית שקופה בידודית מחוסמת דו צדדי 6+10+8 מ"מ, בשטח מעל 5.0 מ"ר ועד 6.0 מ"ר</t>
        </is>
      </c>
      <c r="C23" s="10" t="inlineStr">
        <is>
          <t>מ"ר</t>
        </is>
      </c>
      <c r="D23" s="11" t="n">
        <v>0</v>
      </c>
      <c r="E23" s="12" t="n">
        <v>1490</v>
      </c>
      <c r="F23" s="13">
        <f>IF(E23="","",E23*0.15)</f>
        <v>223.5</v>
      </c>
      <c r="G23" s="13">
        <f>IF(E23="","",E23*0.05)</f>
        <v>74.5</v>
      </c>
      <c r="H23" s="13">
        <f>IF(E23="","",E23*1.05*0.85)</f>
        <v>1329.825</v>
      </c>
      <c r="I23" s="11">
        <f>IF(D23="","",H23*D23)</f>
        <v>0</v>
      </c>
      <c r="K23" t="inlineStr">
        <is>
          <t>שטח תריסים לדלתות (אור)</t>
        </is>
      </c>
      <c r="L23" s="27" t="n">
        <v>0</v>
      </c>
    </row>
    <row r="24" hidden="1" ht="15.6" customHeight="1">
      <c r="A24" s="8" t="inlineStr">
        <is>
          <t>12.012.0100</t>
        </is>
      </c>
      <c r="B24" s="9" t="inlineStr">
        <is>
          <t>חלון נגרר אגף על אגף של 3 אגפים ב-3 מסלולים מאולגן/צבוע כדוגמת קליל קלאסי 9000 או ש"ע, זכוכית שקופה בידודית 5+6+6 מ"מ, בשטח מעל 1.0 מ"ר ועד 2.0 מ"ר</t>
        </is>
      </c>
      <c r="C24" s="10" t="inlineStr">
        <is>
          <t>מ"ר</t>
        </is>
      </c>
      <c r="D24" s="11" t="n">
        <v>0</v>
      </c>
      <c r="E24" s="12" t="n">
        <v>2210</v>
      </c>
      <c r="F24" s="13">
        <f>IF(E24="","",E24*0.15)</f>
        <v>331.5</v>
      </c>
      <c r="G24" s="13">
        <f>IF(E24="","",E24*0.05)</f>
        <v>110.5</v>
      </c>
      <c r="H24" s="13">
        <f>IF(E24="","",E24*1.05*0.85)</f>
        <v>1972.425</v>
      </c>
      <c r="I24" s="11">
        <f>IF(D24="","",H24*D24)</f>
        <v>0</v>
      </c>
      <c r="K24" t="inlineStr">
        <is>
          <t>כמות מנוע עד 20</t>
        </is>
      </c>
      <c r="L24" s="27" t="n">
        <v>0</v>
      </c>
    </row>
    <row r="25" hidden="1" ht="28.8" customHeight="1">
      <c r="A25" s="8" t="inlineStr">
        <is>
          <t>12.012.0110</t>
        </is>
      </c>
      <c r="B25" s="9" t="inlineStr">
        <is>
          <t>חלון נגרר אגף על אגף של 3 אגפים ב-3 מסלולים מאולגן/צבוע כדוגמת קליל קלאסי 9000 או ש"ע, זכוכית שקופה בידודית 5+6+6 מ"מ, בשטח מעל 2.0 מ"ר ועד 3.0 מ"ר</t>
        </is>
      </c>
      <c r="C25" s="10" t="inlineStr">
        <is>
          <t>מ"ר</t>
        </is>
      </c>
      <c r="D25" s="11" t="n">
        <v>0</v>
      </c>
      <c r="E25" s="12" t="n">
        <v>2110</v>
      </c>
      <c r="F25" s="13">
        <f>IF(E25="","",E25*0.15)</f>
        <v>316.5</v>
      </c>
      <c r="G25" s="13">
        <f>IF(E25="","",E25*0.05)</f>
        <v>105.5</v>
      </c>
      <c r="H25" s="13">
        <f>IF(E25="","",E25*1.05*0.85)</f>
        <v>1883.175</v>
      </c>
      <c r="I25" s="11">
        <f>IF(D25="","",H25*D25)</f>
        <v>0</v>
      </c>
      <c r="K25" t="inlineStr">
        <is>
          <t>כמות מנוע 20–30</t>
        </is>
      </c>
      <c r="L25" s="27" t="n">
        <v>0</v>
      </c>
    </row>
    <row r="26" hidden="1" ht="28.8" customHeight="1">
      <c r="A26" s="8" t="inlineStr">
        <is>
          <t>12.012.0120</t>
        </is>
      </c>
      <c r="B26" s="9" t="inlineStr">
        <is>
          <t>חלון נגרר אגף על אגף של 3 אגפים ב-3 מסלולים מאולגן/צבוע כדוגמת קליל קלאסי 9000 או ש"ע, זכוכית שקופה בידודית מחוסמת דו צדדי 6+10+8 מ"מ, בשטח מעל 3.0 מ"ר ועד 5.0 מ"ר</t>
        </is>
      </c>
      <c r="C26" s="10" t="inlineStr">
        <is>
          <t>מ"ר</t>
        </is>
      </c>
      <c r="D26" s="11" t="n">
        <v>0</v>
      </c>
      <c r="E26" s="12" t="n">
        <v>2060</v>
      </c>
      <c r="F26" s="13">
        <f>IF(E26="","",E26*0.15)</f>
        <v>309</v>
      </c>
      <c r="G26" s="13">
        <f>IF(E26="","",E26*0.05)</f>
        <v>103</v>
      </c>
      <c r="H26" s="13">
        <f>IF(E26="","",E26*1.05*0.85)</f>
        <v>1838.55</v>
      </c>
      <c r="I26" s="11">
        <f>IF(D26="","",H26*D26)</f>
        <v>0</v>
      </c>
      <c r="K26" t="inlineStr">
        <is>
          <t>כמות מנוע 30–50</t>
        </is>
      </c>
      <c r="L26" s="27" t="n">
        <v>0</v>
      </c>
    </row>
    <row r="27" hidden="1" ht="28.8" customHeight="1">
      <c r="A27" s="8" t="inlineStr">
        <is>
          <t>12.012.0130</t>
        </is>
      </c>
      <c r="B27" s="9" t="inlineStr">
        <is>
          <t>חלון נגרר אגף על אגף של 3 אגפים ב-3 מסלולים מאולגן/צבוע כדוגמת קליל קלאסי 9000 או ש"ע, זכוכית שקופה בידודית מחוסמת דו צדדי 6+10+8 מ"מ, בשטח מעל 5.0 מ"ר ועד 7.0 מ"ר</t>
        </is>
      </c>
      <c r="C27" s="10" t="inlineStr">
        <is>
          <t>מ"ר</t>
        </is>
      </c>
      <c r="D27" s="11" t="n">
        <v>0</v>
      </c>
      <c r="E27" s="12" t="n">
        <v>1970</v>
      </c>
      <c r="F27" s="13">
        <f>IF(E27="","",E27*0.15)</f>
        <v>295.5</v>
      </c>
      <c r="G27" s="13">
        <f>IF(E27="","",E27*0.05)</f>
        <v>98.5</v>
      </c>
      <c r="H27" s="13">
        <f>IF(E27="","",E27*1.05*0.85)</f>
        <v>1758.225</v>
      </c>
      <c r="I27" s="11">
        <f>IF(D27="","",H27*D27)</f>
        <v>0</v>
      </c>
      <c r="K27" t="inlineStr">
        <is>
          <t>כמות מנוע 50–70</t>
        </is>
      </c>
      <c r="L27" s="27" t="n">
        <v>3</v>
      </c>
    </row>
    <row r="28" hidden="1" ht="15.6" customHeight="1">
      <c r="A28" s="8" t="inlineStr">
        <is>
          <t>12.012.0560</t>
        </is>
      </c>
      <c r="B28" s="9" t="inlineStr">
        <is>
          <t>חלון נגרר אגף על אגף של 4 אגפים ב-2 מסלולים מאולגן/צבוע כדוגמת קליל קלאסי 9000 או ש"ע, זכוכית שקופה בידודית 6+10+8 מ"מ, בשטח מעל 3.0 מ"ר ועד 5.0 מ"ר</t>
        </is>
      </c>
      <c r="C28" s="10" t="inlineStr">
        <is>
          <t>מ"ר</t>
        </is>
      </c>
      <c r="D28" s="11" t="n">
        <v>0</v>
      </c>
      <c r="E28" s="12" t="n">
        <v>2300</v>
      </c>
      <c r="F28" s="13">
        <f>IF(E28="","",E28*0.15)</f>
        <v>345</v>
      </c>
      <c r="G28" s="13">
        <f>IF(E28="","",E28*0.05)</f>
        <v>115</v>
      </c>
      <c r="H28" s="13">
        <f>IF(E28="","",E28*1.05*0.85)</f>
        <v>2052.75</v>
      </c>
      <c r="I28" s="11">
        <f>IF(D28="","",H28*D28)</f>
        <v>0</v>
      </c>
      <c r="K28" t="inlineStr">
        <is>
          <t>כמות מנוע 70–90</t>
        </is>
      </c>
      <c r="L28" s="27" t="n">
        <v>0</v>
      </c>
    </row>
    <row r="29" ht="28.8" customHeight="1">
      <c r="A29" s="8" t="inlineStr">
        <is>
          <t>12.011.1001</t>
        </is>
      </c>
      <c r="B29" s="9" t="inlineStr">
        <is>
          <t>תוספת עבור חלק קבוע בחלון נגרר אגף על אגף של 2 אגפים. התוספת הינה 15% למחיר מ"ר של החלון</t>
        </is>
      </c>
      <c r="C29" s="10" t="inlineStr">
        <is>
          <t>קומפ</t>
        </is>
      </c>
      <c r="D29" s="11" t="n">
        <v>19562.4</v>
      </c>
      <c r="E29" s="12" t="n">
        <v>0.15</v>
      </c>
      <c r="F29" s="13">
        <f>IF(E29="","",E29*0.15)</f>
        <v>0.0225</v>
      </c>
      <c r="G29" s="13">
        <f>IF(E29="","",E29*0.05)</f>
        <v>0.0075</v>
      </c>
      <c r="H29" s="13">
        <f>IF(E29="","",E29*1.05*0.85)</f>
        <v>0.133875</v>
      </c>
      <c r="I29" s="11">
        <f>IF(D29="","",H29*D29)</f>
        <v>2618.9163</v>
      </c>
      <c r="K29" t="inlineStr">
        <is>
          <t>כמות מנוע 90–120+</t>
        </is>
      </c>
      <c r="L29" s="27" t="n">
        <v>1</v>
      </c>
    </row>
    <row r="30" hidden="1" ht="28.8" customHeight="1">
      <c r="A30" s="8" t="inlineStr">
        <is>
          <t>12.011.9000</t>
        </is>
      </c>
      <c r="B30" s="9" t="inlineStr">
        <is>
          <t>פירוק חלונות אלומיניום ומשקופיהם בשטח של עד 2 מ"ר</t>
        </is>
      </c>
      <c r="C30" s="10" t="inlineStr">
        <is>
          <t>יח'</t>
        </is>
      </c>
      <c r="D30" s="11">
        <f>L8</f>
        <v>0</v>
      </c>
      <c r="E30" s="12" t="n">
        <v>140</v>
      </c>
      <c r="F30" s="13">
        <f>IF(E30="","",E30*0.15)</f>
        <v>21</v>
      </c>
      <c r="G30" s="13">
        <f>IF(E30="","",E30*0.05)</f>
        <v>7</v>
      </c>
      <c r="H30" s="13">
        <f>IF(E30="","",E30*1.05*0.85)</f>
        <v>124.95</v>
      </c>
      <c r="I30" s="11">
        <f>IF(D30="","",H30*D30)</f>
        <v>0</v>
      </c>
      <c r="K30" t="inlineStr">
        <is>
          <t>כמות טיפול בארגז</t>
        </is>
      </c>
      <c r="L30" s="27" t="n">
        <v>0</v>
      </c>
    </row>
    <row r="31" hidden="1" ht="15.6" customHeight="1">
      <c r="A31" s="8" t="inlineStr">
        <is>
          <t>12.011.9016</t>
        </is>
      </c>
      <c r="B31" s="9" t="inlineStr">
        <is>
          <t>פירוק חלונות אלומיניום ומשקופיהם בשטח של מעל 2 מ"ר ועד 3 מ"ר</t>
        </is>
      </c>
      <c r="C31" s="10" t="inlineStr">
        <is>
          <t>יח'</t>
        </is>
      </c>
      <c r="D31" s="11">
        <f>L9</f>
        <v>0</v>
      </c>
      <c r="E31" s="12" t="n">
        <v>240</v>
      </c>
      <c r="F31" s="13">
        <f>IF(E31="","",E31*0.15)</f>
        <v>36</v>
      </c>
      <c r="G31" s="13">
        <f>IF(E31="","",E31*0.05)</f>
        <v>12</v>
      </c>
      <c r="H31" s="13">
        <f>IF(E31="","",E31*1.05*0.85)</f>
        <v>214.2</v>
      </c>
      <c r="I31" s="11">
        <f>IF(D31="","",H31*D31)</f>
        <v>0</v>
      </c>
      <c r="K31" t="inlineStr">
        <is>
          <t>סה"כ טקסאונד</t>
        </is>
      </c>
      <c r="L31" s="27" t="n">
        <v>2.292</v>
      </c>
    </row>
    <row r="32" ht="28.8" customHeight="1">
      <c r="A32" s="8" t="inlineStr">
        <is>
          <t>12.011.9017</t>
        </is>
      </c>
      <c r="B32" s="9" t="inlineStr">
        <is>
          <t>פירוק חלונות אלומיניום ומשקופיהם בשטח של מעל 3 מ"ר ועד 5 מ"ר</t>
        </is>
      </c>
      <c r="C32" s="10" t="inlineStr">
        <is>
          <t>יח'</t>
        </is>
      </c>
      <c r="D32" s="11">
        <f>L10</f>
        <v>3</v>
      </c>
      <c r="E32" s="12" t="n">
        <v>310</v>
      </c>
      <c r="F32" s="13">
        <f>IF(E32="","",E32*0.15)</f>
        <v>46.5</v>
      </c>
      <c r="G32" s="13">
        <f>IF(E32="","",E32*0.05)</f>
        <v>15.5</v>
      </c>
      <c r="H32" s="13">
        <f>IF(E32="","",E32*1.05*0.85)</f>
        <v>276.675</v>
      </c>
      <c r="I32" s="11">
        <f>IF(D32="","",H32*D32)</f>
        <v>830.0250000000001</v>
      </c>
      <c r="K32" t="inlineStr">
        <is>
          <t>שטח הזזה</t>
        </is>
      </c>
      <c r="L32" s="27" t="n">
        <v>0</v>
      </c>
    </row>
    <row r="33" hidden="1" ht="28.8" customHeight="1">
      <c r="A33" s="8" t="inlineStr">
        <is>
          <t>12.014</t>
        </is>
      </c>
      <c r="B33" s="9" t="inlineStr">
        <is>
          <t>חלון אלומיניום ציר צד וחלון דו-צירי סב-נטוי (DREH-KIPP)</t>
        </is>
      </c>
      <c r="C33" s="10" t="inlineStr"/>
      <c r="D33" s="11" t="n"/>
      <c r="E33" s="12" t="n"/>
      <c r="F33" s="13" t="n"/>
      <c r="G33" s="13" t="n"/>
      <c r="H33" s="13" t="n"/>
      <c r="I33" s="11" t="n"/>
      <c r="K33" t="inlineStr">
        <is>
          <t>שטח הזזה+קבוע</t>
        </is>
      </c>
      <c r="L33" s="27" t="n">
        <v>11.115</v>
      </c>
    </row>
    <row r="34" hidden="1" ht="28.8" customHeight="1">
      <c r="A34" s="8" t="inlineStr">
        <is>
          <t>12.014.0400</t>
        </is>
      </c>
      <c r="B34" s="9" t="inlineStr">
        <is>
          <t>חלון ציר-צד מאולגן/צבוע כדוגמת קליל קלאסי 4500 או ש"ע, זכוכית שקופה בידודית 5+6+6 מ"מ, בשטח מעל 0.6 מ"ר ועד 1.0 מ"ר</t>
        </is>
      </c>
      <c r="C34" s="10" t="inlineStr">
        <is>
          <t>מ"ר</t>
        </is>
      </c>
      <c r="D34" s="11" t="n">
        <v>0</v>
      </c>
      <c r="E34" s="12" t="n">
        <v>2220</v>
      </c>
      <c r="F34" s="13">
        <f>IF(E34="","",E34*0.15)</f>
        <v>333</v>
      </c>
      <c r="G34" s="13">
        <f>IF(E34="","",E34*0.05)</f>
        <v>111</v>
      </c>
      <c r="H34" s="13">
        <f>IF(E34="","",E34*1.05*0.85)</f>
        <v>1981.35</v>
      </c>
      <c r="I34" s="11">
        <f>IF(D34="","",H34*D34)</f>
        <v>0</v>
      </c>
      <c r="K34" t="inlineStr">
        <is>
          <t>שטח קיפ</t>
        </is>
      </c>
      <c r="L34" s="27" t="n">
        <v>0</v>
      </c>
    </row>
    <row r="35" hidden="1" ht="15.6" customHeight="1">
      <c r="A35" s="8" t="inlineStr">
        <is>
          <t>12.014.0650</t>
        </is>
      </c>
      <c r="B35" s="9" t="inlineStr">
        <is>
          <t>חלון ציר-צד מאולגן/צבוע כדוגמת קליל קלאסי 4500 או ש"ע, זכוכית שקופה בידודית 5+6+6 מ"מ, בשטח מעל 0.6 מ"ר ועד 1.0 מ"ר</t>
        </is>
      </c>
      <c r="C35" s="10" t="inlineStr">
        <is>
          <t>מ"ר</t>
        </is>
      </c>
      <c r="D35" s="11" t="n">
        <v>0</v>
      </c>
      <c r="E35" s="12" t="n">
        <v>2790</v>
      </c>
      <c r="F35" s="13">
        <f>IF(E35="","",E35*0.15)</f>
        <v>418.5</v>
      </c>
      <c r="G35" s="13">
        <f>IF(E35="","",E35*0.05)</f>
        <v>139.5</v>
      </c>
      <c r="H35" s="13">
        <f>IF(E35="","",E35*1.05*0.85)</f>
        <v>2490.075</v>
      </c>
      <c r="I35" s="11">
        <f>IF(D35="","",H35*D35)</f>
        <v>0</v>
      </c>
      <c r="K35" t="inlineStr">
        <is>
          <t>שטח חלון ציר</t>
        </is>
      </c>
      <c r="L35" s="27" t="n">
        <v>0</v>
      </c>
    </row>
    <row r="36" hidden="1" ht="28.8" customHeight="1">
      <c r="A36" s="8" t="inlineStr">
        <is>
          <t>12.014.0660</t>
        </is>
      </c>
      <c r="B36" s="9" t="inlineStr">
        <is>
          <t>חלון דו-צירי סב נטוי (דריי קיפ), מאולגן/צבוע כדוגמת קליל קלאסי 4500 או ש"ע, זכוכית שקופה בידודית מחוסמת דו צדדי 6+10+8 מ"מ, בשטח מעל 1.0 מ"ר ועד 2.0 מ"ר</t>
        </is>
      </c>
      <c r="C36" s="10" t="inlineStr">
        <is>
          <t>מ"ר</t>
        </is>
      </c>
      <c r="D36" s="11">
        <f>L34+L6</f>
        <v>0</v>
      </c>
      <c r="E36" s="12" t="n">
        <v>2700</v>
      </c>
      <c r="F36" s="13">
        <f>IF(E36="","",E36*0.15)</f>
        <v>405</v>
      </c>
      <c r="G36" s="13">
        <f>IF(E36="","",E36*0.05)</f>
        <v>135</v>
      </c>
      <c r="H36" s="13">
        <f>IF(E36="","",E36*1.05*0.85)</f>
        <v>2409.75</v>
      </c>
      <c r="I36" s="11">
        <f>IF(D36="","",H36*D36)</f>
        <v>0</v>
      </c>
      <c r="K36" t="inlineStr">
        <is>
          <t>שטח תריסים לחלונות</t>
        </is>
      </c>
      <c r="L36" s="27" t="n">
        <v>11.115</v>
      </c>
    </row>
    <row r="37" hidden="1" ht="28.8" customHeight="1">
      <c r="A37" s="8" t="inlineStr">
        <is>
          <t>12.016</t>
        </is>
      </c>
      <c r="B37" s="9" t="inlineStr">
        <is>
          <t>חלון אלומיניום קיפ וחלון קבוע</t>
        </is>
      </c>
      <c r="C37" s="10" t="inlineStr"/>
      <c r="D37" s="11" t="n"/>
      <c r="E37" s="12" t="n"/>
      <c r="F37" s="13" t="n"/>
      <c r="G37" s="13" t="n"/>
      <c r="H37" s="13" t="n"/>
      <c r="I37" s="11" t="n"/>
      <c r="K37" t="inlineStr">
        <is>
          <t>שטח תריסים לדלתות</t>
        </is>
      </c>
      <c r="L37" s="27" t="n">
        <v>7.85</v>
      </c>
    </row>
    <row r="38" hidden="1" ht="28.8" customHeight="1">
      <c r="A38" s="8" t="inlineStr">
        <is>
          <t>12.016.0600</t>
        </is>
      </c>
      <c r="B38" s="9" t="inlineStr">
        <is>
          <t>חלון קבוע כדוגמת קליל קלאסי 4500 או ש"ע, זכוכית שקופה בידודית 5+6+6 מ"מ, בשטח מעל 0.6 מ"ר ועד 1.0 מ"ר</t>
        </is>
      </c>
      <c r="C38" s="10" t="inlineStr">
        <is>
          <t>יח'</t>
        </is>
      </c>
      <c r="D38" s="11" t="n">
        <v>0</v>
      </c>
      <c r="E38" s="12" t="n">
        <v>1310</v>
      </c>
      <c r="F38" s="13">
        <f>IF(E38="","",E38*0.15)</f>
        <v>196.5</v>
      </c>
      <c r="G38" s="13">
        <f>IF(E38="","",E38*0.05)</f>
        <v>65.5</v>
      </c>
      <c r="H38" s="13">
        <f>IF(E38="","",E38*1.05*0.85)</f>
        <v>1169.175</v>
      </c>
      <c r="I38" s="11">
        <f>IF(D38="","",H38*D38)</f>
        <v>0</v>
      </c>
      <c r="K38" t="inlineStr">
        <is>
          <t>שטח דלת ציר</t>
        </is>
      </c>
      <c r="L38" s="27" t="n">
        <v>0</v>
      </c>
    </row>
    <row r="39" hidden="1" ht="15.6" customHeight="1">
      <c r="A39" s="8" t="inlineStr">
        <is>
          <t>12.016.0610</t>
        </is>
      </c>
      <c r="B39" s="9" t="inlineStr">
        <is>
          <t>חלון קבוע כדוגמת קליל קלאסי 4500 או ש"ע, זכוכית שקופה בידודית 5+6+6 מ"מ, בשטח מעל 1.0 מ"ר ועד 2.0 מ"ר</t>
        </is>
      </c>
      <c r="C39" s="10" t="inlineStr">
        <is>
          <t>יח'</t>
        </is>
      </c>
      <c r="D39" s="11" t="n">
        <v>0</v>
      </c>
      <c r="E39" s="12" t="n">
        <v>2090</v>
      </c>
      <c r="F39" s="13">
        <f>IF(E39="","",E39*0.15)</f>
        <v>313.5</v>
      </c>
      <c r="G39" s="13">
        <f>IF(E39="","",E39*0.05)</f>
        <v>104.5</v>
      </c>
      <c r="H39" s="13">
        <f>IF(E39="","",E39*1.05*0.85)</f>
        <v>1865.325</v>
      </c>
      <c r="I39" s="11">
        <f>IF(D39="","",H39*D39)</f>
        <v>0</v>
      </c>
      <c r="K39" t="inlineStr">
        <is>
          <t>מס' יחידות תריס לפירוק עד 2 מ"ר</t>
        </is>
      </c>
      <c r="L39" s="27" t="n">
        <v>0</v>
      </c>
    </row>
    <row r="40" hidden="1">
      <c r="A40" s="8" t="inlineStr">
        <is>
          <t>12.051</t>
        </is>
      </c>
      <c r="B40" s="9" t="inlineStr">
        <is>
          <t>דלתות/ויטרינות אלומיניום נגררות אגף על אגף (הזזה) של 2 אגפים</t>
        </is>
      </c>
      <c r="C40" s="10" t="inlineStr"/>
      <c r="D40" s="11" t="n"/>
      <c r="E40" s="12" t="n"/>
      <c r="F40" s="13" t="n"/>
      <c r="G40" s="13" t="n"/>
      <c r="H40" s="13" t="n"/>
      <c r="I40" s="11" t="n"/>
      <c r="K40" t="inlineStr">
        <is>
          <t>סה"כ שטח תריס לפירוק מעל 2 מ"ר</t>
        </is>
      </c>
      <c r="L40" s="27" t="n">
        <v>18.965</v>
      </c>
    </row>
    <row r="41" hidden="1" ht="15.6" customHeight="1">
      <c r="A41" s="8" t="inlineStr">
        <is>
          <t>12.051.0460</t>
        </is>
      </c>
      <c r="B41" s="9" t="inlineStr">
        <is>
          <t>דלת נגררת אגף על אגף של 2 אגפים ב-2 מסלולים מאולגנת/צבועה כדוגמת קליל קלאסי 9000 או ש"ע, זכוכית מחוסמת בעובי 8 מ"מ, בשטח מעל 4.0 מ"ר ועד 6.0 מ"ר</t>
        </is>
      </c>
      <c r="C41" s="10" t="inlineStr">
        <is>
          <t>מ"ר</t>
        </is>
      </c>
      <c r="D41" s="11" t="n">
        <v>0</v>
      </c>
      <c r="E41" s="12" t="n">
        <v>1630</v>
      </c>
      <c r="F41" s="13">
        <f>IF(E41="","",E41*0.15)</f>
        <v>244.5</v>
      </c>
      <c r="G41" s="13">
        <f>IF(E41="","",E41*0.05)</f>
        <v>81.5</v>
      </c>
      <c r="H41" s="13">
        <f>IF(E41="","",E41*1.05*0.85)</f>
        <v>1454.7749999999999</v>
      </c>
      <c r="I41" s="11">
        <f>IF(D41="","",H41*D41)</f>
        <v>0</v>
      </c>
      <c r="K41" t="inlineStr">
        <is>
          <t>קיזוז זכוכית לארגז תריס</t>
        </is>
      </c>
      <c r="L41" s="27" t="n">
        <v>2.292</v>
      </c>
    </row>
    <row r="42" hidden="1" ht="28.8" customHeight="1">
      <c r="A42" s="8" t="inlineStr">
        <is>
          <t>12.051.0470</t>
        </is>
      </c>
      <c r="B42" s="9" t="inlineStr">
        <is>
          <t>דלת נגררת אגף על אגף של 2 אגפים ב-2 מסלולים מאולגנת/צבועה כדוגמת קליל קלאסי 9000 או ש"ע, זכוכית מחוסמת בעובי 8 מ"מ, בשטח מעל 6.0 מ"ר ועד 8.0 מ"ר</t>
        </is>
      </c>
      <c r="C42" s="10" t="inlineStr">
        <is>
          <t>מ"ר</t>
        </is>
      </c>
      <c r="D42" s="11" t="n">
        <v>0</v>
      </c>
      <c r="E42" s="12" t="n">
        <v>1580</v>
      </c>
      <c r="F42" s="13">
        <f>IF(E42="","",E42*0.15)</f>
        <v>237</v>
      </c>
      <c r="G42" s="13">
        <f>IF(E42="","",E42*0.05)</f>
        <v>79</v>
      </c>
      <c r="H42" s="13">
        <f>IF(E42="","",E42*1.05*0.85)</f>
        <v>1410.1499999999999</v>
      </c>
      <c r="I42" s="11">
        <f>IF(D42="","",H42*D42)</f>
        <v>0</v>
      </c>
    </row>
    <row r="43" ht="28.8" customHeight="1">
      <c r="A43" s="8" t="inlineStr">
        <is>
          <t>12.052</t>
        </is>
      </c>
      <c r="B43" s="9" t="inlineStr">
        <is>
          <t>דלתות אלומיניום נגררות אגף על אגף (הזזה) של 3 אגפים ו-4 אגפים</t>
        </is>
      </c>
      <c r="C43" s="10" t="inlineStr"/>
      <c r="D43" s="11" t="n"/>
      <c r="E43" s="12" t="n"/>
      <c r="F43" s="13" t="n"/>
      <c r="G43" s="13" t="n"/>
      <c r="H43" s="13" t="n"/>
      <c r="I43" s="11" t="n"/>
    </row>
    <row r="44" hidden="1" ht="28.2" customHeight="1">
      <c r="A44" s="8" t="inlineStr">
        <is>
          <t>12.052.0020</t>
        </is>
      </c>
      <c r="B44" s="9" t="inlineStr">
        <is>
          <t>דלת נגררת אגף על אגף של 3 אגפים ב-3 מסלולים מאולגנת/צבועה כדוגמת קליל קלאסי 7000 או ש"ע, זכוכית מחוסמת בעובי 6 מ"מ, בשטח מעל 6.0 מ"ר ועד 8.0 מ"ר</t>
        </is>
      </c>
      <c r="C44" s="10" t="inlineStr">
        <is>
          <t>מ"ר</t>
        </is>
      </c>
      <c r="D44" s="11" t="n">
        <v>0</v>
      </c>
      <c r="E44" s="12" t="n">
        <v>1760</v>
      </c>
      <c r="F44" s="13">
        <f>IF(E44="","",E44*0.15)</f>
        <v>264</v>
      </c>
      <c r="G44" s="13">
        <f>IF(E44="","",E44*0.05)</f>
        <v>88</v>
      </c>
      <c r="H44" s="13">
        <f>IF(E44="","",E44*1.05*0.85)</f>
        <v>1570.8</v>
      </c>
      <c r="I44" s="11">
        <f>IF(D44="","",H44*D44)</f>
        <v>0</v>
      </c>
    </row>
    <row r="45" ht="28.8" customHeight="1">
      <c r="A45" s="8" t="inlineStr">
        <is>
          <t>12.052.0070</t>
        </is>
      </c>
      <c r="B45" s="9" t="inlineStr">
        <is>
          <t>דלת נגררת אגף על אגף של 3 אגפים ב-3 מסלולים מאולגנת/צבועה כדוגמת קליל קלאסי 9000 או ש"ע, זכוכית מחוסמת בעובי 6 מ"מ, בשטח מעל 6.0 מ"ר ועד 8.0 מ"ר</t>
        </is>
      </c>
      <c r="C45" s="10" t="inlineStr">
        <is>
          <t>מ"ר</t>
        </is>
      </c>
      <c r="D45" s="11">
        <f>L5</f>
        <v>7.85</v>
      </c>
      <c r="E45" s="12" t="n">
        <v>1850</v>
      </c>
      <c r="F45" s="13">
        <f>IF(E45="","",E45*0.15)</f>
        <v>277.5</v>
      </c>
      <c r="G45" s="13">
        <f>IF(E45="","",E45*0.05)</f>
        <v>92.5</v>
      </c>
      <c r="H45" s="13">
        <f>IF(E45="","",E45*1.05*0.85)</f>
        <v>1651.125</v>
      </c>
      <c r="I45" s="11">
        <f>IF(D45="","",H45*D45)</f>
        <v>12961.33125</v>
      </c>
    </row>
    <row r="46" hidden="1">
      <c r="A46" s="8" t="inlineStr">
        <is>
          <t>12.052.0080</t>
        </is>
      </c>
      <c r="B46" s="9" t="inlineStr">
        <is>
          <t>דלת נגררת אגף על אגף של 3 אגפים ב-3 מסלולים מאולגנת/צבועה כדוגמת קליל קלאסי 9000 או ש"ע, זכוכית מחוסמת בעובי 8 מ"מ, בשטח מעל 8.0 מ"ר ועד 10.0 מ"ר</t>
        </is>
      </c>
      <c r="C46" s="10" t="inlineStr">
        <is>
          <t>מ"ר</t>
        </is>
      </c>
      <c r="D46" s="11" t="n">
        <v>0</v>
      </c>
      <c r="E46" s="12" t="n">
        <v>1680</v>
      </c>
      <c r="F46" s="13">
        <f>IF(E46="","",E46*0.15)</f>
        <v>252</v>
      </c>
      <c r="G46" s="13">
        <f>IF(E46="","",E46*0.05)</f>
        <v>84</v>
      </c>
      <c r="H46" s="13">
        <f>IF(E46="","",E46*1.05*0.85)</f>
        <v>1499.3999999999999</v>
      </c>
      <c r="I46" s="11">
        <f>IF(D46="","",H46*D46)</f>
        <v>0</v>
      </c>
    </row>
    <row r="47" hidden="1">
      <c r="A47" s="8" t="inlineStr">
        <is>
          <t>12.052.0260</t>
        </is>
      </c>
      <c r="B47" s="9" t="inlineStr">
        <is>
          <t>דלת נגררת אגף על אגף של 3 אגפים ב-3 מסלולים מאולגנת/צבועה כדוגמת קליל בלגי 7300 או ש"ע, זכוכית מחוסמת בעובי 6 מ"מ, בשטח מעל 6.0 מ"ר ועד 8.0 מ"ר</t>
        </is>
      </c>
      <c r="C47" s="10" t="inlineStr">
        <is>
          <t>מ"ר</t>
        </is>
      </c>
      <c r="D47" s="11" t="n">
        <v>0</v>
      </c>
      <c r="E47" s="12" t="n">
        <v>2101</v>
      </c>
      <c r="F47" s="13">
        <f>IF(E47="","",E47*0.15)</f>
        <v>315.15</v>
      </c>
      <c r="G47" s="13">
        <f>IF(E47="","",E47*0.05)</f>
        <v>105.05000000000001</v>
      </c>
      <c r="H47" s="13">
        <f>IF(E47="","",E47*1.05*0.85)</f>
        <v>1875.1425000000002</v>
      </c>
      <c r="I47" s="11">
        <f>IF(D47="","",H47*D47)</f>
        <v>0</v>
      </c>
    </row>
    <row r="48" hidden="1">
      <c r="A48" s="8" t="inlineStr">
        <is>
          <t>12.053</t>
        </is>
      </c>
      <c r="B48" s="9" t="inlineStr">
        <is>
          <t>דלתות אלומיניום ציריות</t>
        </is>
      </c>
      <c r="C48" s="10" t="inlineStr"/>
      <c r="D48" s="11" t="n"/>
      <c r="E48" s="12" t="n"/>
      <c r="F48" s="13" t="n"/>
      <c r="G48" s="13" t="n"/>
      <c r="H48" s="13" t="n"/>
      <c r="I48" s="11" t="n"/>
    </row>
    <row r="49" hidden="1">
      <c r="A49" s="8" t="inlineStr">
        <is>
          <t>12.053.0200</t>
        </is>
      </c>
      <c r="B49" s="9" t="inlineStr">
        <is>
          <t>דלת ציר אגף אחד מאולגנת/צבועה כדוגמת קליל 4500 או ש"ע, זכוכית מחוסמת בעובי 6 מ"מ, בשטח עד 2.0 מ"ר</t>
        </is>
      </c>
      <c r="C49" s="10" t="inlineStr">
        <is>
          <t>מ"ר</t>
        </is>
      </c>
      <c r="D49" s="11">
        <f>L38</f>
        <v>0</v>
      </c>
      <c r="E49" s="12" t="n">
        <v>2850</v>
      </c>
      <c r="F49" s="13">
        <f>IF(E49="","",E49*0.15)</f>
        <v>427.5</v>
      </c>
      <c r="G49" s="13">
        <f>IF(E49="","",E49*0.05)</f>
        <v>142.5</v>
      </c>
      <c r="H49" s="13">
        <f>IF(E49="","",E49*1.05*0.85)</f>
        <v>2543.625</v>
      </c>
      <c r="I49" s="11">
        <f>IF(D49="","",H49*D49)</f>
        <v>0</v>
      </c>
    </row>
    <row r="50" hidden="1">
      <c r="A50" s="8" t="inlineStr">
        <is>
          <t>12.053.0210</t>
        </is>
      </c>
      <c r="B50" s="9" t="inlineStr">
        <is>
          <t>דלת ציר אגף אחד מאולגנת/צבועה כדוגמת קליל 4500 או ש"ע, זכוכית מחוסמת בעובי 6 מ"מ, בשטח מעל 2.0 מ"ר ועד 3.0 מ"ר</t>
        </is>
      </c>
      <c r="C50" s="10" t="inlineStr">
        <is>
          <t>מ"ר</t>
        </is>
      </c>
      <c r="D50" s="11" t="n">
        <v>0</v>
      </c>
      <c r="E50" s="12" t="n">
        <v>2300</v>
      </c>
      <c r="F50" s="13">
        <f>IF(E50="","",E50*0.15)</f>
        <v>345</v>
      </c>
      <c r="G50" s="13">
        <f>IF(E50="","",E50*0.05)</f>
        <v>115</v>
      </c>
      <c r="H50" s="13">
        <f>IF(E50="","",E50*1.05*0.85)</f>
        <v>2052.75</v>
      </c>
      <c r="I50" s="11">
        <f>IF(D50="","",H50*D50)</f>
        <v>0</v>
      </c>
    </row>
    <row r="51" hidden="1">
      <c r="A51" s="8" t="inlineStr">
        <is>
          <t>12.053.0450</t>
        </is>
      </c>
      <c r="B51" s="9" t="inlineStr">
        <is>
          <t>דלת ציר שני אגפים מאולגנת/צבועה כדוגמת קליל קלאסי 4500 או ש"ע, זכוכית מחוסמת בעובי 6 מ"מ, בשטח מעל 3.0 מ"ר ועד 4.0 מ"ר</t>
        </is>
      </c>
      <c r="C51" s="10" t="inlineStr">
        <is>
          <t>מ"ר</t>
        </is>
      </c>
      <c r="D51" s="11" t="n">
        <v>0</v>
      </c>
      <c r="E51" s="12" t="n">
        <v>3250</v>
      </c>
      <c r="F51" s="13">
        <f>IF(E51="","",E51*0.15)</f>
        <v>487.5</v>
      </c>
      <c r="G51" s="13">
        <f>IF(E51="","",E51*0.05)</f>
        <v>162.5</v>
      </c>
      <c r="H51" s="13">
        <f>IF(E51="","",E51*1.05*0.85)</f>
        <v>2900.625</v>
      </c>
      <c r="I51" s="11">
        <f>IF(D51="","",H51*D51)</f>
        <v>0</v>
      </c>
    </row>
    <row r="52">
      <c r="A52" s="8" t="inlineStr">
        <is>
          <t>12.061</t>
        </is>
      </c>
      <c r="B52" s="9" t="inlineStr">
        <is>
          <t>ויטרינות כניסה מאלומיניום בשטחים ציבוריים</t>
        </is>
      </c>
      <c r="C52" s="10" t="inlineStr"/>
      <c r="D52" s="11" t="n"/>
      <c r="E52" s="12" t="n"/>
      <c r="F52" s="13" t="n"/>
      <c r="G52" s="13" t="n"/>
      <c r="H52" s="13" t="n"/>
      <c r="I52" s="11" t="n"/>
    </row>
    <row r="53">
      <c r="A53" s="8" t="inlineStr">
        <is>
          <t>12.061.9000</t>
        </is>
      </c>
      <c r="B53" s="9" t="inlineStr">
        <is>
          <t>פירוק ויטרינה מאלומיניום, לרבות המשקוף</t>
        </is>
      </c>
      <c r="C53" s="10" t="inlineStr">
        <is>
          <t>מ"ר</t>
        </is>
      </c>
      <c r="D53" s="11">
        <f>D44+D45+D46+D47+D49+D50+D51</f>
        <v>7.85</v>
      </c>
      <c r="E53" s="12" t="n">
        <v>88</v>
      </c>
      <c r="F53" s="13">
        <f>IF(E53="","",E53*0.15)</f>
        <v>13.2</v>
      </c>
      <c r="G53" s="13">
        <f>IF(E53="","",E53*0.05)</f>
        <v>4.4</v>
      </c>
      <c r="H53" s="13">
        <f>IF(E53="","",E53*1.05*0.85)</f>
        <v>78.54</v>
      </c>
      <c r="I53" s="11">
        <f>IF(D53="","",H53*D53)</f>
        <v>616.539</v>
      </c>
    </row>
    <row r="54">
      <c r="A54" s="8" t="inlineStr">
        <is>
          <t>12.065</t>
        </is>
      </c>
      <c r="B54" s="9" t="inlineStr">
        <is>
          <t>תריסי רפפה ותריסי גלילה מאלומיניום ומנועים חשמליים לתריסים</t>
        </is>
      </c>
      <c r="C54" s="10" t="inlineStr"/>
      <c r="D54" s="11" t="n"/>
      <c r="E54" s="12" t="n"/>
      <c r="F54" s="13" t="n"/>
      <c r="G54" s="13" t="n"/>
      <c r="H54" s="13" t="n"/>
      <c r="I54" s="11" t="n"/>
    </row>
    <row r="55" hidden="1">
      <c r="A55" s="8" t="inlineStr">
        <is>
          <t>12.065.1611</t>
        </is>
      </c>
      <c r="B55" s="9" t="inlineStr">
        <is>
          <t>תריס גלילה עם רפפות מפח אלומיניום עם פוליאוריטן מוקצף לרבות ארגז תריס מונובלוק 40, בשטח מעל 0.6 מ"ר ועד 1.0 מ"ר</t>
        </is>
      </c>
      <c r="C55" s="10" t="inlineStr">
        <is>
          <t>מ"ר</t>
        </is>
      </c>
      <c r="D55" s="11" t="n">
        <v>0</v>
      </c>
      <c r="E55" s="12" t="n">
        <v>910</v>
      </c>
      <c r="F55" s="13">
        <f>IF(E55="","",E55*0.15)</f>
        <v>136.5</v>
      </c>
      <c r="G55" s="13">
        <f>IF(E55="","",E55*0.05)</f>
        <v>45.5</v>
      </c>
      <c r="H55" s="13">
        <f>IF(E55="","",E55*1.05*0.85)</f>
        <v>812.175</v>
      </c>
      <c r="I55" s="11">
        <f>IF(D55="","",H55*D55)</f>
        <v>0</v>
      </c>
    </row>
    <row r="56" hidden="1" ht="14.4" customHeight="1">
      <c r="A56" s="8" t="inlineStr">
        <is>
          <t>12.065.1613</t>
        </is>
      </c>
      <c r="B56" s="9" t="inlineStr">
        <is>
          <t>תריס גלילה עם רפפות מפח אלומיניום עם פוליאוריטן מוקצף לרבות ארגז תריס מונובלוק 40, בשטח מעל 1.0 מ"ר ועד 3.0 מ"ר</t>
        </is>
      </c>
      <c r="C56" s="10" t="inlineStr">
        <is>
          <t>מ"ר</t>
        </is>
      </c>
      <c r="D56" s="11" t="n">
        <v>0</v>
      </c>
      <c r="E56" s="12" t="n">
        <v>717</v>
      </c>
      <c r="F56" s="13">
        <f>IF(E56="","",E56*0.15)</f>
        <v>107.55</v>
      </c>
      <c r="G56" s="13">
        <f>IF(E56="","",E56*0.05)</f>
        <v>35.85</v>
      </c>
      <c r="H56" s="13">
        <f>IF(E56="","",E56*1.05*0.85)</f>
        <v>639.9225</v>
      </c>
      <c r="I56" s="11">
        <f>IF(D56="","",H56*D56)</f>
        <v>0</v>
      </c>
    </row>
    <row r="57" ht="14.4" customHeight="1">
      <c r="A57" s="8" t="inlineStr">
        <is>
          <t>12.065.1615</t>
        </is>
      </c>
      <c r="B57" s="9" t="inlineStr">
        <is>
          <t>תריס גלילה עם רפפות מפח אלומיניום עם פוליאוריטן מוקצף לרבות ארגז תריס מונובלוק 40, בשטח מעל 3.0 מ"ר ועד 6.0 מ"ר</t>
        </is>
      </c>
      <c r="C57" s="10" t="inlineStr">
        <is>
          <t>מ"ר</t>
        </is>
      </c>
      <c r="D57" s="11" t="n">
        <v>18.965</v>
      </c>
      <c r="E57" s="12" t="n">
        <v>582</v>
      </c>
      <c r="F57" s="13">
        <f>IF(E57="","",E57*0.15)</f>
        <v>87.3</v>
      </c>
      <c r="G57" s="13">
        <f>IF(E57="","",E57*0.05)</f>
        <v>29.1</v>
      </c>
      <c r="H57" s="13">
        <f>IF(E57="","",E57*1.05*0.85)</f>
        <v>519.4350000000001</v>
      </c>
      <c r="I57" s="11">
        <f>IF(D57="","",H57*D57)</f>
        <v>9851.084775000001</v>
      </c>
    </row>
    <row r="58" hidden="1" ht="14.4" customHeight="1">
      <c r="A58" s="8" t="inlineStr">
        <is>
          <t>12.065.1700</t>
        </is>
      </c>
      <c r="B58" s="9" t="inlineStr">
        <is>
          <t>תריס גלילה "תריס אור" עם רפפות מפח אלומיניום עם פוליאוריטן מוקצף לרבות ארגז תריס מונובלוק 40, בשטח מעל 0.6 מ"ר ועד 1.0 מ"ר</t>
        </is>
      </c>
      <c r="C58" s="10" t="inlineStr">
        <is>
          <t>מ"ר</t>
        </is>
      </c>
      <c r="D58" s="11" t="n">
        <v>0</v>
      </c>
      <c r="E58" s="12" t="n">
        <v>1120</v>
      </c>
      <c r="F58" s="13">
        <f>IF(E58="","",E58*0.15)</f>
        <v>168</v>
      </c>
      <c r="G58" s="13">
        <f>IF(E58="","",E58*0.05)</f>
        <v>56</v>
      </c>
      <c r="H58" s="13">
        <f>IF(E58="","",E58*1.05*0.85)</f>
        <v>999.6</v>
      </c>
      <c r="I58" s="11">
        <f>IF(D58="","",H58*D58)</f>
        <v>0</v>
      </c>
    </row>
    <row r="59" hidden="1" ht="14.4" customHeight="1">
      <c r="A59" s="8" t="inlineStr">
        <is>
          <t>12.065.1710</t>
        </is>
      </c>
      <c r="B59" s="9" t="inlineStr">
        <is>
          <t>תריס גלילה "תריס אור" עם רפפות מפח אלומיניום עם פוליאוריטן מוקצף לרבות ארגז תריס מונובלוק 40, בשטח מעל 1.0 מ"ר ועד 3.0 מ"ר</t>
        </is>
      </c>
      <c r="C59" s="10" t="inlineStr">
        <is>
          <t>מ"ר</t>
        </is>
      </c>
      <c r="D59" s="11">
        <f>L22</f>
        <v>0</v>
      </c>
      <c r="E59" s="12" t="n">
        <v>800</v>
      </c>
      <c r="F59" s="13">
        <f>IF(E59="","",E59*0.15)</f>
        <v>120</v>
      </c>
      <c r="G59" s="13">
        <f>IF(E59="","",E59*0.05)</f>
        <v>40</v>
      </c>
      <c r="H59" s="13">
        <f>IF(E59="","",E59*1.05*0.85)</f>
        <v>714</v>
      </c>
      <c r="I59" s="11">
        <f>IF(D59="","",H59*D59)</f>
        <v>0</v>
      </c>
    </row>
    <row r="60" hidden="1" ht="14.4" customHeight="1">
      <c r="A60" s="8" t="inlineStr">
        <is>
          <t>12.065.1720</t>
        </is>
      </c>
      <c r="B60" s="9" t="inlineStr">
        <is>
          <t>תריס גלילה "תריס אור" עם רפפות מפח אלומיניום עם פוליאוריטן מוקצף לרבות ארגז תריס מונובלוק 40, בשטח מעל 3.0 מ"ר ועד 6.0 מ"ר</t>
        </is>
      </c>
      <c r="C60" s="10" t="inlineStr">
        <is>
          <t>מ"ר</t>
        </is>
      </c>
      <c r="D60" s="11" t="n">
        <v>0</v>
      </c>
      <c r="E60" s="12" t="n">
        <v>880</v>
      </c>
      <c r="F60" s="13">
        <f>IF(E60="","",E60*0.15)</f>
        <v>132</v>
      </c>
      <c r="G60" s="13">
        <f>IF(E60="","",E60*0.05)</f>
        <v>44</v>
      </c>
      <c r="H60" s="13">
        <f>IF(E60="","",E60*1.05*0.85)</f>
        <v>785.4</v>
      </c>
      <c r="I60" s="11">
        <f>IF(D60="","",H60*D60)</f>
        <v>0</v>
      </c>
    </row>
    <row r="61" hidden="1" ht="14.4" customHeight="1">
      <c r="A61" s="8" t="inlineStr">
        <is>
          <t>12.065.1730</t>
        </is>
      </c>
      <c r="B61" s="9" t="inlineStr">
        <is>
          <t>תריס גלילה "תריס אור" עם רפפות מפח אלומיניום עם פוליאוריטן מוקצף לרבות ארגז תריס מונובלוק 40, בשטח מעל 6.0 מ"ר ועד 8.5 מ"ר</t>
        </is>
      </c>
      <c r="C61" s="10" t="inlineStr">
        <is>
          <t>מ"ר</t>
        </is>
      </c>
      <c r="D61" s="11" t="n">
        <v>0</v>
      </c>
      <c r="E61" s="12" t="n">
        <v>840</v>
      </c>
      <c r="F61" s="13">
        <f>IF(E61="","",E61*0.15)</f>
        <v>126</v>
      </c>
      <c r="G61" s="13">
        <f>IF(E61="","",E61*0.05)</f>
        <v>42</v>
      </c>
      <c r="H61" s="13">
        <f>IF(E61="","",E61*1.05*0.85)</f>
        <v>749.6999999999999</v>
      </c>
      <c r="I61" s="11">
        <f>IF(D61="","",H61*D61)</f>
        <v>0</v>
      </c>
    </row>
    <row r="62" hidden="1" ht="14.4" customHeight="1">
      <c r="A62" s="8" t="inlineStr">
        <is>
          <t>12.065.1661</t>
        </is>
      </c>
      <c r="B62" s="9" t="inlineStr">
        <is>
          <t>תריס גלילה "תריס אור" עם רפפות מאלומיניום שחול (משוך) וחריצים גדולים בין השלבים, צבע לבן לרבות ארגז תריס מונובלוק 40, בשטח מעל 0.6 מ"ר ועד 1.0 מ"ר</t>
        </is>
      </c>
      <c r="C62" s="10" t="inlineStr">
        <is>
          <t>מ"ר</t>
        </is>
      </c>
      <c r="D62" s="11" t="n">
        <v>0</v>
      </c>
      <c r="E62" s="12" t="n">
        <v>1840</v>
      </c>
      <c r="F62" s="13">
        <f>IF(E62="","",E62*0.15)</f>
        <v>276</v>
      </c>
      <c r="G62" s="13">
        <f>IF(E62="","",E62*0.05)</f>
        <v>92</v>
      </c>
      <c r="H62" s="13">
        <f>IF(E62="","",E62*1.05*0.85)</f>
        <v>1642.2</v>
      </c>
      <c r="I62" s="11">
        <f>IF(D62="","",H62*D62)</f>
        <v>0</v>
      </c>
    </row>
    <row r="63" hidden="1" ht="15" customHeight="1">
      <c r="A63" s="8" t="inlineStr">
        <is>
          <t>12.065.1671</t>
        </is>
      </c>
      <c r="B63" s="9" t="inlineStr">
        <is>
          <t>תריס גלילה "תריס אור" עם רפפות מאלומיניום שחול (משוך) וחריצים גדולים בין השלבים, צבע לבן לרבות ארגז תריס מונובלוק 40, בשטח מעל 1.0 מ"ר ועד 3.0 מ"ר</t>
        </is>
      </c>
      <c r="C63" s="10" t="inlineStr">
        <is>
          <t>מ"ר</t>
        </is>
      </c>
      <c r="D63" s="11" t="n">
        <v>0</v>
      </c>
      <c r="E63" s="12" t="n">
        <v>1730</v>
      </c>
      <c r="F63" s="13">
        <f>IF(E63="","",E63*0.15)</f>
        <v>259.5</v>
      </c>
      <c r="G63" s="13">
        <f>IF(E63="","",E63*0.05)</f>
        <v>86.5</v>
      </c>
      <c r="H63" s="13">
        <f>IF(E63="","",E63*1.05*0.85)</f>
        <v>1544.0249999999999</v>
      </c>
      <c r="I63" s="11">
        <f>IF(D63="","",H63*D63)</f>
        <v>0</v>
      </c>
    </row>
    <row r="64" hidden="1" ht="43.2" customHeight="1">
      <c r="A64" s="8" t="inlineStr">
        <is>
          <t>12.065.1681</t>
        </is>
      </c>
      <c r="B64" s="9" t="inlineStr">
        <is>
          <t>תריס גלילה "תריס אור" עם רפפות מאלומיניום שחול (משוך) וחריצים גדולים בין השלבים, צבע לבן לרבות ארגז תריס מונובלוק 40, בשטח מעל 3.0 מ"ר ועד 6.0 מ"ר</t>
        </is>
      </c>
      <c r="C64" s="10" t="inlineStr">
        <is>
          <t>מ"ר</t>
        </is>
      </c>
      <c r="D64" s="11">
        <f>L23</f>
        <v>0</v>
      </c>
      <c r="E64" s="12" t="n">
        <v>1440</v>
      </c>
      <c r="F64" s="13">
        <f>IF(E64="","",E64*0.15)</f>
        <v>216</v>
      </c>
      <c r="G64" s="13">
        <f>IF(E64="","",E64*0.05)</f>
        <v>72</v>
      </c>
      <c r="H64" s="13">
        <f>IF(E64="","",E64*1.05*0.85)</f>
        <v>1285.2</v>
      </c>
      <c r="I64" s="11">
        <f>IF(D64="","",H64*D64)</f>
        <v>0</v>
      </c>
    </row>
    <row r="65" hidden="1" ht="43.2" customHeight="1">
      <c r="A65" s="8" t="inlineStr">
        <is>
          <t>12.065.2000</t>
        </is>
      </c>
      <c r="B65" s="9" t="inlineStr">
        <is>
          <t>מנוע חשמלי לתריס במשקל עד 20 ק"ג, לא כולל נק' החשמל</t>
        </is>
      </c>
      <c r="C65" s="10" t="inlineStr">
        <is>
          <t>יח'</t>
        </is>
      </c>
      <c r="D65" s="11">
        <f>L24</f>
        <v>0</v>
      </c>
      <c r="E65" s="12" t="n">
        <v>620</v>
      </c>
      <c r="F65" s="13">
        <f>IF(E65="","",E65*0.15)</f>
        <v>93</v>
      </c>
      <c r="G65" s="13">
        <f>IF(E65="","",E65*0.05)</f>
        <v>31</v>
      </c>
      <c r="H65" s="13">
        <f>IF(E65="","",E65*1.05*0.85)</f>
        <v>553.35</v>
      </c>
      <c r="I65" s="11">
        <f>IF(D65="","",H65*D65)</f>
        <v>0</v>
      </c>
    </row>
    <row r="66" hidden="1" ht="15.6" customHeight="1">
      <c r="A66" s="8" t="inlineStr">
        <is>
          <t>12.065.2010</t>
        </is>
      </c>
      <c r="B66" s="9" t="inlineStr">
        <is>
          <t>מנוע חשמלי לתריס במשקל מעל 20 ק"ג ועד 30 ק"ג, לא כולל נק' החשמל</t>
        </is>
      </c>
      <c r="C66" s="10" t="inlineStr">
        <is>
          <t>יח'</t>
        </is>
      </c>
      <c r="D66" s="11">
        <f>L25</f>
        <v>0</v>
      </c>
      <c r="E66" s="12" t="n">
        <v>750</v>
      </c>
      <c r="F66" s="13">
        <f>IF(E66="","",E66*0.15)</f>
        <v>112.5</v>
      </c>
      <c r="G66" s="13">
        <f>IF(E66="","",E66*0.05)</f>
        <v>37.5</v>
      </c>
      <c r="H66" s="13">
        <f>IF(E66="","",E66*1.05*0.85)</f>
        <v>669.375</v>
      </c>
      <c r="I66" s="11">
        <f>IF(D66="","",H66*D66)</f>
        <v>0</v>
      </c>
    </row>
    <row r="67" hidden="1">
      <c r="A67" s="8" t="inlineStr">
        <is>
          <t>12.065.2020</t>
        </is>
      </c>
      <c r="B67" s="9" t="inlineStr">
        <is>
          <t>מנוע חשמלי לתריס במשקל מעל 30 ק"ג ועד 50 ק"ג, לא כולל נק' החשמל</t>
        </is>
      </c>
      <c r="C67" s="10" t="inlineStr">
        <is>
          <t>יח'</t>
        </is>
      </c>
      <c r="D67" s="11">
        <f>L26</f>
        <v>0</v>
      </c>
      <c r="E67" s="12" t="n">
        <v>1020</v>
      </c>
      <c r="F67" s="13">
        <f>IF(E67="","",E67*0.15)</f>
        <v>153</v>
      </c>
      <c r="G67" s="13">
        <f>IF(E67="","",E67*0.05)</f>
        <v>51</v>
      </c>
      <c r="H67" s="13">
        <f>IF(E67="","",E67*1.05*0.85)</f>
        <v>910.35</v>
      </c>
      <c r="I67" s="11">
        <f>IF(D67="","",H67*D67)</f>
        <v>0</v>
      </c>
    </row>
    <row r="68">
      <c r="A68" s="8" t="inlineStr">
        <is>
          <t>12.065.2030</t>
        </is>
      </c>
      <c r="B68" s="9" t="inlineStr">
        <is>
          <t>מנוע חשמלי לתריס במשקל מעל 50 ק"ג ועד 70 ק"ג, לא כולל נק' החשמל</t>
        </is>
      </c>
      <c r="C68" s="10" t="inlineStr">
        <is>
          <t>יח'</t>
        </is>
      </c>
      <c r="D68" s="11">
        <f>L27</f>
        <v>3</v>
      </c>
      <c r="E68" s="12" t="n">
        <v>1370</v>
      </c>
      <c r="F68" s="13">
        <f>IF(E68="","",E68*0.15)</f>
        <v>205.5</v>
      </c>
      <c r="G68" s="13">
        <f>IF(E68="","",E68*0.05)</f>
        <v>68.5</v>
      </c>
      <c r="H68" s="13">
        <f>IF(E68="","",E68*1.05*0.85)</f>
        <v>1222.725</v>
      </c>
      <c r="I68" s="11">
        <f>IF(D68="","",H68*D68)</f>
        <v>3668.1749999999997</v>
      </c>
    </row>
    <row r="69" hidden="1">
      <c r="A69" s="8" t="inlineStr">
        <is>
          <t>12.065.2040</t>
        </is>
      </c>
      <c r="B69" s="9" t="inlineStr">
        <is>
          <t>מנוע חשמלי לתריס במשקל מעל 70 ק"ג ועד 90 ק"ג, לא כולל נק' החשמל</t>
        </is>
      </c>
      <c r="C69" s="10" t="inlineStr">
        <is>
          <t>יח'</t>
        </is>
      </c>
      <c r="D69" s="11">
        <f>L28</f>
        <v>0</v>
      </c>
      <c r="E69" s="12" t="n">
        <v>1650</v>
      </c>
      <c r="F69" s="13">
        <f>IF(E69="","",E69*0.15)</f>
        <v>247.5</v>
      </c>
      <c r="G69" s="13">
        <f>IF(E69="","",E69*0.05)</f>
        <v>82.5</v>
      </c>
      <c r="H69" s="13">
        <f>IF(E69="","",E69*1.05*0.85)</f>
        <v>1472.625</v>
      </c>
      <c r="I69" s="11">
        <f>IF(D69="","",H69*D69)</f>
        <v>0</v>
      </c>
    </row>
    <row r="70">
      <c r="A70" s="8" t="inlineStr">
        <is>
          <t>12.065.2050</t>
        </is>
      </c>
      <c r="B70" s="9" t="inlineStr">
        <is>
          <t>מנוע חשמלי לתריס במשקל מעל 90 ק"ג ועד 120 ק"ג, לא כולל נק' החשמל</t>
        </is>
      </c>
      <c r="C70" s="10" t="inlineStr">
        <is>
          <t>יח'</t>
        </is>
      </c>
      <c r="D70" s="11">
        <f>L29</f>
        <v>1</v>
      </c>
      <c r="E70" s="12" t="n">
        <v>1820</v>
      </c>
      <c r="F70" s="13">
        <f>IF(E70="","",E70*0.15)</f>
        <v>273</v>
      </c>
      <c r="G70" s="13">
        <f>IF(E70="","",E70*0.05)</f>
        <v>91</v>
      </c>
      <c r="H70" s="13">
        <f>IF(E70="","",E70*1.05*0.85)</f>
        <v>1624.35</v>
      </c>
      <c r="I70" s="11">
        <f>IF(D70="","",H70*D70)</f>
        <v>1624.35</v>
      </c>
    </row>
    <row r="71" hidden="1">
      <c r="A71" s="8" t="inlineStr">
        <is>
          <t>12.065.9000</t>
        </is>
      </c>
      <c r="B71" s="9" t="inlineStr">
        <is>
          <t>פירוק תריסי אלומיניום ומשקופיהם בשטח של עד 2 מ"ר</t>
        </is>
      </c>
      <c r="C71" s="10" t="inlineStr">
        <is>
          <t>יח'</t>
        </is>
      </c>
      <c r="D71" s="11">
        <f>L39</f>
        <v>0</v>
      </c>
      <c r="E71" s="12" t="n">
        <v>130</v>
      </c>
      <c r="F71" s="13">
        <f>IF(E71="","",E71*0.15)</f>
        <v>19.5</v>
      </c>
      <c r="G71" s="13">
        <f>IF(E71="","",E71*0.05)</f>
        <v>6.5</v>
      </c>
      <c r="H71" s="13">
        <f>IF(E71="","",E71*1.05*0.85)</f>
        <v>116.02499999999999</v>
      </c>
      <c r="I71" s="11">
        <f>IF(D71="","",H71*D71)</f>
        <v>0</v>
      </c>
    </row>
    <row r="72">
      <c r="A72" s="8" t="inlineStr">
        <is>
          <t>12.065.9020</t>
        </is>
      </c>
      <c r="B72" s="9" t="inlineStr">
        <is>
          <t>פירוק תריסי אלומיניום ומשקופיהם בשטח של מעל 2 מ"ר</t>
        </is>
      </c>
      <c r="C72" s="10" t="inlineStr">
        <is>
          <t>מ"ר</t>
        </is>
      </c>
      <c r="D72" s="11">
        <f>L40</f>
        <v>18.965</v>
      </c>
      <c r="E72" s="12" t="n">
        <v>60</v>
      </c>
      <c r="F72" s="13">
        <f>IF(E72="","",E72*0.15)</f>
        <v>9</v>
      </c>
      <c r="G72" s="13">
        <f>IF(E72="","",E72*0.05)</f>
        <v>3</v>
      </c>
      <c r="H72" s="13">
        <f>IF(E72="","",E72*1.05*0.85)</f>
        <v>53.55</v>
      </c>
      <c r="I72" s="11">
        <f>IF(D72="","",H72*D72)</f>
        <v>1015.57575</v>
      </c>
    </row>
    <row r="73" hidden="1" ht="15.6" customHeight="1">
      <c r="A73" s="8" t="inlineStr">
        <is>
          <t>12.065.9100</t>
        </is>
      </c>
      <c r="B73" s="9" t="inlineStr">
        <is>
          <t>פירוק ארגז תריס קיים במידות 35/100 ס"מ</t>
        </is>
      </c>
      <c r="C73" s="10" t="inlineStr">
        <is>
          <t>יח'</t>
        </is>
      </c>
      <c r="D73" s="11">
        <f>IF((L36+L37+L22+L23)=0,0,L11)</f>
        <v>0</v>
      </c>
      <c r="E73" s="12" t="n">
        <v>109</v>
      </c>
      <c r="F73" s="13">
        <f>IF(E73="","",E73*0.15)</f>
        <v>16.349999999999998</v>
      </c>
      <c r="G73" s="13">
        <f>IF(E73="","",E73*0.05)</f>
        <v>5.45</v>
      </c>
      <c r="H73" s="13">
        <f>IF(E73="","",E73*1.05*0.85)</f>
        <v>97.2825</v>
      </c>
      <c r="I73" s="11">
        <f>IF(D73="","",H73*D73)</f>
        <v>0</v>
      </c>
    </row>
    <row r="74" ht="15.6" customHeight="1">
      <c r="A74" s="8" t="inlineStr">
        <is>
          <t>12.065.9110</t>
        </is>
      </c>
      <c r="B74" s="9" t="inlineStr">
        <is>
          <t>פירוק ארגז תריס קיים במידות 35/150 ס"מ</t>
        </is>
      </c>
      <c r="C74" s="10" t="inlineStr">
        <is>
          <t>יח'</t>
        </is>
      </c>
      <c r="D74" s="11">
        <f>IF((L36+L37+L22+L23)=0,0,L12)</f>
        <v>3</v>
      </c>
      <c r="E74" s="12" t="n">
        <v>121</v>
      </c>
      <c r="F74" s="13">
        <f>IF(E74="","",E74*0.15)</f>
        <v>18.15</v>
      </c>
      <c r="G74" s="13">
        <f>IF(E74="","",E74*0.05)</f>
        <v>6.050000000000001</v>
      </c>
      <c r="H74" s="13">
        <f>IF(E74="","",E74*1.05*0.85)</f>
        <v>107.9925</v>
      </c>
      <c r="I74" s="11">
        <f>IF(D74="","",H74*D74)</f>
        <v>323.9775</v>
      </c>
    </row>
    <row r="75" hidden="1" ht="28.8" customHeight="1">
      <c r="A75" s="8" t="inlineStr">
        <is>
          <t>12.065.0001</t>
        </is>
      </c>
      <c r="B75" s="9" t="inlineStr">
        <is>
          <t>פירוק ארגז תריס קיים 35/200</t>
        </is>
      </c>
      <c r="C75" s="10" t="inlineStr">
        <is>
          <t>יח'</t>
        </is>
      </c>
      <c r="D75" s="11">
        <f>IF((L36+L37+L22+L23)=0,0,L13)</f>
        <v>0</v>
      </c>
      <c r="E75" s="12" t="n">
        <v>133</v>
      </c>
      <c r="F75" s="13">
        <f>IF(E75="","",E75*0.15)</f>
        <v>19.95</v>
      </c>
      <c r="G75" s="13">
        <f>IF(E75="","",E75*0.05)</f>
        <v>6.65</v>
      </c>
      <c r="H75" s="13">
        <f>IF(E75="","",E75*1.05*0.85)</f>
        <v>118.7025</v>
      </c>
      <c r="I75" s="11">
        <f>IF(D75="","",H75*D75)</f>
        <v>0</v>
      </c>
    </row>
    <row r="76" hidden="1" ht="43.2" customHeight="1">
      <c r="A76" s="8" t="inlineStr">
        <is>
          <t>12.065.0002</t>
        </is>
      </c>
      <c r="B76" s="9" t="inlineStr">
        <is>
          <t>פירוק ארגז תריס קיים 35/250</t>
        </is>
      </c>
      <c r="C76" s="10" t="inlineStr">
        <is>
          <t>יח'</t>
        </is>
      </c>
      <c r="D76" s="11">
        <f>IF((L36+L37+L22+L23)=0,0,L14)</f>
        <v>0</v>
      </c>
      <c r="E76" s="12" t="n">
        <v>145</v>
      </c>
      <c r="F76" s="13">
        <f>IF(E76="","",E76*0.15)</f>
        <v>21.75</v>
      </c>
      <c r="G76" s="13">
        <f>IF(E76="","",E76*0.05)</f>
        <v>7.25</v>
      </c>
      <c r="H76" s="13">
        <f>IF(E76="","",E76*1.05*0.85)</f>
        <v>129.4125</v>
      </c>
      <c r="I76" s="11">
        <f>IF(D76="","",H76*D76)</f>
        <v>0</v>
      </c>
    </row>
    <row r="77" hidden="1">
      <c r="A77" s="8" t="inlineStr">
        <is>
          <t>12.065.0003</t>
        </is>
      </c>
      <c r="B77" s="9" t="inlineStr">
        <is>
          <t>פירוק ארגז תריס קיים 35/300</t>
        </is>
      </c>
      <c r="C77" s="10" t="inlineStr">
        <is>
          <t>יח'</t>
        </is>
      </c>
      <c r="D77" s="11">
        <f>IF((L36+L37+L22+L23)=0,0,L15)</f>
        <v>0</v>
      </c>
      <c r="E77" s="12" t="n">
        <v>157</v>
      </c>
      <c r="F77" s="13">
        <f>IF(E77="","",E77*0.15)</f>
        <v>23.55</v>
      </c>
      <c r="G77" s="13">
        <f>IF(E77="","",E77*0.05)</f>
        <v>7.8500000000000005</v>
      </c>
      <c r="H77" s="13">
        <f>IF(E77="","",E77*1.05*0.85)</f>
        <v>140.1225</v>
      </c>
      <c r="I77" s="11">
        <f>IF(D77="","",H77*D77)</f>
        <v>0</v>
      </c>
    </row>
    <row r="78" ht="15.6" customHeight="1">
      <c r="A78" s="8" t="inlineStr">
        <is>
          <t>12.065.0004</t>
        </is>
      </c>
      <c r="B78" s="9" t="inlineStr">
        <is>
          <t>פירוק ארגז תריס קיים 35/350</t>
        </is>
      </c>
      <c r="C78" s="10" t="inlineStr">
        <is>
          <t>יח'</t>
        </is>
      </c>
      <c r="D78" s="11">
        <f>IF((L36+L37+L22+L23)=0,0,L16)</f>
        <v>1</v>
      </c>
      <c r="E78" s="12" t="n">
        <v>169</v>
      </c>
      <c r="F78" s="13">
        <f>IF(E78="","",E78*0.15)</f>
        <v>25.349999999999998</v>
      </c>
      <c r="G78" s="13">
        <f>IF(E78="","",E78*0.05)</f>
        <v>8.450000000000001</v>
      </c>
      <c r="H78" s="13">
        <f>IF(E78="","",E78*1.05*0.85)</f>
        <v>150.8325</v>
      </c>
      <c r="I78" s="11">
        <f>IF(D78="","",H78*D78)</f>
        <v>150.8325</v>
      </c>
    </row>
    <row r="79" hidden="1" ht="15.6" customHeight="1">
      <c r="A79" s="8" t="inlineStr">
        <is>
          <t>12.065.0005</t>
        </is>
      </c>
      <c r="B79" s="9" t="inlineStr">
        <is>
          <t>פירוק ארגז תריס קיים 35/400</t>
        </is>
      </c>
      <c r="C79" s="10" t="inlineStr">
        <is>
          <t>יח'</t>
        </is>
      </c>
      <c r="D79" s="11">
        <f>IF((L36+L37+L22+L23)=0,0,L17)</f>
        <v>0</v>
      </c>
      <c r="E79" s="12" t="n">
        <v>181</v>
      </c>
      <c r="F79" s="13">
        <f>IF(E79="","",E79*0.15)</f>
        <v>27.15</v>
      </c>
      <c r="G79" s="13">
        <f>IF(E79="","",E79*0.05)</f>
        <v>9.05</v>
      </c>
      <c r="H79" s="13">
        <f>IF(E79="","",E79*1.05*0.85)</f>
        <v>161.54250000000002</v>
      </c>
      <c r="I79" s="11">
        <f>IF(D79="","",H79*D79)</f>
        <v>0</v>
      </c>
    </row>
    <row r="80" hidden="1" ht="15.6" customHeight="1">
      <c r="A80" s="8" t="inlineStr">
        <is>
          <t>12.065.0006</t>
        </is>
      </c>
      <c r="B80" s="9" t="inlineStr">
        <is>
          <t>פירוק ארגז תריס קיים 35/450</t>
        </is>
      </c>
      <c r="C80" s="10" t="inlineStr">
        <is>
          <t>יח'</t>
        </is>
      </c>
      <c r="D80" s="11">
        <f>IF((L36+L37+L22+L23)=0,0,L18)</f>
        <v>0</v>
      </c>
      <c r="E80" s="12" t="n">
        <v>193</v>
      </c>
      <c r="F80" s="13">
        <f>IF(E80="","",E80*0.15)</f>
        <v>28.95</v>
      </c>
      <c r="G80" s="13">
        <f>IF(E80="","",E80*0.05)</f>
        <v>9.65</v>
      </c>
      <c r="H80" s="13">
        <f>IF(E80="","",E80*1.05*0.85)</f>
        <v>172.2525</v>
      </c>
      <c r="I80" s="11">
        <f>IF(D80="","",H80*D80)</f>
        <v>0</v>
      </c>
    </row>
    <row r="81" ht="15.6" customHeight="1">
      <c r="A81" s="8" t="inlineStr">
        <is>
          <t>12.067</t>
        </is>
      </c>
      <c r="B81" s="9" t="inlineStr">
        <is>
          <t>רשתות גלילה ורשתות יתושים</t>
        </is>
      </c>
      <c r="C81" s="10" t="inlineStr"/>
      <c r="D81" s="11" t="n"/>
      <c r="E81" s="12" t="n"/>
      <c r="F81" s="13" t="n"/>
      <c r="G81" s="13" t="n"/>
      <c r="H81" s="13" t="n"/>
      <c r="I81" s="11" t="n"/>
    </row>
    <row r="82" ht="15.6" customHeight="1">
      <c r="A82" s="8" t="inlineStr">
        <is>
          <t>12.067.9000</t>
        </is>
      </c>
      <c r="B82" s="9" t="inlineStr">
        <is>
          <t>פירוק רשתות יתושים, לרבות מסגרת</t>
        </is>
      </c>
      <c r="C82" s="10" t="inlineStr">
        <is>
          <t>מ"ר</t>
        </is>
      </c>
      <c r="D82" s="11">
        <f>L7</f>
        <v>10.817</v>
      </c>
      <c r="E82" s="12" t="n">
        <v>53</v>
      </c>
      <c r="F82" s="13">
        <f>IF(E82="","",E82*0.15)</f>
        <v>7.949999999999999</v>
      </c>
      <c r="G82" s="13">
        <f>IF(E82="","",E82*0.05)</f>
        <v>2.6500000000000004</v>
      </c>
      <c r="H82" s="13">
        <f>IF(E82="","",E82*1.05*0.85)</f>
        <v>47.3025</v>
      </c>
      <c r="I82" s="11">
        <f>IF(D82="","",H82*D82)</f>
        <v>511.67114250000003</v>
      </c>
    </row>
    <row r="83" hidden="1" ht="28.8" customHeight="1">
      <c r="A83" s="8" t="inlineStr">
        <is>
          <t>12.067.0200</t>
        </is>
      </c>
      <c r="B83" s="9" t="inlineStr">
        <is>
          <t>רשת יתושים קטנה מפיברגלס, עבור חלון הזזה (הרשת על חצי הפתח) לרבות מסגרת מפרופיל אלומיניום מאולגן במידות 40/15 מ"מ, לרבות מסילה בתוך משקוף החלון, בשטח מעל 0.6 מ"ר ועד 1.0 מ"ר. המדידה לפי שטח הרשת</t>
        </is>
      </c>
      <c r="C83" s="10" t="inlineStr">
        <is>
          <t>מ"ר</t>
        </is>
      </c>
      <c r="D83" s="11" t="n">
        <v>0</v>
      </c>
      <c r="E83" s="12" t="n">
        <v>880</v>
      </c>
      <c r="F83" s="13">
        <f>IF(E83="","",E83*0.15)</f>
        <v>132</v>
      </c>
      <c r="G83" s="13">
        <f>IF(E83="","",E83*0.05)</f>
        <v>44</v>
      </c>
      <c r="H83" s="13">
        <f>IF(E83="","",E83*1.05*0.85)</f>
        <v>785.4</v>
      </c>
      <c r="I83" s="11">
        <f>IF(D83="","",H83*D83)</f>
        <v>0</v>
      </c>
    </row>
    <row r="84" ht="28.8" customHeight="1">
      <c r="A84" s="8" t="inlineStr">
        <is>
          <t>12.067.0210</t>
        </is>
      </c>
      <c r="B84" s="9" t="inlineStr">
        <is>
          <t>רשת יתושים קטנה מפיברגלס, עבור חלון הזזה (הרשת על חצי הפתח) לרבות מסגרת מפרופיל אלומיניום מאולגן במידות 40/15 מ"מ, לרבות מסילה בתוך משקוף החלון, בשטח מעל 1.0 מ"ר ועד 2.0 מ"ר. המדידה לפי שטח הרשת</t>
        </is>
      </c>
      <c r="C84" s="10" t="inlineStr">
        <is>
          <t>מ"ר</t>
        </is>
      </c>
      <c r="D84" s="11">
        <f>D82</f>
        <v>10.817</v>
      </c>
      <c r="E84" s="12" t="n">
        <v>650</v>
      </c>
      <c r="F84" s="13">
        <f>IF(E84="","",E84*0.15)</f>
        <v>97.5</v>
      </c>
      <c r="G84" s="13">
        <f>IF(E84="","",E84*0.05)</f>
        <v>32.5</v>
      </c>
      <c r="H84" s="13">
        <f>IF(E84="","",E84*1.05*0.85)</f>
        <v>580.125</v>
      </c>
      <c r="I84" s="11">
        <f>IF(D84="","",H84*D84)</f>
        <v>6275.212125</v>
      </c>
    </row>
    <row r="85" ht="28.2" customHeight="1">
      <c r="A85" s="8" t="inlineStr">
        <is>
          <t>12.068</t>
        </is>
      </c>
      <c r="B85" s="9" t="inlineStr">
        <is>
          <t>זכוכית לזיגוג דלתות וחלונות, ציפויי חלונות וקירות וזכוכית לסגירת מרפסות</t>
        </is>
      </c>
      <c r="C85" s="10" t="inlineStr"/>
      <c r="D85" s="11" t="n"/>
      <c r="E85" s="12" t="n"/>
      <c r="F85" s="13" t="n"/>
      <c r="G85" s="13" t="n"/>
      <c r="H85" s="13" t="n"/>
      <c r="I85" s="11" t="n"/>
    </row>
    <row r="86" hidden="1" ht="15.6" customHeight="1">
      <c r="A86" s="8" t="inlineStr">
        <is>
          <t>12.068.1320</t>
        </is>
      </c>
      <c r="B86" s="9" t="inlineStr">
        <is>
          <t>זכוכית בטחון 5+5 מ"מ עם 0.76 P.V.B</t>
        </is>
      </c>
      <c r="C86" s="10" t="inlineStr">
        <is>
          <t>מ"ר</t>
        </is>
      </c>
      <c r="D86" s="11" t="n">
        <v>0</v>
      </c>
      <c r="E86" s="12" t="n">
        <v>265</v>
      </c>
      <c r="F86" s="13">
        <f>IF(E86="","",E86*0.15)</f>
        <v>39.75</v>
      </c>
      <c r="G86" s="13">
        <f>IF(E86="","",E86*0.05)</f>
        <v>13.25</v>
      </c>
      <c r="H86" s="13">
        <f>IF(E86="","",E86*1.05*0.85)</f>
        <v>236.5125</v>
      </c>
      <c r="I86" s="11">
        <f>IF(D86="","",H86*D86)</f>
        <v>0</v>
      </c>
    </row>
    <row r="87" ht="15.6" customHeight="1">
      <c r="A87" s="8" t="inlineStr">
        <is>
          <t>12.068.1216</t>
        </is>
      </c>
      <c r="B87" s="9" t="inlineStr">
        <is>
          <t>זכוכית שקופה בידודית מחוסמת משני הצדדים 6+10+8 מ"מ</t>
        </is>
      </c>
      <c r="C87" s="10" t="inlineStr">
        <is>
          <t>מ"ר</t>
        </is>
      </c>
      <c r="D87" s="11">
        <f>-D88-D89-D92-L41</f>
        <v>5.558</v>
      </c>
      <c r="E87" s="12" t="n">
        <v>375</v>
      </c>
      <c r="F87" s="13">
        <f>IF(E87="","",E87*0.15)</f>
        <v>56.25</v>
      </c>
      <c r="G87" s="13">
        <f>IF(E87="","",E87*0.05)</f>
        <v>18.75</v>
      </c>
      <c r="H87" s="13">
        <f>IF(E87="","",E87*1.05*0.85)</f>
        <v>334.6875</v>
      </c>
      <c r="I87" s="11">
        <f>IF(D87="","",H87*D87)</f>
        <v>1860.193125</v>
      </c>
    </row>
    <row r="88" hidden="1" ht="43.2" customHeight="1">
      <c r="A88" s="8" t="inlineStr">
        <is>
          <t>12.068.1172</t>
        </is>
      </c>
      <c r="B88" s="9" t="inlineStr">
        <is>
          <t>זכוכית שקופה בידודית מחוסמת משני הצדדים 5+6+6 מ"מ</t>
        </is>
      </c>
      <c r="C88" s="10" t="inlineStr">
        <is>
          <t>מ"ר</t>
        </is>
      </c>
      <c r="D88" s="11">
        <f>-(D24+D25+D18+D19)</f>
        <v>0</v>
      </c>
      <c r="E88" s="12" t="n">
        <v>317</v>
      </c>
      <c r="F88" s="13">
        <f>IF(E88="","",E88*0.15)</f>
        <v>47.55</v>
      </c>
      <c r="G88" s="13">
        <f>IF(E88="","",E88*0.05)</f>
        <v>15.850000000000001</v>
      </c>
      <c r="H88" s="13">
        <f>IF(E88="","",E88*1.05*0.85)</f>
        <v>282.9225</v>
      </c>
      <c r="I88" s="11">
        <f>IF(D88="","",H88*D88)</f>
        <v>0</v>
      </c>
    </row>
    <row r="89">
      <c r="A89" s="8" t="inlineStr">
        <is>
          <t>12.068.1004</t>
        </is>
      </c>
      <c r="B89" s="9" t="inlineStr">
        <is>
          <t>זכוכית שטוחה מחוסמת בעובי 6 מ"מ</t>
        </is>
      </c>
      <c r="C89" s="10" t="inlineStr">
        <is>
          <t>מ"ר</t>
        </is>
      </c>
      <c r="D89" s="11">
        <f>-(D44+D45+D47+D49+D50+D51)</f>
        <v>-7.85</v>
      </c>
      <c r="E89" s="12" t="n">
        <v>172</v>
      </c>
      <c r="F89" s="13">
        <f>IF(E89="","",E89*0.15)</f>
        <v>25.8</v>
      </c>
      <c r="G89" s="13">
        <f>IF(E89="","",E89*0.05)</f>
        <v>8.6</v>
      </c>
      <c r="H89" s="13">
        <f>IF(E89="","",E89*1.05*0.85)</f>
        <v>153.51</v>
      </c>
      <c r="I89" s="11">
        <f>IF(D89="","",H89*D89)</f>
        <v>-1205.0535</v>
      </c>
    </row>
    <row r="90" hidden="1">
      <c r="A90" s="8" t="inlineStr">
        <is>
          <t>12.068.0902</t>
        </is>
      </c>
      <c r="B90" s="9" t="inlineStr">
        <is>
          <t>זכוכית שטוחה שקופה בעובי 5 מ"מ</t>
        </is>
      </c>
      <c r="C90" s="10" t="inlineStr">
        <is>
          <t>מ"ר</t>
        </is>
      </c>
      <c r="D90" s="11" t="n">
        <v>0</v>
      </c>
      <c r="E90" s="12" t="n">
        <v>94</v>
      </c>
      <c r="F90" s="13">
        <f>IF(E90="","",E90*0.15)</f>
        <v>14.1</v>
      </c>
      <c r="G90" s="13">
        <f>IF(E90="","",E90*0.05)</f>
        <v>4.7</v>
      </c>
      <c r="H90" s="13">
        <f>IF(E90="","",E90*1.05*0.85)</f>
        <v>83.895</v>
      </c>
      <c r="I90" s="11">
        <f>IF(D90="","",H90*D90)</f>
        <v>0</v>
      </c>
    </row>
    <row r="91" hidden="1" ht="28.8" customHeight="1">
      <c r="A91" s="8" t="inlineStr">
        <is>
          <t>12.068.1002</t>
        </is>
      </c>
      <c r="B91" s="9" t="inlineStr">
        <is>
          <t>זכוכית שטוחה מחוסמת בעובי 5 מ"מ</t>
        </is>
      </c>
      <c r="C91" s="10" t="inlineStr">
        <is>
          <t>מ"ר</t>
        </is>
      </c>
      <c r="D91" s="11" t="n">
        <v>0</v>
      </c>
      <c r="E91" s="12" t="n">
        <v>157</v>
      </c>
      <c r="F91" s="13">
        <f>IF(E91="","",E91*0.15)</f>
        <v>23.55</v>
      </c>
      <c r="G91" s="13">
        <f>IF(E91="","",E91*0.05)</f>
        <v>7.8500000000000005</v>
      </c>
      <c r="H91" s="13">
        <f>IF(E91="","",E91*1.05*0.85)</f>
        <v>140.1225</v>
      </c>
      <c r="I91" s="11">
        <f>IF(D91="","",H91*D91)</f>
        <v>0</v>
      </c>
    </row>
    <row r="92" hidden="1" ht="55.8" customHeight="1">
      <c r="A92" s="8" t="inlineStr">
        <is>
          <t>12.068.1006</t>
        </is>
      </c>
      <c r="B92" s="9" t="inlineStr">
        <is>
          <t>זכוכית שטוחה מחוסמת בעובי 8 מ"מ</t>
        </is>
      </c>
      <c r="C92" s="10" t="inlineStr">
        <is>
          <t>מ"ר</t>
        </is>
      </c>
      <c r="D92" s="11">
        <f>-(D46+D41+D42)</f>
        <v>0</v>
      </c>
      <c r="E92" s="12" t="n">
        <v>315</v>
      </c>
      <c r="F92" s="13">
        <f>IF(E92="","",E92*0.15)</f>
        <v>47.25</v>
      </c>
      <c r="G92" s="13">
        <f>IF(E92="","",E92*0.05)</f>
        <v>15.75</v>
      </c>
      <c r="H92" s="13">
        <f>IF(E92="","",E92*1.05*0.85)</f>
        <v>281.1375</v>
      </c>
      <c r="I92" s="11">
        <f>IF(D92="","",H92*D92)</f>
        <v>0</v>
      </c>
    </row>
    <row r="93">
      <c r="A93" s="8" t="inlineStr">
        <is>
          <t>15</t>
        </is>
      </c>
      <c r="B93" s="9" t="inlineStr">
        <is>
          <t>מתקני מיזוג אוויר</t>
        </is>
      </c>
      <c r="C93" s="10" t="inlineStr"/>
      <c r="D93" s="11" t="n"/>
      <c r="E93" s="12" t="n"/>
      <c r="F93" s="13" t="n"/>
      <c r="G93" s="13" t="n"/>
      <c r="H93" s="13" t="n"/>
      <c r="I93" s="11" t="n"/>
    </row>
    <row r="94">
      <c r="A94" s="8" t="inlineStr">
        <is>
          <t>15.041</t>
        </is>
      </c>
      <c r="B94" s="9" t="inlineStr">
        <is>
          <t>מזגנים מפוצלים ויחידות מיני מרכזיות</t>
        </is>
      </c>
      <c r="C94" s="10" t="inlineStr"/>
      <c r="D94" s="11" t="n"/>
      <c r="E94" s="12" t="n"/>
      <c r="F94" s="13" t="n"/>
      <c r="G94" s="13" t="n"/>
      <c r="H94" s="13" t="n"/>
      <c r="I94" s="11" t="n"/>
    </row>
    <row r="95">
      <c r="A95" s="8" t="inlineStr">
        <is>
          <t>15.041.1200</t>
        </is>
      </c>
      <c r="B95" s="9" t="inlineStr">
        <is>
          <t>מזגן מפוצל אינוורטר (התקנה סטנדרטית) כדוגמת "אלקטרה" או ש"ע לתפוקת קירור נומינלית BTU/HR 9,500 (1 כ"ס) לרבות 2.0 מ"א ראשונים של צנרת גז וחשמל, מותקן מושלם</t>
        </is>
      </c>
      <c r="C95" s="10" t="inlineStr">
        <is>
          <t>קומפ'</t>
        </is>
      </c>
      <c r="D95" s="11" t="n">
        <v>1</v>
      </c>
      <c r="E95" s="12" t="n">
        <v>3050</v>
      </c>
      <c r="F95" s="13">
        <f>IF(E95="","",E95*0.15)</f>
        <v>457.5</v>
      </c>
      <c r="G95" s="13">
        <f>IF(E95="","",E95*0.05)</f>
        <v>152.5</v>
      </c>
      <c r="H95" s="13">
        <f>IF(E95="","",E95*1.05*0.85)</f>
        <v>2722.125</v>
      </c>
      <c r="I95" s="11">
        <f>IF(D95="","",H95*D95)</f>
        <v>2722.125</v>
      </c>
    </row>
    <row r="96" hidden="1">
      <c r="A96" s="8" t="inlineStr">
        <is>
          <t>15.041.1210</t>
        </is>
      </c>
      <c r="B96" s="9" t="inlineStr">
        <is>
          <t>מזגן מפוצל אינוורטר (התקנה סטנדרטית) כדוגמת "אלקטרה" או ש"ע לתפוקת קירור נומינלית BTU/HR 12,000 (1.2 כ"ס) לרבות 2.0 מ"א ראשונים של צנרת גז וחשמל, מותקן מושלם</t>
        </is>
      </c>
      <c r="C96" s="10" t="inlineStr">
        <is>
          <t>קומפ</t>
        </is>
      </c>
      <c r="D96" s="11" t="n">
        <v>0</v>
      </c>
      <c r="E96" s="12" t="n">
        <v>3500</v>
      </c>
      <c r="F96" s="13">
        <f>IF(E96="","",E96*0.15)</f>
        <v>525</v>
      </c>
      <c r="G96" s="13">
        <f>IF(E96="","",E96*0.05)</f>
        <v>175</v>
      </c>
      <c r="H96" s="13">
        <f>IF(E96="","",E96*1.05*0.85)</f>
        <v>3123.75</v>
      </c>
      <c r="I96" s="11">
        <f>IF(D96="","",H96*D96)</f>
        <v>0</v>
      </c>
    </row>
    <row r="97">
      <c r="A97" s="8" t="inlineStr">
        <is>
          <t>15.041.4000</t>
        </is>
      </c>
      <c r="B97" s="9" t="inlineStr">
        <is>
          <t>צנרת גז וחשמל למזגן עם מעטה למיזוג אוויר (צמ"א) הכוללת 2 צינורות נחושת מבודדים בקטרים "3/8, "5/8, צינור חשמל עם כבל רב גידי, הכל מאוגד יחדיו בשרוול (מעל 2.0 מ"א הראשונים הכלולים במחיר התקנת מזגן) לרבות מילוי גז ושמן כנדרש לתוספת צנרת זו</t>
        </is>
      </c>
      <c r="C97" s="10" t="inlineStr">
        <is>
          <t>מ"א</t>
        </is>
      </c>
      <c r="D97" s="11" t="n">
        <v>2</v>
      </c>
      <c r="E97" s="12" t="n">
        <v>128</v>
      </c>
      <c r="F97" s="13">
        <f>IF(E97="","",E97*0.15)</f>
        <v>19.2</v>
      </c>
      <c r="G97" s="13">
        <f>IF(E97="","",E97*0.05)</f>
        <v>6.4</v>
      </c>
      <c r="H97" s="13">
        <f>IF(E97="","",E97*1.05*0.85)</f>
        <v>114.24</v>
      </c>
      <c r="I97" s="11">
        <f>IF(D97="","",H97*D97)</f>
        <v>228.48</v>
      </c>
    </row>
    <row r="98" hidden="1">
      <c r="A98" s="8" t="inlineStr">
        <is>
          <t>15.041.4010</t>
        </is>
      </c>
      <c r="B98" s="9" t="inlineStr">
        <is>
          <t>צנרת גז וחשמל למזגן עם מעטה למיזוג אוויר (צמ"א) הכוללת 2 צינורות נחושת מבודדים בקטרים "1/2, "7/8, צינור חשמל עם כבל רב גידי, הכל מאוגד יחדיו בשרוול (מעל 2.0 מ"א הראשונים הכלולים במחיר התקנת מזגן), לרבות מילוי גז ושמן כנדרש לתוספת צנרת זו</t>
        </is>
      </c>
      <c r="C98" s="10" t="inlineStr">
        <is>
          <t>מ'</t>
        </is>
      </c>
      <c r="D98" s="11" t="n">
        <v>0</v>
      </c>
      <c r="E98" s="12" t="n">
        <v>172</v>
      </c>
      <c r="F98" s="13">
        <f>IF(E98="","",E98*0.15)</f>
        <v>25.8</v>
      </c>
      <c r="G98" s="13">
        <f>IF(E98="","",E98*0.05)</f>
        <v>8.6</v>
      </c>
      <c r="H98" s="13">
        <f>IF(E98="","",E98*1.05*0.85)</f>
        <v>153.51</v>
      </c>
      <c r="I98" s="11">
        <f>IF(D98="","",H98*D98)</f>
        <v>0</v>
      </c>
    </row>
    <row r="99">
      <c r="A99" s="8" t="inlineStr">
        <is>
          <t>15.041.9161</t>
        </is>
      </c>
      <c r="B99" s="9" t="inlineStr">
        <is>
          <t>תוספת לסעיפי התקנה של מזגנים עבור ביצוע קידוח למעבר צנרת, בקיר בטון בעובי 30-35 ס"מ במקום בקיר בלוקים בעובי 20-25 ס"מ. קוטר הקידוח עד "3</t>
        </is>
      </c>
      <c r="C99" s="10" t="inlineStr">
        <is>
          <t>יח'</t>
        </is>
      </c>
      <c r="D99" s="11" t="n">
        <v>2</v>
      </c>
      <c r="E99" s="12" t="n">
        <v>320</v>
      </c>
      <c r="F99" s="13">
        <f>IF(E99="","",E99*0.15)</f>
        <v>48</v>
      </c>
      <c r="G99" s="13">
        <f>IF(E99="","",E99*0.05)</f>
        <v>16</v>
      </c>
      <c r="H99" s="13">
        <f>IF(E99="","",E99*1.05*0.85)</f>
        <v>285.59999999999997</v>
      </c>
      <c r="I99" s="11">
        <f>IF(D99="","",H99*D99)</f>
        <v>571.1999999999999</v>
      </c>
    </row>
    <row r="100">
      <c r="A100" s="8" t="inlineStr">
        <is>
          <t>15.041.9620</t>
        </is>
      </c>
      <c r="B100" s="9" t="inlineStr">
        <is>
          <t>החלפת צינור שרשורי לניקוז מזגן מפוצל.</t>
        </is>
      </c>
      <c r="C100" s="10" t="inlineStr">
        <is>
          <t>מ"א</t>
        </is>
      </c>
      <c r="D100" s="11" t="n">
        <v>3</v>
      </c>
      <c r="E100" s="12" t="n">
        <v>23.5</v>
      </c>
      <c r="F100" s="13">
        <f>IF(E100="","",E100*0.15)</f>
        <v>3.525</v>
      </c>
      <c r="G100" s="13">
        <f>IF(E100="","",E100*0.05)</f>
        <v>1.175</v>
      </c>
      <c r="H100" s="13">
        <f>IF(E100="","",E100*1.05*0.85)</f>
        <v>20.97375</v>
      </c>
      <c r="I100" s="11">
        <f>IF(D100="","",H100*D100)</f>
        <v>62.92125</v>
      </c>
    </row>
    <row r="101">
      <c r="A101" s="8" t="inlineStr">
        <is>
          <t>15.041.9950</t>
        </is>
      </c>
      <c r="B101" s="9" t="inlineStr">
        <is>
          <t>תוספת עבור הרמת מעבה מזגן בתפוקת קירור של עד 16,000 BTU/HR (2 כ"ס) לגובה מעל 3 מ', ללא מנוף</t>
        </is>
      </c>
      <c r="C101" s="10" t="inlineStr">
        <is>
          <t>יח'</t>
        </is>
      </c>
      <c r="D101" s="11" t="n">
        <v>1</v>
      </c>
      <c r="E101" s="12" t="n">
        <v>180</v>
      </c>
      <c r="F101" s="13">
        <f>IF(E101="","",E101*0.15)</f>
        <v>27</v>
      </c>
      <c r="G101" s="13">
        <f>IF(E101="","",E101*0.05)</f>
        <v>9</v>
      </c>
      <c r="H101" s="13">
        <f>IF(E101="","",E101*1.05*0.85)</f>
        <v>160.65</v>
      </c>
      <c r="I101" s="11">
        <f>IF(D101="","",H101*D101)</f>
        <v>160.65</v>
      </c>
    </row>
    <row r="102">
      <c r="A102" s="8" t="inlineStr">
        <is>
          <t>30.050.9010</t>
        </is>
      </c>
      <c r="B102" s="9" t="inlineStr">
        <is>
          <t>פירוק צלונים/וילונות ונציאניים מסוגים שונים לשימוש חוזר, לרבות קונסטרוקצית תליה וכבלים</t>
        </is>
      </c>
      <c r="C102" s="10" t="inlineStr">
        <is>
          <t>מ"ר</t>
        </is>
      </c>
      <c r="D102" s="11">
        <f>D55+D56+D57+D58+D59+D60+D61+D62+D63+D64</f>
        <v>18.965</v>
      </c>
      <c r="E102" s="12" t="n">
        <v>48</v>
      </c>
      <c r="F102" s="13">
        <f>IF(E102="","",E102*0.15)</f>
        <v>7.199999999999999</v>
      </c>
      <c r="G102" s="13">
        <f>IF(E102="","",E102*0.05)</f>
        <v>2.4000000000000004</v>
      </c>
      <c r="H102" s="13">
        <f>IF(E102="","",E102*1.05*0.85)</f>
        <v>42.84</v>
      </c>
      <c r="I102" s="11">
        <f>IF(D102="","",H102*D102)</f>
        <v>812.4606000000001</v>
      </c>
    </row>
    <row r="103">
      <c r="A103" s="8" t="inlineStr">
        <is>
          <t>60</t>
        </is>
      </c>
      <c r="B103" s="9" t="inlineStr">
        <is>
          <t>מחירי שעות עבודה ושכירת ציוד</t>
        </is>
      </c>
      <c r="C103" s="10" t="inlineStr"/>
      <c r="D103" s="11" t="n"/>
      <c r="E103" s="12" t="n"/>
      <c r="F103" s="13" t="n"/>
      <c r="G103" s="13" t="n"/>
      <c r="H103" s="13" t="n"/>
      <c r="I103" s="11" t="n"/>
    </row>
    <row r="104">
      <c r="A104" s="8" t="inlineStr">
        <is>
          <t>60.020</t>
        </is>
      </c>
      <c r="B104" s="9" t="inlineStr">
        <is>
          <t>ש"ע פועלי בנין - מחירי קבלן משנה</t>
        </is>
      </c>
      <c r="C104" s="10" t="inlineStr"/>
      <c r="D104" s="11" t="n"/>
      <c r="E104" s="12" t="n"/>
      <c r="F104" s="13" t="n"/>
      <c r="G104" s="13" t="n"/>
      <c r="H104" s="13" t="n"/>
      <c r="I104" s="11" t="n"/>
    </row>
    <row r="105">
      <c r="A105" s="8" t="inlineStr">
        <is>
          <t>60.010.0020</t>
        </is>
      </c>
      <c r="B105" s="9" t="inlineStr">
        <is>
          <t>פועל בנין פשוט</t>
        </is>
      </c>
      <c r="C105" s="10" t="inlineStr">
        <is>
          <t>ש"ע</t>
        </is>
      </c>
      <c r="D105" s="11" t="n">
        <v>3</v>
      </c>
      <c r="E105" s="12" t="n">
        <v>130</v>
      </c>
      <c r="F105" s="13">
        <f>IF(E105="","",E105*0.15)</f>
        <v>19.5</v>
      </c>
      <c r="G105" s="13">
        <f>IF(E105="","",E105*0.05)</f>
        <v>6.5</v>
      </c>
      <c r="H105" s="13">
        <f>IF(E105="","",E105*1.05*0.85)</f>
        <v>116.02499999999999</v>
      </c>
      <c r="I105" s="11">
        <f>IF(D105="","",H105*D105)</f>
        <v>348.075</v>
      </c>
    </row>
    <row r="106">
      <c r="A106" s="8" t="inlineStr">
        <is>
          <t>60.010.0010</t>
        </is>
      </c>
      <c r="B106" s="9" t="inlineStr">
        <is>
          <t>פועל בנין מקצועי</t>
        </is>
      </c>
      <c r="C106" s="10" t="inlineStr">
        <is>
          <t>ש"ע</t>
        </is>
      </c>
      <c r="D106" s="11">
        <f>D70*2+D65+D66+D67+D68+D69+L30</f>
        <v>5</v>
      </c>
      <c r="E106" s="12" t="n">
        <v>145</v>
      </c>
      <c r="F106" s="13">
        <f>IF(E106="","",E106*0.15)</f>
        <v>21.75</v>
      </c>
      <c r="G106" s="13">
        <f>IF(E106="","",E106*0.05)</f>
        <v>7.25</v>
      </c>
      <c r="H106" s="13">
        <f>IF(E106="","",E106*1.05*0.85)</f>
        <v>129.4125</v>
      </c>
      <c r="I106" s="11">
        <f>IF(D106="","",H106*D106)</f>
        <v>647.0625</v>
      </c>
    </row>
    <row r="107">
      <c r="A107" s="8" t="inlineStr">
        <is>
          <t>60.030</t>
        </is>
      </c>
      <c r="B107" s="9" t="inlineStr">
        <is>
          <t>ש"ע לשכירת ציוד מכני הנדסי, רכב משא ומיכליות מים</t>
        </is>
      </c>
      <c r="C107" s="10" t="inlineStr"/>
      <c r="D107" s="11" t="n"/>
      <c r="E107" s="12" t="n"/>
      <c r="F107" s="13" t="n"/>
      <c r="G107" s="13" t="n"/>
      <c r="H107" s="13" t="n"/>
      <c r="I107" s="11" t="n"/>
    </row>
    <row r="108" hidden="1">
      <c r="A108" s="8" t="inlineStr">
        <is>
          <t>60.030.0605</t>
        </is>
      </c>
      <c r="B108" s="9" t="inlineStr">
        <is>
          <t>משאית מנוף 23-30 טון, אורך זרוע 15-20 מ' (כושר הרמה לפי מפרט היצרן). המחיר הינו לשעתיים עבודה</t>
        </is>
      </c>
      <c r="C108" s="10" t="inlineStr">
        <is>
          <t>יח'</t>
        </is>
      </c>
      <c r="D108" s="11">
        <f>IF(L19&gt;0,IF(SUM(D65,D66,D67,D68,D69,D70)&gt;=5,2,1),0)</f>
        <v>0</v>
      </c>
      <c r="E108" s="12" t="n">
        <v>1460</v>
      </c>
      <c r="F108" s="13">
        <f>IF(E108="","",E108*0.15)</f>
        <v>219</v>
      </c>
      <c r="G108" s="13">
        <f>IF(E108="","",E108*0.05)</f>
        <v>73</v>
      </c>
      <c r="H108" s="13">
        <f>IF(E108="","",E108*1.05*0.85)</f>
        <v>1303.05</v>
      </c>
      <c r="I108" s="11">
        <f>IF(D108="","",H108*D108)</f>
        <v>0</v>
      </c>
    </row>
    <row r="109">
      <c r="A109" s="8" t="inlineStr">
        <is>
          <t>60.030.0634</t>
        </is>
      </c>
      <c r="B109" s="9" t="inlineStr">
        <is>
          <t>משאית מנוף 55-70 טון, אורך זרוע 30-35 מ' (כושר הרמה לפי מפרט היצרן). המחיר הינו לשעתיים עבודה</t>
        </is>
      </c>
      <c r="C109" s="10" t="inlineStr">
        <is>
          <t>יח'</t>
        </is>
      </c>
      <c r="D109" s="11">
        <f>IF(L20&gt;0,IF(SUM(D65,D66,D67,D68,D69,D70)&gt;=5,2,1),0)</f>
        <v>1</v>
      </c>
      <c r="E109" s="12" t="n">
        <v>1810</v>
      </c>
      <c r="F109" s="13">
        <f>IF(E109="","",E109*0.15)</f>
        <v>271.5</v>
      </c>
      <c r="G109" s="13">
        <f>IF(E109="","",E109*0.05)</f>
        <v>90.5</v>
      </c>
      <c r="H109" s="13">
        <f>IF(E109="","",E109*1.05*0.85)</f>
        <v>1615.425</v>
      </c>
      <c r="I109" s="11">
        <f>IF(D109="","",H109*D109)</f>
        <v>1615.425</v>
      </c>
    </row>
    <row r="110" hidden="1">
      <c r="A110" s="8" t="inlineStr">
        <is>
          <t>60.030.0644</t>
        </is>
      </c>
      <c r="B110" s="9" t="inlineStr">
        <is>
          <t>משאית מנוף 95-100 טון, אורך זרוע 35-40 מ' (כושר הרמה לפי מפרט היצרן). המחיר הינו לשעתיים עבודה</t>
        </is>
      </c>
      <c r="C110" s="10" t="inlineStr">
        <is>
          <t>יח'</t>
        </is>
      </c>
      <c r="D110" s="11">
        <f>IF(L21&gt;0,IF(SUM(D65,D66,D67,D68,D69,D70)&gt;=5,2,1),0)</f>
        <v>0</v>
      </c>
      <c r="E110" s="12" t="n">
        <v>2200</v>
      </c>
      <c r="F110" s="13">
        <f>IF(E110="","",E110*0.15)</f>
        <v>330</v>
      </c>
      <c r="G110" s="13">
        <f>IF(E110="","",E110*0.05)</f>
        <v>110</v>
      </c>
      <c r="H110" s="13">
        <f>IF(E110="","",E110*1.05*0.85)</f>
        <v>1963.5</v>
      </c>
      <c r="I110" s="11">
        <f>IF(D110="","",H110*D110)</f>
        <v>0</v>
      </c>
    </row>
    <row r="111">
      <c r="A111" s="8" t="inlineStr">
        <is>
          <t>85</t>
        </is>
      </c>
      <c r="B111" s="9" t="inlineStr">
        <is>
          <t>חומרי איטום ובידוד תרמי</t>
        </is>
      </c>
      <c r="C111" s="10" t="inlineStr"/>
      <c r="D111" s="11" t="n"/>
      <c r="E111" s="12" t="n"/>
      <c r="F111" s="13" t="n"/>
      <c r="G111" s="13" t="n"/>
      <c r="H111" s="13" t="n"/>
      <c r="I111" s="11" t="n"/>
    </row>
    <row r="112">
      <c r="A112" s="8" t="inlineStr">
        <is>
          <t>85.095</t>
        </is>
      </c>
      <c r="B112" s="9" t="inlineStr">
        <is>
          <t>חומרים לבידוד תרמי ואקוסטי</t>
        </is>
      </c>
      <c r="C112" s="10" t="inlineStr"/>
      <c r="D112" s="11" t="n"/>
      <c r="E112" s="12" t="n"/>
      <c r="F112" s="13" t="n"/>
      <c r="G112" s="13" t="n"/>
      <c r="H112" s="13" t="n"/>
      <c r="I112" s="11" t="n"/>
    </row>
    <row r="113">
      <c r="A113" s="8" t="inlineStr">
        <is>
          <t>85.095.0950</t>
        </is>
      </c>
      <c r="B113" s="9" t="inlineStr">
        <is>
          <t>חומר בלבד: "דבטק" טקסאונד SY50 - יריעה פולימרית סינטטית לבידוד אקוסטי בעובי 2.5 מ"מ (מזרון דק), לא דליק, לקירות בבניין ותעשייה, משקל 5 ק"ג למ"ר - אריזת גליל 7.32 מ"ר, ברוחב 1.22 ובאורך 6.05 (המחיר ביח' לגליל)</t>
        </is>
      </c>
      <c r="C113" s="10" t="inlineStr">
        <is>
          <t>מ"ר</t>
        </is>
      </c>
      <c r="D113" s="11">
        <f>L31</f>
        <v>2.292</v>
      </c>
      <c r="E113" s="12" t="n">
        <v>129.7814207650273</v>
      </c>
      <c r="F113" s="13">
        <f>IF(E113="","",E113*0.15)</f>
        <v>19.46721311475409</v>
      </c>
      <c r="G113" s="13">
        <f>IF(E113="","",E113*0.05)</f>
        <v>6.489071038251365</v>
      </c>
      <c r="H113" s="13">
        <f>IF(E113="","",E113*1.05*0.85)</f>
        <v>115.82991803278686</v>
      </c>
      <c r="I113" s="11">
        <f>IF(D113="","",H113*D113)</f>
        <v>265.4821721311475</v>
      </c>
    </row>
    <row r="114">
      <c r="A114" s="8" t="inlineStr">
        <is>
          <t>95</t>
        </is>
      </c>
      <c r="B114" s="9" t="inlineStr">
        <is>
          <t>חומרים</t>
        </is>
      </c>
      <c r="C114" s="10" t="inlineStr"/>
      <c r="D114" s="11" t="n"/>
      <c r="E114" s="12" t="n"/>
      <c r="F114" s="13" t="n"/>
      <c r="G114" s="13" t="n"/>
      <c r="H114" s="13" t="n"/>
      <c r="I114" s="11" t="n"/>
    </row>
    <row r="115">
      <c r="A115" s="8" t="inlineStr">
        <is>
          <t>95.040.0230</t>
        </is>
      </c>
      <c r="B115" s="9" t="inlineStr">
        <is>
          <t>חומר בלבד: מפסק פאקט חד פאזי ליחידת עיבוי</t>
        </is>
      </c>
      <c r="C115" s="10" t="inlineStr">
        <is>
          <t>יח'</t>
        </is>
      </c>
      <c r="D115" s="11" t="n">
        <v>1</v>
      </c>
      <c r="E115" s="12" t="n">
        <v>150</v>
      </c>
      <c r="F115" s="13">
        <f>IF(E115="","",E115*0.15)</f>
        <v>22.5</v>
      </c>
      <c r="G115" s="13">
        <f>IF(E115="","",E115*0.05)</f>
        <v>7.5</v>
      </c>
      <c r="H115" s="13">
        <f>IF(E115="","",E115*1.05*0.85)</f>
        <v>133.875</v>
      </c>
      <c r="I115" s="11">
        <f>IF(D115="","",H115*D115)</f>
        <v>133.875</v>
      </c>
    </row>
    <row r="116">
      <c r="A116" s="8" t="inlineStr">
        <is>
          <t>12.99.0001</t>
        </is>
      </c>
      <c r="B116" s="9" t="inlineStr">
        <is>
          <t>תוספת ידיות מיוחדות ומנגנון נעילה מיוחד לויטרינות</t>
        </is>
      </c>
      <c r="C116" s="10" t="inlineStr">
        <is>
          <t>יח'</t>
        </is>
      </c>
      <c r="D116" s="11" t="n">
        <v>1</v>
      </c>
      <c r="E116" s="12" t="n">
        <v>2375.350140056022</v>
      </c>
      <c r="F116" s="13">
        <f>IF(E116="","",E116*0.15)</f>
        <v>356.3025210084033</v>
      </c>
      <c r="G116" s="13">
        <f>IF(E116="","",E116*0.05)</f>
        <v>118.76750700280111</v>
      </c>
      <c r="H116" s="13">
        <f>IF(E116="","",E116*1.05*0.85)</f>
        <v>2120</v>
      </c>
      <c r="I116" s="11">
        <f>IF(D116="","",H116*D116)</f>
        <v>2120</v>
      </c>
    </row>
    <row r="117">
      <c r="A117" s="8" t="inlineStr">
        <is>
          <t>12.99.0002</t>
        </is>
      </c>
      <c r="B117" s="9" t="inlineStr">
        <is>
          <t>תוספת ידיות מיוחדות ומנגנון נעילה מיוחד לחלונות</t>
        </is>
      </c>
      <c r="C117" s="10" t="inlineStr">
        <is>
          <t>יח'</t>
        </is>
      </c>
      <c r="D117" s="11" t="n">
        <v>3</v>
      </c>
      <c r="E117" s="12" t="n">
        <v>950.1400560224089</v>
      </c>
      <c r="F117" s="13">
        <f>IF(E117="","",E117*0.15)</f>
        <v>142.52100840336132</v>
      </c>
      <c r="G117" s="13">
        <f>IF(E117="","",E117*0.05)</f>
        <v>47.50700280112045</v>
      </c>
      <c r="H117" s="13">
        <f>IF(E117="","",E117*1.05*0.85)</f>
        <v>848</v>
      </c>
      <c r="I117" s="11">
        <f>IF(D117="","",H117*D117)</f>
        <v>2544</v>
      </c>
    </row>
    <row r="118">
      <c r="A118" s="8" t="inlineStr">
        <is>
          <t>12.093.0022</t>
        </is>
      </c>
      <c r="B118" s="9" t="inlineStr">
        <is>
          <t>תוספת עבור צבע מטאלי Fine Iron במראה מתכתי ובמרקם חלק בכל הגוונים. התוספת הינה 6% למחירי החלונות</t>
        </is>
      </c>
      <c r="C118" s="10" t="inlineStr">
        <is>
          <t>%</t>
        </is>
      </c>
      <c r="D118" s="11">
        <f>SUM(I17:I29,I34:I36,I38:I39,I44:I46,I49:I51,I56:I64,I83:I84,I116:I117)/0.85/1.05</f>
        <v>60313.71030812325</v>
      </c>
      <c r="E118" s="12" t="n">
        <v>0.06</v>
      </c>
      <c r="F118" s="13">
        <f>IF(E118="","",E118*0.15)</f>
        <v>0.009</v>
      </c>
      <c r="G118" s="13">
        <f>IF(E118="","",E118*0.05)</f>
        <v>0.003</v>
      </c>
      <c r="H118" s="13">
        <f>IF(E118="","",E118*1.05*0.85)</f>
        <v>0.05355</v>
      </c>
      <c r="I118" s="11">
        <f>IF(D118="","",H118*D118)</f>
        <v>3229.799187</v>
      </c>
    </row>
    <row r="119" hidden="1">
      <c r="A119" s="8" t="inlineStr">
        <is>
          <t>60.020.0067</t>
        </is>
      </c>
      <c r="B119" s="9" t="inlineStr">
        <is>
          <t>צוות לעב' אלומיניום - 2 פועלים (מרכיב מקצועי ועוזר) - לרבות ציוד ורכב/טנדר למרחק עד 70 ק"מ. הסעיף הינו עבור קריאה מיוחדת, לאחר סיום העבודה או באישור מיוחד של המפקח, ובתנאי שלא ניתן לתמחר את העבודה לפי סעיפים אחרים והיא אינה כלולה כחלק מחובת תיקון הליקויים של הקבלן. מחיר ליום עבודה לפי 8 ש"ע, בשעות רגילות</t>
        </is>
      </c>
      <c r="C119" s="10" t="inlineStr">
        <is>
          <t>י"ע</t>
        </is>
      </c>
      <c r="D119" s="11" t="n">
        <v>0</v>
      </c>
      <c r="E119" s="12" t="n">
        <v>3400</v>
      </c>
      <c r="F119" s="13">
        <f>IF(E119="","",E119*0.15)</f>
        <v>510</v>
      </c>
      <c r="G119" s="13">
        <f>IF(E119="","",E119*0.05)</f>
        <v>170</v>
      </c>
      <c r="H119" s="13">
        <f>IF(E119="","",E119*1.05*0.85)</f>
        <v>3034.5</v>
      </c>
      <c r="I119" s="11">
        <f>IF(D119="","",H119*D119)</f>
        <v>0</v>
      </c>
    </row>
    <row r="120" hidden="1" ht="28.8" customHeight="1">
      <c r="A120" s="8" t="inlineStr">
        <is>
          <t>11.011.2000</t>
        </is>
      </c>
      <c r="B120" s="9" t="inlineStr">
        <is>
          <t>תוספת עבור צבע בגוון מעבר לבסיס "P". התוספת הינה 15% למחיר הצבע</t>
        </is>
      </c>
      <c r="C120" s="10" t="inlineStr">
        <is>
          <t>קומפ'</t>
        </is>
      </c>
      <c r="D120" s="11" t="n">
        <v>0</v>
      </c>
      <c r="E120" s="12" t="n">
        <v>0.15</v>
      </c>
      <c r="F120" s="13">
        <f>IF(E120="","",E120*0.15)</f>
        <v>0.0225</v>
      </c>
      <c r="G120" s="13">
        <f>IF(E120="","",E120*0.05)</f>
        <v>0.0075</v>
      </c>
      <c r="H120" s="13">
        <f>IF(E120="","",E120*1.05*0.85)</f>
        <v>0.133875</v>
      </c>
      <c r="I120" s="11">
        <f>IF(D120="","",H120*D120)</f>
        <v>0</v>
      </c>
    </row>
    <row r="121" hidden="1">
      <c r="A121" s="8" t="inlineStr">
        <is>
          <t>12.99.1</t>
        </is>
      </c>
      <c r="B121" s="9" t="inlineStr">
        <is>
          <t>תוספת עבור כיפוף קבוע עליון + זכוכית מעוגלת</t>
        </is>
      </c>
      <c r="C121" s="10" t="inlineStr">
        <is>
          <t>קומפ'</t>
        </is>
      </c>
      <c r="D121" s="11" t="n">
        <v>0</v>
      </c>
      <c r="E121" s="12" t="n">
        <v>6162.464985994397</v>
      </c>
      <c r="F121" s="13">
        <f>IF(E121="","",E121*0.15)</f>
        <v>924.3697478991594</v>
      </c>
      <c r="G121" s="13">
        <f>IF(E121="","",E121*0.05)</f>
        <v>308.1232492997199</v>
      </c>
      <c r="H121" s="13">
        <f>IF(E121="","",E121*1.05*0.85)</f>
        <v>5499.999999999999</v>
      </c>
      <c r="I121" s="11">
        <f>IF(D121="","",H121*D121)</f>
        <v>0</v>
      </c>
    </row>
    <row r="122" hidden="1">
      <c r="A122" s="8" t="inlineStr">
        <is>
          <t>60.020.0105</t>
        </is>
      </c>
      <c r="B122" s="9" t="inlineStr">
        <is>
          <t>צוות חשמלאים - 2 פועלים (חשמלאי מוסמך ועוזר) - לרבות ציוד ורכב/טנדר למרחק עד 70 ק"מ. הסעיף הינו עבור קריאה מיוחדת, לאחר סיום העבודה או באישור מיוחד של המפקח, ובתנאי שלא ניתן לתמחר את העבודה לפי סעיפים אחרים והיא אינה כלולה כחלק מחובת תיקון הליקויים של הקבלן. מחיר ליום עבודה לפי 8 ש"ע, בשעות רגילות</t>
        </is>
      </c>
      <c r="C122" s="10" t="inlineStr">
        <is>
          <t>י"ע</t>
        </is>
      </c>
      <c r="D122" s="11" t="n">
        <v>0</v>
      </c>
      <c r="E122" s="12" t="n">
        <v>3500</v>
      </c>
      <c r="F122" s="13">
        <f>IF(E122="","",E122*0.15)</f>
        <v>525</v>
      </c>
      <c r="G122" s="13">
        <f>IF(E122="","",E122*0.05)</f>
        <v>175</v>
      </c>
      <c r="H122" s="13">
        <f>IF(E122="","",E122*1.05*0.85)</f>
        <v>3123.75</v>
      </c>
      <c r="I122" s="11">
        <f>IF(D122="","",H122*D122)</f>
        <v>0</v>
      </c>
    </row>
    <row r="123" hidden="1">
      <c r="A123" s="8" t="inlineStr">
        <is>
          <t>60.010.0120</t>
        </is>
      </c>
      <c r="B123" s="9" t="inlineStr">
        <is>
          <t>צוות רצפים - 2 פועלים (רצף/חפאי מקצועי ועוזר) - לרבות ציוד ורכב/טנדר למרחק עד 70 ק"מ. הסעיף הינו עבור קריאה מיוחדת, לאחר סיום העבודה או באישור מיוחד של המפקח, ובתנאי שלא ניתן לתמחר את העבודה לפי סעיפים אחרים והיא אינה כלולה כחלק מחובת תיקון הליקויים של הקבלן. מחיר ליום עבודה לפי 8 ש"ע, בשעות רגילות</t>
        </is>
      </c>
      <c r="C123" s="10" t="inlineStr">
        <is>
          <t>י"ע</t>
        </is>
      </c>
      <c r="D123" s="11" t="n">
        <v>0</v>
      </c>
      <c r="E123" s="12" t="n">
        <v>3650</v>
      </c>
      <c r="F123" s="13">
        <f>IF(E123="","",E123*0.15)</f>
        <v>547.5</v>
      </c>
      <c r="G123" s="13">
        <f>IF(E123="","",E123*0.05)</f>
        <v>182.5</v>
      </c>
      <c r="H123" s="13">
        <f>IF(E123="","",E123*1.05*0.85)</f>
        <v>3257.625</v>
      </c>
      <c r="I123" s="11">
        <f>IF(D123="","",H123*D123)</f>
        <v>0</v>
      </c>
    </row>
    <row r="124" hidden="1">
      <c r="A124" s="8" t="inlineStr">
        <is>
          <t>60.010.0110</t>
        </is>
      </c>
      <c r="B124" s="9" t="inlineStr">
        <is>
          <t>צוות בניה - 2 פועלים (פועל בניה מקצועי ועוזר) - לרבות ציוד ורכב/טנדר למרחק עד 70 ק"מ. הסעיף הינו עבור קריאה מיוחדת, לאחר סיום העבודה או באישור מיוחד של המפקח, ובתנאי שלא ניתן לתמחר את העבודה לפי סעיפים אחרים והיא אינה כלולה כחלק מחובת תיקון הליקויים של הקבלן. מחיר ליום עבודה לפי 8 ש"ע, בשעות רגילות</t>
        </is>
      </c>
      <c r="C124" s="10" t="inlineStr">
        <is>
          <t>י"ע</t>
        </is>
      </c>
      <c r="D124" s="11" t="n">
        <v>0</v>
      </c>
      <c r="E124" s="12" t="n">
        <v>3550</v>
      </c>
      <c r="F124" s="13">
        <f>IF(E124="","",E124*0.15)</f>
        <v>532.5</v>
      </c>
      <c r="G124" s="13">
        <f>IF(E124="","",E124*0.05)</f>
        <v>177.5</v>
      </c>
      <c r="H124" s="13">
        <f>IF(E124="","",E124*1.05*0.85)</f>
        <v>3168.375</v>
      </c>
      <c r="I124" s="11">
        <f>IF(D124="","",H124*D124)</f>
        <v>0</v>
      </c>
    </row>
    <row r="125">
      <c r="A125" s="15" t="n"/>
      <c r="B125" s="16" t="inlineStr">
        <is>
          <t>01 - עבודות עפר</t>
        </is>
      </c>
      <c r="C125" s="17" t="n"/>
      <c r="D125" s="18" t="n"/>
      <c r="E125" s="19" t="n"/>
      <c r="F125" s="18" t="n"/>
      <c r="G125" s="18" t="n"/>
      <c r="H125" s="18" t="n"/>
      <c r="I125" s="23">
        <f>SUMIF(A:A,"01.*",I:I)</f>
        <v>0</v>
      </c>
    </row>
    <row r="126">
      <c r="A126" s="15" t="n"/>
      <c r="B126" s="16" t="inlineStr">
        <is>
          <t>05 - עבודות איטום</t>
        </is>
      </c>
      <c r="C126" s="17" t="n"/>
      <c r="D126" s="18" t="n"/>
      <c r="E126" s="19" t="n"/>
      <c r="F126" s="18" t="n"/>
      <c r="G126" s="18" t="n"/>
      <c r="H126" s="18" t="n"/>
      <c r="I126" s="23">
        <f>SUMIF(A:A,"05.*",I:I)</f>
        <v>0</v>
      </c>
    </row>
    <row r="127">
      <c r="A127" s="15" t="n"/>
      <c r="B127" s="16" t="inlineStr">
        <is>
          <t>09 - עבודות טיח</t>
        </is>
      </c>
      <c r="C127" s="17" t="n"/>
      <c r="D127" s="18" t="n"/>
      <c r="E127" s="19" t="n"/>
      <c r="F127" s="18" t="n"/>
      <c r="G127" s="18" t="n"/>
      <c r="H127" s="18" t="n"/>
      <c r="I127" s="23">
        <f>SUMIF(A:A,"09.*",I:I)</f>
        <v>1825.5552</v>
      </c>
    </row>
    <row r="128">
      <c r="A128" s="15" t="n"/>
      <c r="B128" s="16" t="inlineStr">
        <is>
          <t>11 - עבודות צביעה</t>
        </is>
      </c>
      <c r="C128" s="17" t="n"/>
      <c r="D128" s="18" t="n"/>
      <c r="E128" s="19" t="n"/>
      <c r="F128" s="18" t="n"/>
      <c r="G128" s="18" t="n"/>
      <c r="H128" s="18" t="n"/>
      <c r="I128" s="23">
        <f>SUMIF(A:A,"11.*",I:I)</f>
        <v>6318.9</v>
      </c>
    </row>
    <row r="129">
      <c r="A129" s="15" t="n"/>
      <c r="B129" s="16" t="inlineStr">
        <is>
          <t>12 - עבודות אלומיניום</t>
        </is>
      </c>
      <c r="C129" s="17" t="n"/>
      <c r="D129" s="18" t="n"/>
      <c r="E129" s="19" t="n"/>
      <c r="F129" s="18" t="n"/>
      <c r="G129" s="18" t="n"/>
      <c r="H129" s="18" t="n"/>
      <c r="I129" s="23">
        <f>SUMIF(A:A,"12.*",I:I)</f>
        <v>66456.0711545</v>
      </c>
    </row>
    <row r="130">
      <c r="A130" s="15" t="n"/>
      <c r="B130" s="16" t="inlineStr">
        <is>
          <t>15 - מתקני מיזוג אוויר</t>
        </is>
      </c>
      <c r="C130" s="17" t="n"/>
      <c r="D130" s="18" t="n"/>
      <c r="E130" s="19" t="n"/>
      <c r="F130" s="18" t="n"/>
      <c r="G130" s="18" t="n"/>
      <c r="H130" s="18" t="n"/>
      <c r="I130" s="23">
        <f>SUMIF(A:A,"15.*",I:I)</f>
        <v>3745.37625</v>
      </c>
    </row>
    <row r="131">
      <c r="A131" s="15" t="n"/>
      <c r="B131" s="16" t="inlineStr">
        <is>
          <t>22 - אלמנטים מתועשים</t>
        </is>
      </c>
      <c r="C131" s="17" t="n"/>
      <c r="D131" s="18" t="n"/>
      <c r="E131" s="19" t="n"/>
      <c r="F131" s="18" t="n"/>
      <c r="G131" s="18" t="n"/>
      <c r="H131" s="18" t="n"/>
      <c r="I131" s="23">
        <f>SUMIF(A:A,"22.*",I:I)</f>
        <v>0</v>
      </c>
    </row>
    <row r="132">
      <c r="A132" s="15" t="n"/>
      <c r="B132" s="16" t="inlineStr">
        <is>
          <t>וילונות - 30</t>
        </is>
      </c>
      <c r="C132" s="17" t="n"/>
      <c r="D132" s="18" t="n"/>
      <c r="E132" s="19" t="n"/>
      <c r="F132" s="18" t="n"/>
      <c r="G132" s="18" t="n"/>
      <c r="H132" s="18" t="n"/>
      <c r="I132" s="23">
        <f>SUMIF(A:A,"30.*",I:I)</f>
        <v>812.4606000000001</v>
      </c>
    </row>
    <row r="133">
      <c r="A133" s="15" t="n"/>
      <c r="B133" s="16" t="inlineStr">
        <is>
          <t>60 - מחירי שעות עבודה ושכירת ציוד</t>
        </is>
      </c>
      <c r="C133" s="17" t="n"/>
      <c r="D133" s="18" t="n"/>
      <c r="E133" s="19" t="n"/>
      <c r="F133" s="18" t="n"/>
      <c r="G133" s="18" t="n"/>
      <c r="H133" s="18" t="n"/>
      <c r="I133" s="23">
        <f>SUMIF(A:A,"60.*",I:I)</f>
        <v>3146.0625</v>
      </c>
    </row>
    <row r="134">
      <c r="A134" s="15" t="n"/>
      <c r="B134" s="16" t="inlineStr">
        <is>
          <t>85 - חומרי איטום ובידוד תרמי</t>
        </is>
      </c>
      <c r="C134" s="17" t="n"/>
      <c r="D134" s="18" t="n"/>
      <c r="E134" s="19" t="n"/>
      <c r="F134" s="18" t="n"/>
      <c r="G134" s="18" t="n"/>
      <c r="H134" s="18" t="n"/>
      <c r="I134" s="23">
        <f>SUMIF(A:A,"85.*",I:I)</f>
        <v>265.4821721311475</v>
      </c>
    </row>
    <row r="135">
      <c r="A135" s="15" t="n"/>
      <c r="B135" s="16" t="inlineStr">
        <is>
          <t>95 - חומרים</t>
        </is>
      </c>
      <c r="C135" s="17" t="n"/>
      <c r="D135" s="18" t="n"/>
      <c r="E135" s="19" t="n"/>
      <c r="F135" s="18" t="n"/>
      <c r="G135" s="18" t="n"/>
      <c r="H135" s="18" t="n"/>
      <c r="I135" s="23">
        <f>SUMIF(A:A,"95.*",I:I)</f>
        <v>133.875</v>
      </c>
    </row>
    <row r="136">
      <c r="A136" s="20" t="n"/>
      <c r="B136" s="21" t="inlineStr">
        <is>
          <t>סה"כ עלות</t>
        </is>
      </c>
      <c r="C136" s="17" t="n"/>
      <c r="D136" s="18" t="n"/>
      <c r="E136" s="19" t="n"/>
      <c r="F136" s="22" t="n"/>
      <c r="G136" s="22" t="n"/>
      <c r="H136" s="22" t="n"/>
      <c r="I136" s="22">
        <f>SUM(I125:I135)</f>
        <v>82703.78287663114</v>
      </c>
    </row>
    <row r="137">
      <c r="A137" s="20" t="n"/>
      <c r="B137" s="21" t="inlineStr">
        <is>
          <t>מע"מ בשיעור 18%</t>
        </is>
      </c>
      <c r="C137" s="17" t="n"/>
      <c r="D137" s="18" t="n"/>
      <c r="E137" s="19" t="n"/>
      <c r="F137" s="22" t="n"/>
      <c r="G137" s="22" t="n"/>
      <c r="H137" s="22" t="n"/>
      <c r="I137" s="22">
        <f>(I136*(1/100*18))</f>
        <v>14886.680917793605</v>
      </c>
    </row>
    <row r="138">
      <c r="A138" s="20" t="n"/>
      <c r="B138" s="21" t="inlineStr">
        <is>
          <t>סה"כ עלות כולל מע"מ</t>
        </is>
      </c>
      <c r="C138" s="17" t="n"/>
      <c r="D138" s="18" t="n"/>
      <c r="E138" s="19" t="n"/>
      <c r="F138" s="22" t="n"/>
      <c r="G138" s="22" t="n"/>
      <c r="H138" s="22" t="n"/>
      <c r="I138" s="22">
        <f>I136+I137</f>
        <v>97590.46379442475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2026-10-06T17:55:39Z</dcterms:created>
  <dcterms:modified xmlns:dcterms="http://purl.org/dc/terms/" xmlns:xsi="http://www.w3.org/2001/XMLSchema-instance" xsi:type="dcterms:W3CDTF">2026-10-06T17:55:41Z</dcterms:modified>
</cp:coreProperties>
</file>