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549" sheetId="1" state="visible" r:id="rId3"/>
    <sheet name="פירוט כמויות"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<sst xmlns="http://schemas.openxmlformats.org/spreadsheetml/2006/main" count="631" uniqueCount="365">
  <si>
    <t xml:space="preserve">כהן אלדן</t>
  </si>
  <si>
    <t xml:space="preserve">1549</t>
  </si>
  <si>
    <t xml:space="preserve">נתוני מדידה גולמיים (קלט מריכוז כמויות)</t>
  </si>
  <si>
    <t xml:space="preserve">שדה</t>
  </si>
  <si>
    <t xml:space="preserve">ערך</t>
  </si>
  <si>
    <t xml:space="preserve">מס' חדרים</t>
  </si>
  <si>
    <t xml:space="preserve">היקף כולל</t>
  </si>
  <si>
    <t xml:space="preserve">שטח ויטרינה</t>
  </si>
  <si>
    <t xml:space="preserve">סעיף</t>
  </si>
  <si>
    <t xml:space="preserve">תאור</t>
  </si>
  <si>
    <t xml:space="preserve">יח'</t>
  </si>
  <si>
    <t xml:space="preserve">כמות</t>
  </si>
  <si>
    <t xml:space="preserve">מחיר</t>
  </si>
  <si>
    <t xml:space="preserve">הנחת קבלן 15%</t>
  </si>
  <si>
    <t xml:space="preserve">תוספת דירה מאוכלסת 5%</t>
  </si>
  <si>
    <t xml:space="preserve">סה"כ מחיר יחידה</t>
  </si>
  <si>
    <t xml:space="preserve">סה"כ אחרי הנחה</t>
  </si>
  <si>
    <t xml:space="preserve">שטח קיפ+קבוע</t>
  </si>
  <si>
    <t xml:space="preserve">60.020.0090</t>
  </si>
  <si>
    <t xml:space="preserve">חשמלאי מוסמך</t>
  </si>
  <si>
    <t xml:space="preserve">ש"ע</t>
  </si>
  <si>
    <t xml:space="preserve">שטח רשת כולל</t>
  </si>
  <si>
    <t xml:space="preserve">09</t>
  </si>
  <si>
    <t xml:space="preserve">עבודות טיח</t>
  </si>
  <si>
    <t xml:space="preserve">מס' חלונות עד 2 מ"ר</t>
  </si>
  <si>
    <t xml:space="preserve">09.011</t>
  </si>
  <si>
    <t xml:space="preserve">טיח פנים</t>
  </si>
  <si>
    <t xml:space="preserve">מס' חלונות מעל 2 מ"ר ועד 3 מ"ר</t>
  </si>
  <si>
    <t xml:space="preserve">09.011.9030</t>
  </si>
  <si>
    <t xml:space="preserve">תיקוני טיח פנים קיים על שטחים מישוריים ברצועות רוחב מעל 15 ס"מ ועד 30 ס"מ לאחר הנחת קווי מים, חשמל וכד' בקירות, סביב משקופי חלונות ודלתות שהורכבו בקירות קיימים, במפגשים בין קירות ו/או תקרות חדשים לקיימים הכל לרבות סיתות והתאמת עובי הטיח החדש לקיים</t>
  </si>
  <si>
    <t xml:space="preserve">מ'</t>
  </si>
  <si>
    <t xml:space="preserve">מספר חלונות מעל 3 מ"ר ועד 5 מ"ר</t>
  </si>
  <si>
    <t xml:space="preserve">11</t>
  </si>
  <si>
    <t xml:space="preserve">עבודות צביעה</t>
  </si>
  <si>
    <t xml:space="preserve">רוחב 0-100</t>
  </si>
  <si>
    <t xml:space="preserve">11.011</t>
  </si>
  <si>
    <t xml:space="preserve">צבע וסיוד פנים, על טיח, בטון, בלוקים וגבס</t>
  </si>
  <si>
    <t xml:space="preserve">רוחב 101-150</t>
  </si>
  <si>
    <t xml:space="preserve">11.011.9660</t>
  </si>
  <si>
    <t xml:space="preserve">חידוש צבע פנים על קירות בדירת חדר מרוהטת בשטח 25-35 מ"ר ובגובה עד 2.70 מ'. הקירות ייצבעו בצבע אקרילי, ללא צביעת התקרות, לרבות הסרת צבע רופף, תיקונים קלים וסתימת חורים, ליטוש הקיר וניקוי שאריות הצבע בגמר העבודה</t>
  </si>
  <si>
    <t xml:space="preserve">קומפ</t>
  </si>
  <si>
    <t xml:space="preserve">רוחב 151-200</t>
  </si>
  <si>
    <t xml:space="preserve">רוחב 201-250</t>
  </si>
  <si>
    <t xml:space="preserve">12</t>
  </si>
  <si>
    <t xml:space="preserve">עבודות אלומיניום</t>
  </si>
  <si>
    <t xml:space="preserve">רוחב 251-300</t>
  </si>
  <si>
    <t xml:space="preserve">12.011</t>
  </si>
  <si>
    <t xml:space="preserve">חלון אלומיניום נגרר אגף על אגף (הזזה) של 2 אגפים ב-2 מסלולים</t>
  </si>
  <si>
    <t xml:space="preserve">רוחב 301-350</t>
  </si>
  <si>
    <t xml:space="preserve">12.011.0210</t>
  </si>
  <si>
    <t xml:space="preserve">חלון נגרר אגף על אגף של 2 אגפים ב-2 מסלולים מאולגן/צבוע כדוגמת קליל קלאסי 7000 או ש"ע, זכוכית שקופה בידודית 5+6+6 מ"מ, בשטח מעל 1.0 מ"ר ועד 2.0 מ"ר</t>
  </si>
  <si>
    <t xml:space="preserve">מ"ר</t>
  </si>
  <si>
    <t xml:space="preserve">רוחב 351-400</t>
  </si>
  <si>
    <t xml:space="preserve">12.011.0260</t>
  </si>
  <si>
    <t xml:space="preserve">חלון נגרר אגף על אגף של 2 אגפים ב-2 מסלולים מאולגן/צבוע כדוגמת קליל קלאסי 9000 או ש"ע, זכוכית שקופה בידודית 5+6+6 מ"מ, בשטח מעל 0.6 מ"ר ועד 1.0 מ"ר</t>
  </si>
  <si>
    <t xml:space="preserve">רוחב 401-450</t>
  </si>
  <si>
    <t xml:space="preserve">12.011.0265</t>
  </si>
  <si>
    <t xml:space="preserve">חלון נגרר אגף על אגף של 2 אגפים ב-2 מסלולים מאולגן/צבוע כדוגמת קליל קלאסי 9000 או ש"ע, זכוכית שקופה בידודית 5+6+6 מ"מ, בשטח מעל 1.0 מ"ר ועד 2.0 מ"ר</t>
  </si>
  <si>
    <t xml:space="preserve">קומה 0-3</t>
  </si>
  <si>
    <t xml:space="preserve">12.011.0270</t>
  </si>
  <si>
    <t xml:space="preserve">חלון נגרר אגף על אגף של 2 אגפים ב-2 מסלולים מאולגן/צבוע כדוגמת קליל קלאסי 9000 או ש"ע, זכוכית שקופה בידודית מחוסמת דו צדדי 6+10+8 מ"מ, בשטח מעל 2.0 מ"ר ועד 3.0 מ"ר</t>
  </si>
  <si>
    <t xml:space="preserve">קומה 4-7</t>
  </si>
  <si>
    <t xml:space="preserve">12.011.0275</t>
  </si>
  <si>
    <t xml:space="preserve">חלון נגרר אגף על אגף של 2 אגפים ב-2 מסלולים מאולגן/צבוע כדוגמת קליל קלאסי 9000 או ש"ע, זכוכית שקופה בידודית מחוסמת דו צדדי 6+10+8 מ"מ, בשטח מעל 3.0 מ"ר ועד 4.0 מ"ר</t>
  </si>
  <si>
    <t xml:space="preserve">קומה 7 ומעלה</t>
  </si>
  <si>
    <t xml:space="preserve">12.011.0280</t>
  </si>
  <si>
    <t xml:space="preserve">חלון נגרר אגף על אגף של 2 אגפים ב-2 מסלולים מאולגן/צבוע כדוגמת קליל קלאסי 9000 או ש"ע, זכוכית שקופה בידודית מחוסמת דו צדדי 6+10+10 מ"מ, בשטח מעל 4.0 מ"ר ועד 5.0 מ"ר</t>
  </si>
  <si>
    <t xml:space="preserve">שטח תריסים לחלונות (אור)</t>
  </si>
  <si>
    <t xml:space="preserve">12.011.0285</t>
  </si>
  <si>
    <t xml:space="preserve">חלון נגרר אגף על אגף של 2 אגפים ב-2 מסלולים מאולגן/צבוע כדוגמת קליל קלאסי 9000 או ש"ע, זכוכית שקופה בידודית מחוסמת דו צדדי 6+10+8 מ"מ, בשטח מעל 5.0 מ"ר ועד 6.0 מ"ר</t>
  </si>
  <si>
    <t xml:space="preserve">שטח תריסים לדלתות (אור)</t>
  </si>
  <si>
    <t xml:space="preserve">12.012.0100</t>
  </si>
  <si>
    <t xml:space="preserve">חלון נגרר אגף על אגף של 3 אגפים ב-3 מסלולים מאולגן/צבוע כדוגמת קליל קלאסי 9000 או ש"ע, זכוכית שקופה בידודית 5+6+6 מ"מ, בשטח מעל 1.0 מ"ר ועד 2.0 מ"ר</t>
  </si>
  <si>
    <t xml:space="preserve">כמות מנוע עד 20</t>
  </si>
  <si>
    <t xml:space="preserve">12.012.0110</t>
  </si>
  <si>
    <t xml:space="preserve">חלון נגרר אגף על אגף של 3 אגפים ב-3 מסלולים מאולגן/צבוע כדוגמת קליל קלאסי 9000 או ש"ע, זכוכית שקופה בידודית 5+6+6 מ"מ, בשטח מעל 2.0 מ"ר ועד 3.0 מ"ר</t>
  </si>
  <si>
    <t xml:space="preserve">כמות מנוע 20–30</t>
  </si>
  <si>
    <t xml:space="preserve">12.012.0120</t>
  </si>
  <si>
    <t xml:space="preserve">חלון נגרר אגף על אגף של 3 אגפים ב-3 מסלולים מאולגן/צבוע כדוגמת קליל קלאסי 9000 או ש"ע, זכוכית שקופה בידודית מחוסמת דו צדדי 6+10+8 מ"מ, בשטח מעל 3.0 מ"ר ועד 5.0 מ"ר</t>
  </si>
  <si>
    <t xml:space="preserve">כמות מנוע 30–50</t>
  </si>
  <si>
    <t xml:space="preserve">12.012.0130</t>
  </si>
  <si>
    <t xml:space="preserve">חלון נגרר אגף על אגף של 3 אגפים ב-3 מסלולים מאולגן/צבוע כדוגמת קליל קלאסי 9000 או ש"ע, זכוכית שקופה בידודית מחוסמת דו צדדי 6+10+8 מ"מ, בשטח מעל 5.0 מ"ר ועד 7.0 מ"ר</t>
  </si>
  <si>
    <t xml:space="preserve">כמות מנוע 50–70</t>
  </si>
  <si>
    <t xml:space="preserve">12.012.0560</t>
  </si>
  <si>
    <t xml:space="preserve">חלון נגרר אגף על אגף של 4 אגפים ב-2 מסלולים מאולגן/צבוע כדוגמת קליל קלאסי 9000 או ש"ע, זכוכית שקופה בידודית 6+10+8 מ"מ, בשטח מעל 3.0 מ"ר ועד 5.0 מ"ר</t>
  </si>
  <si>
    <t xml:space="preserve">כמות מנוע 70–90</t>
  </si>
  <si>
    <t xml:space="preserve">12.011.1001</t>
  </si>
  <si>
    <t xml:space="preserve">תוספת עבור חלק קבוע בחלון נגרר אגף על אגף של 2 אגפים. התוספת הינה 15% למחיר מ"ר של החלון</t>
  </si>
  <si>
    <t xml:space="preserve">כמות מנוע 90–120+</t>
  </si>
  <si>
    <t xml:space="preserve">12.011.9000</t>
  </si>
  <si>
    <t xml:space="preserve">פירוק חלונות אלומיניום ומשקופיהם בשטח של עד 2 מ"ר</t>
  </si>
  <si>
    <t xml:space="preserve">כמות טיפול בארגז</t>
  </si>
  <si>
    <t xml:space="preserve">12.011.9016</t>
  </si>
  <si>
    <t xml:space="preserve">פירוק חלונות אלומיניום ומשקופיהם בשטח של מעל 2 מ"ר ועד 3 מ"ר</t>
  </si>
  <si>
    <t xml:space="preserve">סה"כ טקסאונד</t>
  </si>
  <si>
    <t xml:space="preserve">12.011.9017</t>
  </si>
  <si>
    <t xml:space="preserve">פירוק חלונות אלומיניום ומשקופיהם בשטח של מעל 3 מ"ר ועד 5 מ"ר</t>
  </si>
  <si>
    <t xml:space="preserve">שטח הזזה</t>
  </si>
  <si>
    <t xml:space="preserve">12.014</t>
  </si>
  <si>
    <t xml:space="preserve">חלון אלומיניום ציר צד וחלון דו-צירי סב-נטוי (DREH-KIPP)</t>
  </si>
  <si>
    <t xml:space="preserve">שטח הזזה+קבוע</t>
  </si>
  <si>
    <t xml:space="preserve">12.014.0400</t>
  </si>
  <si>
    <t xml:space="preserve">חלון ציר-צד מאולגן/צבוע כדוגמת קליל קלאסי 4500 או ש"ע, זכוכית שקופה בידודית 5+6+6 מ"מ, בשטח מעל 0.6 מ"ר ועד 1.0 מ"ר</t>
  </si>
  <si>
    <t xml:space="preserve">שטח קיפ</t>
  </si>
  <si>
    <t xml:space="preserve">12.014.0650</t>
  </si>
  <si>
    <t xml:space="preserve">שטח חלון ציר</t>
  </si>
  <si>
    <t xml:space="preserve">12.014.0660</t>
  </si>
  <si>
    <t xml:space="preserve">חלון דו-צירי סב נטוי (דריי קיפ), מאולגן/צבוע כדוגמת קליל קלאסי 4500 או ש"ע, זכוכית שקופה בידודית מחוסמת דו צדדי 6+10+8 מ"מ, בשטח מעל 1.0 מ"ר ועד 2.0 מ"ר</t>
  </si>
  <si>
    <t xml:space="preserve">שטח תריסים לחלונות</t>
  </si>
  <si>
    <t xml:space="preserve">12.016</t>
  </si>
  <si>
    <t xml:space="preserve">חלון אלומיניום קיפ וחלון קבוע</t>
  </si>
  <si>
    <t xml:space="preserve">שטח תריסים לדלתות</t>
  </si>
  <si>
    <t xml:space="preserve">12.016.0600</t>
  </si>
  <si>
    <t xml:space="preserve">חלון קבוע כדוגמת קליל קלאסי 4500 או ש"ע, זכוכית שקופה בידודית 5+6+6 מ"מ, בשטח מעל 0.6 מ"ר ועד 1.0 מ"ר</t>
  </si>
  <si>
    <t xml:space="preserve">שטח דלת ציר</t>
  </si>
  <si>
    <t xml:space="preserve">12.016.0610</t>
  </si>
  <si>
    <t xml:space="preserve">חלון קבוע כדוגמת קליל קלאסי 4500 או ש"ע, זכוכית שקופה בידודית 5+6+6 מ"מ, בשטח מעל 1.0 מ"ר ועד 2.0 מ"ר</t>
  </si>
  <si>
    <t xml:space="preserve">מס' יחידות תריס לפירוק עד 2 מ"ר</t>
  </si>
  <si>
    <t xml:space="preserve">12.051</t>
  </si>
  <si>
    <t xml:space="preserve">דלתות/ויטרינות אלומיניום נגררות אגף על אגף (הזזה) של 2 אגפים</t>
  </si>
  <si>
    <t xml:space="preserve">סה"כ שטח תריס לפירוק מעל 2 מ"ר</t>
  </si>
  <si>
    <t xml:space="preserve">12.051.0460</t>
  </si>
  <si>
    <t xml:space="preserve">דלת נגררת אגף על אגף של 2 אגפים ב-2 מסלולים מאולגנת/צבועה כדוגמת קליל קלאסי 9000 או ש"ע, זכוכית מחוסמת בעובי 8 מ"מ, בשטח מעל 4.0 מ"ר ועד 6.0 מ"ר</t>
  </si>
  <si>
    <t xml:space="preserve">קיזוז זכוכית לארגז תריס</t>
  </si>
  <si>
    <t xml:space="preserve">12.051.0470</t>
  </si>
  <si>
    <t xml:space="preserve">דלת נגררת אגף על אגף של 2 אגפים ב-2 מסלולים מאולגנת/צבועה כדוגמת קליל קלאסי 9000 או ש"ע, זכוכית מחוסמת בעובי 8 מ"מ, בשטח מעל 6.0 מ"ר ועד 8.0 מ"ר</t>
  </si>
  <si>
    <t xml:space="preserve">12.052</t>
  </si>
  <si>
    <t xml:space="preserve">דלתות אלומיניום נגררות אגף על אגף (הזזה) של 3 אגפים ו-4 אגפים</t>
  </si>
  <si>
    <t xml:space="preserve">12.052.0020</t>
  </si>
  <si>
    <t xml:space="preserve">דלת נגררת אגף על אגף של 3 אגפים ב-3 מסלולים מאולגנת/צבועה כדוגמת קליל קלאסי 7000 או ש"ע, זכוכית מחוסמת בעובי 6 מ"מ, בשטח מעל 6.0 מ"ר ועד 8.0 מ"ר</t>
  </si>
  <si>
    <t xml:space="preserve">12.052.0070</t>
  </si>
  <si>
    <t xml:space="preserve">דלת נגררת אגף על אגף של 3 אגפים ב-3 מסלולים מאולגנת/צבועה כדוגמת קליל קלאסי 9000 או ש"ע, זכוכית מחוסמת בעובי 6 מ"מ, בשטח מעל 6.0 מ"ר ועד 8.0 מ"ר</t>
  </si>
  <si>
    <t xml:space="preserve">12.052.0080</t>
  </si>
  <si>
    <t xml:space="preserve">דלת נגררת אגף על אגף של 3 אגפים ב-3 מסלולים מאולגנת/צבועה כדוגמת קליל קלאסי 9000 או ש"ע, זכוכית מחוסמת בעובי 8 מ"מ, בשטח מעל 8.0 מ"ר ועד 10.0 מ"ר</t>
  </si>
  <si>
    <t xml:space="preserve">12.052.0260</t>
  </si>
  <si>
    <t xml:space="preserve">דלת נגררת אגף על אגף של 3 אגפים ב-3 מסלולים מאולגנת/צבועה כדוגמת קליל בלגי 7300 או ש"ע, זכוכית מחוסמת בעובי 6 מ"מ, בשטח מעל 6.0 מ"ר ועד 8.0 מ"ר</t>
  </si>
  <si>
    <t xml:space="preserve">12.053</t>
  </si>
  <si>
    <t xml:space="preserve">דלתות אלומיניום ציריות</t>
  </si>
  <si>
    <t xml:space="preserve">12.053.0200</t>
  </si>
  <si>
    <t xml:space="preserve">דלת ציר אגף אחד מאולגנת/צבועה כדוגמת קליל 4500 או ש"ע, זכוכית מחוסמת בעובי 6 מ"מ, בשטח עד 2.0 מ"ר</t>
  </si>
  <si>
    <t xml:space="preserve">12.053.0210</t>
  </si>
  <si>
    <t xml:space="preserve">דלת ציר אגף אחד מאולגנת/צבועה כדוגמת קליל 4500 או ש"ע, זכוכית מחוסמת בעובי 6 מ"מ, בשטח מעל 2.0 מ"ר ועד 3.0 מ"ר</t>
  </si>
  <si>
    <t xml:space="preserve">12.053.0450</t>
  </si>
  <si>
    <t xml:space="preserve">דלת ציר שני אגפים מאולגנת/צבועה כדוגמת קליל קלאסי 4500 או ש"ע, זכוכית מחוסמת בעובי 6 מ"מ, בשטח מעל 3.0 מ"ר ועד 4.0 מ"ר</t>
  </si>
  <si>
    <t xml:space="preserve">12.061</t>
  </si>
  <si>
    <t xml:space="preserve">ויטרינות כניסה מאלומיניום בשטחים ציבוריים</t>
  </si>
  <si>
    <t xml:space="preserve">12.061.9000</t>
  </si>
  <si>
    <t xml:space="preserve">פירוק ויטרינה מאלומיניום, לרבות המשקוף</t>
  </si>
  <si>
    <t xml:space="preserve">12.065</t>
  </si>
  <si>
    <t xml:space="preserve">תריסי רפפה ותריסי גלילה מאלומיניום ומנועים חשמליים לתריסים</t>
  </si>
  <si>
    <t xml:space="preserve">12.065.1611</t>
  </si>
  <si>
    <t xml:space="preserve">תריס גלילה עם רפפות מפח אלומיניום עם פוליאוריטן מוקצף לרבות ארגז תריס מונובלוק 40, בשטח מעל 0.6 מ"ר ועד 1.0 מ"ר</t>
  </si>
  <si>
    <t xml:space="preserve">12.065.1613</t>
  </si>
  <si>
    <t xml:space="preserve">תריס גלילה עם רפפות מפח אלומיניום עם פוליאוריטן מוקצף לרבות ארגז תריס מונובלוק 40, בשטח מעל 1.0 מ"ר ועד 3.0 מ"ר</t>
  </si>
  <si>
    <t xml:space="preserve">12.065.1615</t>
  </si>
  <si>
    <t xml:space="preserve">תריס גלילה עם רפפות מפח אלומיניום עם פוליאוריטן מוקצף לרבות ארגז תריס מונובלוק 40, בשטח מעל 3.0 מ"ר ועד 6.0 מ"ר</t>
  </si>
  <si>
    <t xml:space="preserve">12.065.1700</t>
  </si>
  <si>
    <t xml:space="preserve">תריס גלילה "תריס אור" עם רפפות מפח אלומיניום עם פוליאוריטן מוקצף לרבות ארגז תריס מונובלוק 40, בשטח מעל 0.6 מ"ר ועד 1.0 מ"ר</t>
  </si>
  <si>
    <t xml:space="preserve">12.065.1710</t>
  </si>
  <si>
    <t xml:space="preserve">תריס גלילה "תריס אור" עם רפפות מפח אלומיניום עם פוליאוריטן מוקצף לרבות ארגז תריס מונובלוק 40, בשטח מעל 1.0 מ"ר ועד 3.0 מ"ר</t>
  </si>
  <si>
    <t xml:space="preserve">12.065.1720</t>
  </si>
  <si>
    <t xml:space="preserve">תריס גלילה "תריס אור" עם רפפות מפח אלומיניום עם פוליאוריטן מוקצף לרבות ארגז תריס מונובלוק 40, בשטח מעל 3.0 מ"ר ועד 6.0 מ"ר</t>
  </si>
  <si>
    <t xml:space="preserve">12.065.1730</t>
  </si>
  <si>
    <t xml:space="preserve">תריס גלילה "תריס אור" עם רפפות מפח אלומיניום עם פוליאוריטן מוקצף לרבות ארגז תריס מונובלוק 40, בשטח מעל 6.0 מ"ר ועד 8.5 מ"ר</t>
  </si>
  <si>
    <t xml:space="preserve">12.065.1661</t>
  </si>
  <si>
    <t xml:space="preserve">תריס גלילה "תריס אור" עם רפפות מאלומיניום שחול (משוך) וחריצים גדולים בין השלבים, צבע לבן לרבות ארגז תריס מונובלוק 40, בשטח מעל 0.6 מ"ר ועד 1.0 מ"ר</t>
  </si>
  <si>
    <t xml:space="preserve">12.065.1671</t>
  </si>
  <si>
    <t xml:space="preserve">תריס גלילה "תריס אור" עם רפפות מאלומיניום שחול (משוך) וחריצים גדולים בין השלבים, צבע לבן לרבות ארגז תריס מונובלוק 40, בשטח מעל 1.0 מ"ר ועד 3.0 מ"ר</t>
  </si>
  <si>
    <t xml:space="preserve">12.065.1681</t>
  </si>
  <si>
    <t xml:space="preserve">תריס גלילה "תריס אור" עם רפפות מאלומיניום שחול (משוך) וחריצים גדולים בין השלבים, צבע לבן לרבות ארגז תריס מונובלוק 40, בשטח מעל 3.0 מ"ר ועד 6.0 מ"ר</t>
  </si>
  <si>
    <t xml:space="preserve">12.065.2000</t>
  </si>
  <si>
    <t xml:space="preserve">מנוע חשמלי לתריס במשקל עד 20 ק"ג, לא כולל נק' החשמל</t>
  </si>
  <si>
    <t xml:space="preserve">12.065.2010</t>
  </si>
  <si>
    <t xml:space="preserve">מנוע חשמלי לתריס במשקל מעל 20 ק"ג ועד 30 ק"ג, לא כולל נק' החשמל</t>
  </si>
  <si>
    <t xml:space="preserve">12.065.2020</t>
  </si>
  <si>
    <t xml:space="preserve">מנוע חשמלי לתריס במשקל מעל 30 ק"ג ועד 50 ק"ג, לא כולל נק' החשמל</t>
  </si>
  <si>
    <t xml:space="preserve">12.065.2030</t>
  </si>
  <si>
    <t xml:space="preserve">מנוע חשמלי לתריס במשקל מעל 50 ק"ג ועד 70 ק"ג, לא כולל נק' החשמל</t>
  </si>
  <si>
    <t xml:space="preserve">12.065.2040</t>
  </si>
  <si>
    <t xml:space="preserve">מנוע חשמלי לתריס במשקל מעל 70 ק"ג ועד 90 ק"ג, לא כולל נק' החשמל</t>
  </si>
  <si>
    <t xml:space="preserve">12.065.2050</t>
  </si>
  <si>
    <t xml:space="preserve">מנוע חשמלי לתריס במשקל מעל 90 ק"ג ועד 120 ק"ג, לא כולל נק' החשמל</t>
  </si>
  <si>
    <t xml:space="preserve">12.065.9000</t>
  </si>
  <si>
    <t xml:space="preserve">פירוק תריסי אלומיניום ומשקופיהם בשטח של עד 2 מ"ר</t>
  </si>
  <si>
    <t xml:space="preserve">12.065.9020</t>
  </si>
  <si>
    <t xml:space="preserve">פירוק תריסי אלומיניום ומשקופיהם בשטח של מעל 2 מ"ר</t>
  </si>
  <si>
    <t xml:space="preserve">12.065.9100</t>
  </si>
  <si>
    <t xml:space="preserve">פירוק ארגז תריס קיים במידות 35/100 ס"מ</t>
  </si>
  <si>
    <t xml:space="preserve">12.065.9110</t>
  </si>
  <si>
    <t xml:space="preserve">פירוק ארגז תריס קיים במידות 35/150 ס"מ</t>
  </si>
  <si>
    <t xml:space="preserve">12.065.0001</t>
  </si>
  <si>
    <t xml:space="preserve">פירוק ארגז תריס קיים 35/200</t>
  </si>
  <si>
    <t xml:space="preserve">12.065.0002</t>
  </si>
  <si>
    <t xml:space="preserve">פירוק ארגז תריס קיים 35/250</t>
  </si>
  <si>
    <t xml:space="preserve">12.065.0003</t>
  </si>
  <si>
    <t xml:space="preserve">פירוק ארגז תריס קיים 35/300</t>
  </si>
  <si>
    <t xml:space="preserve">12.065.0004</t>
  </si>
  <si>
    <t xml:space="preserve">פירוק ארגז תריס קיים 35/350</t>
  </si>
  <si>
    <t xml:space="preserve">12.065.0005</t>
  </si>
  <si>
    <t xml:space="preserve">פירוק ארגז תריס קיים 35/400</t>
  </si>
  <si>
    <t xml:space="preserve">12.065.0006</t>
  </si>
  <si>
    <t xml:space="preserve">פירוק ארגז תריס קיים 35/450</t>
  </si>
  <si>
    <t xml:space="preserve">12.067</t>
  </si>
  <si>
    <t xml:space="preserve">רשתות גלילה ורשתות יתושים</t>
  </si>
  <si>
    <t xml:space="preserve">12.067.9000</t>
  </si>
  <si>
    <t xml:space="preserve">פירוק רשתות יתושים, לרבות מסגרת</t>
  </si>
  <si>
    <t xml:space="preserve">12.067.0200</t>
  </si>
  <si>
    <t xml:space="preserve">רשת יתושים קטנה מפיברגלס, עבור חלון הזזה (הרשת על חצי הפתח) לרבות מסגרת מפרופיל אלומיניום מאולגן במידות 40/15 מ"מ, לרבות מסילה בתוך משקוף החלון, בשטח מעל 0.6 מ"ר ועד 1.0 מ"ר. המדידה לפי שטח הרשת</t>
  </si>
  <si>
    <t xml:space="preserve">12.067.0210</t>
  </si>
  <si>
    <t xml:space="preserve">רשת יתושים קטנה מפיברגלס, עבור חלון הזזה (הרשת על חצי הפתח) לרבות מסגרת מפרופיל אלומיניום מאולגן במידות 40/15 מ"מ, לרבות מסילה בתוך משקוף החלון, בשטח מעל 1.0 מ"ר ועד 2.0 מ"ר. המדידה לפי שטח הרשת</t>
  </si>
  <si>
    <t xml:space="preserve">12.068</t>
  </si>
  <si>
    <t xml:space="preserve">זכוכית לזיגוג דלתות וחלונות, ציפויי חלונות וקירות וזכוכית לסגירת מרפסות</t>
  </si>
  <si>
    <t xml:space="preserve">12.068.1320</t>
  </si>
  <si>
    <t xml:space="preserve">זכוכית בטחון 5+5 מ"מ עם 0.76 P.V.B</t>
  </si>
  <si>
    <t xml:space="preserve">12.068.1216</t>
  </si>
  <si>
    <t xml:space="preserve">זכוכית שקופה בידודית מחוסמת משני הצדדים 6+10+8 מ"מ</t>
  </si>
  <si>
    <t xml:space="preserve">12.068.1172</t>
  </si>
  <si>
    <t xml:space="preserve">זכוכית שקופה בידודית מחוסמת משני הצדדים 5+6+6 מ"מ</t>
  </si>
  <si>
    <t xml:space="preserve">12.068.1004</t>
  </si>
  <si>
    <t xml:space="preserve">זכוכית שטוחה מחוסמת בעובי 6 מ"מ</t>
  </si>
  <si>
    <t xml:space="preserve">12.068.0902</t>
  </si>
  <si>
    <t xml:space="preserve">זכוכית שטוחה שקופה בעובי 5 מ"מ</t>
  </si>
  <si>
    <t xml:space="preserve">12.068.1002</t>
  </si>
  <si>
    <t xml:space="preserve">זכוכית שטוחה מחוסמת בעובי 5 מ"מ</t>
  </si>
  <si>
    <t xml:space="preserve">12.068.1006</t>
  </si>
  <si>
    <t xml:space="preserve">זכוכית שטוחה מחוסמת בעובי 8 מ"מ</t>
  </si>
  <si>
    <t xml:space="preserve">15</t>
  </si>
  <si>
    <t xml:space="preserve">מתקני מיזוג אוויר</t>
  </si>
  <si>
    <t xml:space="preserve">15.041</t>
  </si>
  <si>
    <t xml:space="preserve">מזגנים מפוצלים ויחידות מיני מרכזיות</t>
  </si>
  <si>
    <t xml:space="preserve">15.041.1210</t>
  </si>
  <si>
    <t xml:space="preserve">מזגן מפוצל אינוורטר (התקנה סטנדרטית) כדוגמת "אלקטרה" או ש"ע לתפוקת קירור נומינלית BTU/HR 12,000 (1.2 כ"ס) לרבות 2.0 מ"א ראשונים של צנרת גז וחשמל, מותקן מושלם</t>
  </si>
  <si>
    <t xml:space="preserve">15.041.4010</t>
  </si>
  <si>
    <t xml:space="preserve">צנרת גז וחשמל למזגן עם מעטה למיזוג אוויר (צמ"א) הכוללת 2 צינורות נחושת מבודדים בקטרים "1/2, "7/8, צינור חשמל עם כבל רב גידי, הכל מאוגד יחדיו בשרוול (מעל 2.0 מ"א הראשונים הכלולים במחיר התקנת מזגן), לרבות מילוי גז ושמן כנדרש לתוספת צנרת זו</t>
  </si>
  <si>
    <t xml:space="preserve">30.050.9010</t>
  </si>
  <si>
    <t xml:space="preserve">פירוק צלונים/וילונות ונציאניים מסוגים שונים לשימוש חוזר, לרבות קונסטרוקצית תליה וכבלים</t>
  </si>
  <si>
    <t xml:space="preserve">60</t>
  </si>
  <si>
    <t xml:space="preserve">מחירי שעות עבודה ושכירת ציוד</t>
  </si>
  <si>
    <t xml:space="preserve">60.020</t>
  </si>
  <si>
    <t xml:space="preserve">ש"ע פועלי בנין - מחירי קבלן משנה</t>
  </si>
  <si>
    <t xml:space="preserve">60.010.0020</t>
  </si>
  <si>
    <t xml:space="preserve">פועל בנין פשוט</t>
  </si>
  <si>
    <t xml:space="preserve">60.010.0010</t>
  </si>
  <si>
    <t xml:space="preserve">פועל בנין מקצועי</t>
  </si>
  <si>
    <t xml:space="preserve">60.030</t>
  </si>
  <si>
    <t xml:space="preserve">ש"ע לשכירת ציוד מכני הנדסי, רכב משא ומיכליות מים</t>
  </si>
  <si>
    <t xml:space="preserve">60.030.0605</t>
  </si>
  <si>
    <t xml:space="preserve">משאית מנוף 23-30 טון, אורך זרוע 15-20 מ' (כושר הרמה לפי מפרט היצרן). המחיר הינו לשעתיים עבודה</t>
  </si>
  <si>
    <t xml:space="preserve">60.030.0634</t>
  </si>
  <si>
    <t xml:space="preserve">משאית מנוף 55-70 טון, אורך זרוע 30-35 מ' (כושר הרמה לפי מפרט היצרן). המחיר הינו לשעתיים עבודה</t>
  </si>
  <si>
    <t xml:space="preserve">60.030.0644</t>
  </si>
  <si>
    <t xml:space="preserve">משאית מנוף 95-100 טון, אורך זרוע 35-40 מ' (כושר הרמה לפי מפרט היצרן). המחיר הינו לשעתיים עבודה</t>
  </si>
  <si>
    <t xml:space="preserve">85</t>
  </si>
  <si>
    <t xml:space="preserve">חומרי איטום ובידוד תרמי</t>
  </si>
  <si>
    <t xml:space="preserve">85.095</t>
  </si>
  <si>
    <t xml:space="preserve">חומרים לבידוד תרמי ואקוסטי</t>
  </si>
  <si>
    <t xml:space="preserve">85.095.0950</t>
  </si>
  <si>
    <t xml:space="preserve">חומר בלבד: "דבטק" טקסאונד SY50 - יריעה פולימרית סינטטית לבידוד אקוסטי בעובי 2.5 מ"מ (מזרון דק), לא דליק, לקירות בבניין ותעשייה, משקל 5 ק"ג למ"ר - אריזת גליל 7.32 מ"ר, ברוחב 1.22 ובאורך 6.05 (המחיר ביח' לגליל)</t>
  </si>
  <si>
    <t xml:space="preserve">12.99.0001</t>
  </si>
  <si>
    <t xml:space="preserve">תוספת ידיות מיוחדות ומנגנון נעילה מיוחד לויטרינות</t>
  </si>
  <si>
    <t xml:space="preserve">12.99.0002</t>
  </si>
  <si>
    <t xml:space="preserve">תוספת ידיות מיוחדות ומנגנון נעילה מיוחד לחלונות</t>
  </si>
  <si>
    <t xml:space="preserve">12.093.0022</t>
  </si>
  <si>
    <t xml:space="preserve">תוספת עבור צבע מטאלי Fine Iron במראה מתכתי ובמרקם חלק בכל הגוונים. התוספת הינה 6% למחירי החלונות</t>
  </si>
  <si>
    <t xml:space="preserve">%</t>
  </si>
  <si>
    <t xml:space="preserve">60.020.0067</t>
  </si>
  <si>
    <t xml:space="preserve">צוות לעב' אלומיניום - 2 פועלים (מרכיב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</si>
  <si>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 xml:space="preserve">י"ע</t>
  </si>
  <si>
    <t xml:space="preserve">11.011.2000</t>
  </si>
  <si>
    <t xml:space="preserve">תוספת עבור צבע בגוון מעבר לבסיס "P". התוספת הינה 15% למחיר הצבע</t>
  </si>
  <si>
    <t xml:space="preserve">קומפ'</t>
  </si>
  <si>
    <t xml:space="preserve">12.99.1</t>
  </si>
  <si>
    <t xml:space="preserve">תוספת עבור כיפוף קבוע עליון + זכוכית מעוגלת</t>
  </si>
  <si>
    <t xml:space="preserve">60.020.0105</t>
  </si>
  <si>
    <t xml:space="preserve">צוות חשמלאים - 2 פועלים (חשמלאי מוסמך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</si>
  <si>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 xml:space="preserve">60.010.0120</t>
  </si>
  <si>
    <t xml:space="preserve">צוות רצפים - 2 פועלים (רצף/חפאי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</si>
  <si>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 xml:space="preserve">60.010.0110</t>
  </si>
  <si>
    <t xml:space="preserve">צוות בניה - 2 פועלים (פועל בניה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</si>
  <si>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r>
      <rPr>
        <sz val="11"/>
        <rFont val="Calibri"/>
        <family val="2"/>
        <charset val="1"/>
      </rPr>
      <t xml:space="preserve">01 - </t>
    </r>
    <r>
      <rPr>
        <sz val="11"/>
        <rFont val="FreeSans"/>
        <family val="2"/>
      </rPr>
      <t xml:space="preserve">עבודות עפר</t>
    </r>
  </si>
  <si>
    <r>
      <rPr>
        <sz val="11"/>
        <rFont val="Calibri"/>
        <family val="2"/>
        <charset val="1"/>
      </rPr>
      <t xml:space="preserve">05 - </t>
    </r>
    <r>
      <rPr>
        <sz val="11"/>
        <rFont val="FreeSans"/>
        <family val="2"/>
      </rPr>
      <t xml:space="preserve">עבודות איטום</t>
    </r>
  </si>
  <si>
    <r>
      <rPr>
        <sz val="11"/>
        <rFont val="Calibri"/>
        <family val="2"/>
        <charset val="1"/>
      </rPr>
      <t xml:space="preserve">09 - </t>
    </r>
    <r>
      <rPr>
        <sz val="11"/>
        <rFont val="FreeSans"/>
        <family val="2"/>
      </rPr>
      <t xml:space="preserve">עבודות טיח</t>
    </r>
  </si>
  <si>
    <r>
      <rPr>
        <sz val="11"/>
        <rFont val="Calibri"/>
        <family val="2"/>
        <charset val="1"/>
      </rPr>
      <t xml:space="preserve">11 - </t>
    </r>
    <r>
      <rPr>
        <sz val="11"/>
        <rFont val="FreeSans"/>
        <family val="2"/>
      </rPr>
      <t xml:space="preserve">עבודות צביעה</t>
    </r>
  </si>
  <si>
    <r>
      <rPr>
        <sz val="11"/>
        <rFont val="Calibri"/>
        <family val="2"/>
        <charset val="1"/>
      </rPr>
      <t xml:space="preserve">12 - </t>
    </r>
    <r>
      <rPr>
        <sz val="11"/>
        <rFont val="FreeSans"/>
        <family val="2"/>
      </rPr>
      <t xml:space="preserve">עבודות אלומיניום</t>
    </r>
  </si>
  <si>
    <r>
      <rPr>
        <sz val="11"/>
        <rFont val="Calibri"/>
        <family val="2"/>
        <charset val="1"/>
      </rPr>
      <t xml:space="preserve">15 - </t>
    </r>
    <r>
      <rPr>
        <sz val="11"/>
        <rFont val="FreeSans"/>
        <family val="2"/>
      </rPr>
      <t xml:space="preserve">מתקני מיזוג אוויר</t>
    </r>
  </si>
  <si>
    <r>
      <rPr>
        <sz val="11"/>
        <rFont val="Calibri"/>
        <family val="2"/>
        <charset val="1"/>
      </rPr>
      <t xml:space="preserve">22 - </t>
    </r>
    <r>
      <rPr>
        <sz val="11"/>
        <rFont val="FreeSans"/>
        <family val="2"/>
      </rPr>
      <t xml:space="preserve">אלמנטים מתועשים</t>
    </r>
  </si>
  <si>
    <t xml:space="preserve">וילונות - 30</t>
  </si>
  <si>
    <r>
      <rPr>
        <sz val="11"/>
        <rFont val="Calibri"/>
        <family val="2"/>
        <charset val="1"/>
      </rPr>
      <t xml:space="preserve">60 - </t>
    </r>
    <r>
      <rPr>
        <sz val="11"/>
        <rFont val="FreeSans"/>
        <family val="2"/>
      </rPr>
      <t xml:space="preserve">מחירי שעות עבודה ושכירת ציוד</t>
    </r>
  </si>
  <si>
    <r>
      <rPr>
        <sz val="11"/>
        <rFont val="Calibri"/>
        <family val="2"/>
        <charset val="1"/>
      </rPr>
      <t xml:space="preserve">85 - </t>
    </r>
    <r>
      <rPr>
        <sz val="11"/>
        <rFont val="FreeSans"/>
        <family val="2"/>
      </rPr>
      <t xml:space="preserve">חומרי איטום ובידוד תרמי</t>
    </r>
  </si>
  <si>
    <t xml:space="preserve">סה"כ עלות</t>
  </si>
  <si>
    <t xml:space="preserve">מע"מ בשיעור 18%</t>
  </si>
  <si>
    <t xml:space="preserve">סה"כ עלות כולל מע"מ</t>
  </si>
  <si>
    <t xml:space="preserve">פירוט כמויות</t>
  </si>
  <si>
    <t xml:space="preserve">הזמנה מס'</t>
  </si>
  <si>
    <t xml:space="preserve">כתובת</t>
  </si>
  <si>
    <t xml:space="preserve">מנחם בגין 48, קומה 5 דירה 14</t>
  </si>
  <si>
    <t xml:space="preserve">תיאור המדידה</t>
  </si>
  <si>
    <t xml:space="preserve">יח' מידה</t>
  </si>
  <si>
    <t xml:space="preserve">שטח חלונות הזזה</t>
  </si>
  <si>
    <t xml:space="preserve">מכיל את הסעיפים:</t>
  </si>
  <si>
    <t xml:space="preserve">אורך כפול רוחב החלון</t>
  </si>
  <si>
    <t xml:space="preserve">מס' סעיף</t>
  </si>
  <si>
    <t xml:space="preserve">תיאור סעיף</t>
  </si>
  <si>
    <t xml:space="preserve">חלון אגף על אגף</t>
  </si>
  <si>
    <t xml:space="preserve">תוספת עבור חלק קבוע</t>
  </si>
  <si>
    <t xml:space="preserve">תריס גלילה</t>
  </si>
  <si>
    <t xml:space="preserve">תוספת עבור צבע מטאלי</t>
  </si>
  <si>
    <t xml:space="preserve">מטר אורך היקף חלונות וויטרינות</t>
  </si>
  <si>
    <t xml:space="preserve">מטר</t>
  </si>
  <si>
    <t xml:space="preserve">פעמיים אורך החלון + פעמיים רוחב החלון
אם מדובר בויטרינה - רוחב החלון נמדד רק פעם אחת</t>
  </si>
  <si>
    <t xml:space="preserve">תיקוני טיח פנים על שטחים מישוריים</t>
  </si>
  <si>
    <t xml:space="preserve">מס' החדרים שבהם הוחלפו חלונות או ויטרינות
סלון+מטבח נמדדים כחדר וחצי</t>
  </si>
  <si>
    <t xml:space="preserve">חידוש צבע פנים לחדר כולל תיקונים</t>
  </si>
  <si>
    <t xml:space="preserve">מס' החלונות שפורקו</t>
  </si>
  <si>
    <t xml:space="preserve">מס' חלונות</t>
  </si>
  <si>
    <t xml:space="preserve">פירוק חלונות אלומיניום ומשקופיהם</t>
  </si>
  <si>
    <t xml:space="preserve">אורך כפול רוחב הויטרינה</t>
  </si>
  <si>
    <t xml:space="preserve">שטח ויטרינות</t>
  </si>
  <si>
    <t xml:space="preserve">הפחתת זכוכית שטוחה מחוסמת בעובי 6 מ"מ</t>
  </si>
  <si>
    <t xml:space="preserve">כמות המנועים שהוחלפו
פירוט הכמות נמצא בכתב הכמויות כדי לא להעמיס על המסמך</t>
  </si>
  <si>
    <t xml:space="preserve">מנועים חשמליים</t>
  </si>
  <si>
    <t xml:space="preserve">כמות ארגזי תריס שפורקו</t>
  </si>
  <si>
    <t xml:space="preserve">פירוק ארגז תריס</t>
  </si>
  <si>
    <t xml:space="preserve">פירוק ארגז תריס קיים 35/100</t>
  </si>
  <si>
    <t xml:space="preserve">פירוק ארגז תריס קיים 35/150</t>
  </si>
  <si>
    <t xml:space="preserve">בחלון - שטח חצי הפתח שקיבל רשת 
בויטרינה - שטח 2/3 מהפתח</t>
  </si>
  <si>
    <t xml:space="preserve">שטח רשתות</t>
  </si>
  <si>
    <t xml:space="preserve">פירוק רשתות</t>
  </si>
  <si>
    <t xml:space="preserve">12.067.0201</t>
  </si>
  <si>
    <t xml:space="preserve">התקנת רשתות</t>
  </si>
  <si>
    <t xml:space="preserve">ההובלה וההנפה שבוצעה לדירה בחירת מנוף לפי:</t>
  </si>
  <si>
    <t xml:space="preserve">הובלה והנפת ציוד</t>
  </si>
  <si>
    <t xml:space="preserve">דירה עם מעל 5 פריטים - כמות 2</t>
  </si>
  <si>
    <t xml:space="preserve">משאית מנוף 23-30 טון</t>
  </si>
  <si>
    <t xml:space="preserve">לדירות עד קומה 3</t>
  </si>
  <si>
    <t xml:space="preserve">משאית מנוף 55-70 טון</t>
  </si>
  <si>
    <t xml:space="preserve">לדירות מ3 עד 7</t>
  </si>
  <si>
    <t xml:space="preserve">משאית מנוף 95-100 טון</t>
  </si>
  <si>
    <t xml:space="preserve">לדירות מ8 עד 15</t>
  </si>
  <si>
    <t xml:space="preserve">החומר נמדד במ"ר כפרורטה ליחידת גליל במידות 6.05*1.22
החישוב הוא (כאשר r=רוחב החלון)
r*(0.3+0.2*2)+0.2*2*0.1
שתי פאות צדדיות + 2 פאות עליונות + פאת חזית</t>
  </si>
  <si>
    <t xml:space="preserve">חומר בידוד טקסאונד</t>
  </si>
  <si>
    <t xml:space="preserve">חומר בלבד: טקסאונד SY50</t>
  </si>
  <si>
    <t xml:space="preserve">שטח חלונות + שטח ויטרינות שהוחלפו</t>
  </si>
  <si>
    <t xml:space="preserve">שטח חלונות + ויטרינות</t>
  </si>
  <si>
    <t xml:space="preserve">פירוק צלונים/וילונות ונציאניים </t>
  </si>
  <si>
    <t xml:space="preserve">פירוק תריסי אלומיניום</t>
  </si>
  <si>
    <t xml:space="preserve">2 ש"ע לויטרינה + 1 ש"ע לחלון</t>
  </si>
  <si>
    <t xml:space="preserve">שעות עבודה פועל לטקסאונד</t>
  </si>
  <si>
    <t xml:space="preserve">ידיות סיבוביות לחלונות</t>
  </si>
  <si>
    <t xml:space="preserve">תוספת לגוון IRON</t>
  </si>
  <si>
    <t xml:space="preserve">תוספת עבור צבע מטאלי Fine Iron</t>
  </si>
  <si>
    <t xml:space="preserve">מחשב את הסעיפים הבאים:</t>
  </si>
  <si>
    <t xml:space="preserve">חלון נגרר אגף על אגף של 2 א...</t>
  </si>
  <si>
    <t xml:space="preserve">חלון נגרר אגף על אגף של 3 א...</t>
  </si>
  <si>
    <t xml:space="preserve">תוספת עבור חלק קבוע בחלון נ...</t>
  </si>
  <si>
    <t xml:space="preserve">חלון ציר-צד מאולגן/צבוע כדו...</t>
  </si>
  <si>
    <t xml:space="preserve">12.014.0410</t>
  </si>
  <si>
    <t xml:space="preserve">חלון דו-צירי סב נטוי (דריי ...</t>
  </si>
  <si>
    <t xml:space="preserve">חלון קבוע כדוגמת קליל קלאסי...</t>
  </si>
  <si>
    <t xml:space="preserve">דלת נגררת אגף על אגף של 3 א...</t>
  </si>
  <si>
    <t xml:space="preserve">דלת ציר אגף אחד מאולגנת/צבו...</t>
  </si>
  <si>
    <t xml:space="preserve">דלת ציר שני אגפים מאולגנת/צ...</t>
  </si>
  <si>
    <t xml:space="preserve">תריס גלילה עם רפפות מפח אלו...</t>
  </si>
  <si>
    <t xml:space="preserve">תריס גלילה "תריס אור" עם רפ...</t>
  </si>
  <si>
    <t xml:space="preserve">רשת יתושים קטנה מפיברגלס, ע...</t>
  </si>
</sst>
</file>

<file path=xl/styles.xml><?xml version="1.0" encoding="utf-8"?>
<styleSheet xmlns="http://schemas.openxmlformats.org/spreadsheetml/2006/main">
  <numFmts count="8">
    <numFmt numFmtId="164" formatCode="General"/>
    <numFmt numFmtId="165" formatCode="#,##0.00"/>
    <numFmt numFmtId="166" formatCode="@"/>
    <numFmt numFmtId="167" formatCode="_ &quot;₪ &quot;* #,##0_ ;_ &quot;₪ &quot;* \-#,##0_ ;_ &quot;₪ &quot;* \-??_ ;_ @_ "/>
    <numFmt numFmtId="168" formatCode="_ &quot;₪ &quot;* #,##0.00_ ;_ &quot;₪ &quot;* \-#,##0.00_ ;_ &quot;₪ &quot;* \-??_ ;_ @_ "/>
    <numFmt numFmtId="169" formatCode="General"/>
    <numFmt numFmtId="170" formatCode="#,##0"/>
    <numFmt numFmtId="171" formatCode="0.00"/>
  </numFmts>
  <fonts count="14">
    <font>
      <sz val="11"/>
      <color theme="1"/>
      <name val="Calibri"/>
      <family val="2"/>
      <charset val="1"/>
    </font>
    <font>
      <sz val="10"/>
      <name val="Arial"/>
      <family val="0"/>
    </font>
    <font>
      <sz val="10"/>
      <name val="Arial"/>
      <family val="0"/>
    </font>
    <font>
      <sz val="10"/>
      <name val="Arial"/>
      <family val="0"/>
    </font>
    <font>
      <b val="true"/>
      <sz val="11"/>
      <name val="FreeSans"/>
      <family val="2"/>
      <charset val="1"/>
    </font>
    <font>
      <sz val="11"/>
      <color theme="1"/>
      <name val="FreeSans"/>
      <family val="2"/>
      <charset val="1"/>
    </font>
    <font>
      <sz val="11"/>
      <color rgb="FF0000FF"/>
      <name val="Cambria"/>
      <family val="0"/>
      <charset val="1"/>
    </font>
    <font>
      <sz val="11"/>
      <name val="FreeSans"/>
      <family val="2"/>
      <charset val="1"/>
    </font>
    <font>
      <sz val="11"/>
      <name val="Calibri"/>
      <family val="2"/>
      <charset val="1"/>
    </font>
    <font>
      <sz val="11"/>
      <color theme="1"/>
      <name val="Arial"/>
      <family val="2"/>
      <charset val="177"/>
    </font>
    <font>
      <sz val="11"/>
      <name val="FreeSans"/>
      <family val="2"/>
    </font>
    <font>
      <b val="true"/>
      <sz val="11"/>
      <name val="Calibri"/>
      <family val="2"/>
      <charset val="1"/>
    </font>
    <font>
      <sz val="16"/>
      <color theme="1"/>
      <name val="Arial"/>
      <family val="2"/>
      <charset val="177"/>
    </font>
    <font>
      <b val="true"/>
      <sz val="11"/>
      <color theme="1"/>
      <name val="Arial"/>
      <family val="2"/>
      <charset val="1"/>
    </font>
  </fonts>
  <fills count="3">
    <fill>
      <patternFill patternType="none"/>
    </fill>
    <fill>
      <patternFill patternType="gray125"/>
    </fill>
    <fill>
      <patternFill patternType="solid">
        <fgColor rgb="FFC8C8C8"/>
        <bgColor rgb="FFCCCCFF"/>
      </patternFill>
    </fill>
  </fills>
  <borders count="12">
    <border diagonalUp="false" diagonalDown="false">
      <left/>
      <right/>
      <top/>
      <bottom/>
      <diagonal/>
    </border>
    <border diagonalUp="false" diagonalDown="false">
      <left style="thin"/>
      <right style="thin"/>
      <top style="double">
        <color rgb="FF008000"/>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bottom/>
      <diagonal/>
    </border>
    <border diagonalUp="false" diagonalDown="false">
      <left style="medium"/>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7" fillId="2" borderId="1" xfId="0" applyFont="true" applyBorder="true" applyAlignment="true" applyProtection="false">
      <alignment horizontal="right" vertical="bottom" textRotation="0" wrapText="true" indent="0" shrinkToFit="false"/>
      <protection locked="true" hidden="false"/>
    </xf>
    <xf numFmtId="164" fontId="7" fillId="2" borderId="1" xfId="0" applyFont="true" applyBorder="true" applyAlignment="true" applyProtection="false">
      <alignment horizontal="right" vertical="bottom" textRotation="0" wrapText="false" indent="0" shrinkToFit="true"/>
      <protection locked="true" hidden="false"/>
    </xf>
    <xf numFmtId="165" fontId="7" fillId="2" borderId="1" xfId="0" applyFont="true" applyBorder="true" applyAlignment="true" applyProtection="false">
      <alignment horizontal="right" vertical="bottom" textRotation="0" wrapText="false" indent="0" shrinkToFit="false"/>
      <protection locked="true" hidden="false"/>
    </xf>
    <xf numFmtId="165" fontId="7" fillId="2" borderId="1" xfId="0" applyFont="true" applyBorder="true" applyAlignment="true" applyProtection="false">
      <alignment horizontal="right" vertical="bottom" textRotation="0" wrapText="true" indent="0" shrinkToFit="false"/>
      <protection locked="true" hidden="false"/>
    </xf>
    <xf numFmtId="166" fontId="8" fillId="0" borderId="2" xfId="0" applyFont="true" applyBorder="true" applyAlignment="true" applyProtection="false">
      <alignment horizontal="left"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true" indent="0" shrinkToFit="false"/>
      <protection locked="true" hidden="false"/>
    </xf>
    <xf numFmtId="164" fontId="7" fillId="0" borderId="2" xfId="0" applyFont="true" applyBorder="true" applyAlignment="true" applyProtection="false">
      <alignment horizontal="general" vertical="bottom" textRotation="0" wrapText="false" indent="0" shrinkToFit="true"/>
      <protection locked="true" hidden="false"/>
    </xf>
    <xf numFmtId="165" fontId="8" fillId="0" borderId="2" xfId="0" applyFont="true" applyBorder="true" applyAlignment="true" applyProtection="false">
      <alignment horizontal="right" vertical="bottom" textRotation="0" wrapText="false" indent="0" shrinkToFit="false"/>
      <protection locked="true" hidden="false"/>
    </xf>
    <xf numFmtId="167" fontId="9" fillId="0" borderId="2" xfId="0" applyFont="true" applyBorder="true" applyAlignment="true" applyProtection="false">
      <alignment horizontal="right" vertical="bottom" textRotation="0" wrapText="false" indent="0" shrinkToFit="false"/>
      <protection locked="true" hidden="false"/>
    </xf>
    <xf numFmtId="168" fontId="9" fillId="0" borderId="2" xfId="0" applyFont="true" applyBorder="tru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true"/>
      <protection locked="true" hidden="false"/>
    </xf>
    <xf numFmtId="164" fontId="8" fillId="0" borderId="3" xfId="0" applyFont="true" applyBorder="true" applyAlignment="true" applyProtection="false">
      <alignment horizontal="left"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true" indent="0" shrinkToFit="false"/>
      <protection locked="true" hidden="false"/>
    </xf>
    <xf numFmtId="164" fontId="8" fillId="0" borderId="3" xfId="0" applyFont="true" applyBorder="true" applyAlignment="true" applyProtection="false">
      <alignment horizontal="general" vertical="bottom" textRotation="0" wrapText="false" indent="0" shrinkToFit="true"/>
      <protection locked="true" hidden="false"/>
    </xf>
    <xf numFmtId="165" fontId="8" fillId="0" borderId="3" xfId="0" applyFont="true" applyBorder="true" applyAlignment="true" applyProtection="false">
      <alignment horizontal="right" vertical="bottom" textRotation="0" wrapText="false" indent="0" shrinkToFit="false"/>
      <protection locked="true" hidden="false"/>
    </xf>
    <xf numFmtId="164" fontId="8" fillId="0" borderId="3" xfId="0" applyFont="true" applyBorder="true" applyAlignment="true" applyProtection="false">
      <alignment horizontal="right" vertical="bottom" textRotation="0" wrapText="false" indent="0" shrinkToFit="false"/>
      <protection locked="true" hidden="false"/>
    </xf>
    <xf numFmtId="169" fontId="8" fillId="0" borderId="3" xfId="0" applyFont="true" applyBorder="true" applyAlignment="tru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general" vertical="bottom" textRotation="0" wrapText="true" indent="0" shrinkToFit="false"/>
      <protection locked="true" hidden="false"/>
    </xf>
    <xf numFmtId="166" fontId="11" fillId="0" borderId="3" xfId="0" applyFont="true" applyBorder="true" applyAlignment="true" applyProtection="false">
      <alignment horizontal="left" vertical="bottom" textRotation="0" wrapText="false" indent="0" shrinkToFit="false"/>
      <protection locked="true" hidden="false"/>
    </xf>
    <xf numFmtId="164" fontId="4" fillId="0" borderId="3" xfId="0" applyFont="true" applyBorder="true" applyAlignment="true" applyProtection="false">
      <alignment horizontal="general" vertical="bottom" textRotation="0" wrapText="true" indent="0" shrinkToFit="false"/>
      <protection locked="true" hidden="false"/>
    </xf>
    <xf numFmtId="165" fontId="11" fillId="0" borderId="3" xfId="0" applyFont="true" applyBorder="true" applyAlignment="true" applyProtection="false">
      <alignment horizontal="right" vertical="bottom"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true" applyProtection="false">
      <alignment horizontal="general" vertical="bottom" textRotation="0" wrapText="false" indent="0" shrinkToFit="false"/>
      <protection locked="true" hidden="false"/>
    </xf>
    <xf numFmtId="170" fontId="9" fillId="0" borderId="2" xfId="0" applyFont="true" applyBorder="true" applyAlignment="true" applyProtection="false">
      <alignment horizontal="right" vertical="bottom" textRotation="0" wrapText="true" indent="0" shrinkToFit="false"/>
      <protection locked="true" hidden="false"/>
    </xf>
    <xf numFmtId="164" fontId="9" fillId="0" borderId="2" xfId="0" applyFont="true" applyBorder="true" applyAlignment="true" applyProtection="false">
      <alignment horizontal="right" vertical="bottom" textRotation="0" wrapText="true" indent="0" shrinkToFit="false"/>
      <protection locked="true" hidden="false"/>
    </xf>
    <xf numFmtId="164" fontId="9" fillId="0" borderId="2" xfId="0" applyFont="true" applyBorder="true" applyAlignment="true" applyProtection="false">
      <alignment horizontal="general" vertical="bottom" textRotation="0" wrapText="true" indent="0" shrinkToFit="false"/>
      <protection locked="true" hidden="false"/>
    </xf>
    <xf numFmtId="164" fontId="13" fillId="0" borderId="4" xfId="0" applyFont="true" applyBorder="true" applyAlignment="true" applyProtection="false">
      <alignment horizontal="general" vertical="bottom" textRotation="0" wrapText="false" indent="0" shrinkToFit="false"/>
      <protection locked="true" hidden="false"/>
    </xf>
    <xf numFmtId="164" fontId="13" fillId="0" borderId="5" xfId="0" applyFont="true" applyBorder="true" applyAlignment="true" applyProtection="false">
      <alignment horizontal="right" vertical="bottom" textRotation="0" wrapText="true" indent="0" shrinkToFit="false"/>
      <protection locked="true" hidden="false"/>
    </xf>
    <xf numFmtId="164" fontId="13" fillId="0" borderId="6" xfId="0" applyFont="true" applyBorder="true" applyAlignment="true" applyProtection="false">
      <alignment horizontal="right" vertical="bottom" textRotation="0" wrapText="true" indent="0" shrinkToFit="false"/>
      <protection locked="true" hidden="false"/>
    </xf>
    <xf numFmtId="164" fontId="9" fillId="0" borderId="7" xfId="0" applyFont="true" applyBorder="true" applyAlignment="true" applyProtection="false">
      <alignment horizontal="general" vertical="bottom" textRotation="0" wrapText="false" indent="0" shrinkToFit="false"/>
      <protection locked="true" hidden="false"/>
    </xf>
    <xf numFmtId="165" fontId="9" fillId="0" borderId="8" xfId="0" applyFont="true" applyBorder="true" applyAlignment="true" applyProtection="false">
      <alignment horizontal="general" vertical="bottom" textRotation="0" wrapText="true" indent="0" shrinkToFit="false"/>
      <protection locked="true" hidden="false"/>
    </xf>
    <xf numFmtId="164" fontId="9" fillId="0" borderId="9" xfId="0" applyFont="true" applyBorder="true" applyAlignment="true" applyProtection="false">
      <alignment horizontal="right" vertical="bottom" textRotation="0" wrapText="true" indent="0" shrinkToFit="false"/>
      <protection locked="true" hidden="false"/>
    </xf>
    <xf numFmtId="164" fontId="9" fillId="0" borderId="10"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9" fillId="0" borderId="11" xfId="0" applyFont="true" applyBorder="true" applyAlignment="true" applyProtection="false">
      <alignment horizontal="right" vertical="bottom" textRotation="0" wrapText="false" indent="0" shrinkToFit="false"/>
      <protection locked="true" hidden="false"/>
    </xf>
    <xf numFmtId="164" fontId="9" fillId="0" borderId="7" xfId="0" applyFont="true" applyBorder="true" applyAlignment="true" applyProtection="false">
      <alignment horizontal="right" vertical="bottom" textRotation="0" wrapText="false" indent="0" shrinkToFit="false"/>
      <protection locked="true" hidden="false"/>
    </xf>
    <xf numFmtId="164" fontId="9" fillId="0" borderId="8" xfId="0" applyFont="true" applyBorder="true" applyAlignment="true" applyProtection="false">
      <alignment horizontal="right" vertical="bottom" textRotation="0" wrapText="tru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true" applyAlignment="true" applyProtection="false">
      <alignment horizontal="right" vertical="bottom" textRotation="0" wrapText="true" indent="0" shrinkToFit="false"/>
      <protection locked="true" hidden="false"/>
    </xf>
    <xf numFmtId="164" fontId="9" fillId="0" borderId="7" xfId="0" applyFont="true" applyBorder="true" applyAlignment="true" applyProtection="false">
      <alignment horizontal="general" vertical="bottom" textRotation="0" wrapText="true" indent="0" shrinkToFit="false"/>
      <protection locked="true" hidden="false"/>
    </xf>
    <xf numFmtId="166" fontId="9" fillId="0" borderId="11" xfId="0" applyFont="true" applyBorder="true" applyAlignment="true" applyProtection="false">
      <alignment horizontal="right" vertical="bottom" textRotation="0" wrapText="false" indent="0" shrinkToFit="false"/>
      <protection locked="true" hidden="false"/>
    </xf>
    <xf numFmtId="169" fontId="9" fillId="0" borderId="8"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6" fontId="9" fillId="0" borderId="2" xfId="0" applyFont="true" applyBorder="true" applyAlignment="true" applyProtection="false">
      <alignment horizontal="right" vertical="bottom" textRotation="0" wrapText="false" indent="0" shrinkToFit="false"/>
      <protection locked="true" hidden="false"/>
    </xf>
    <xf numFmtId="166" fontId="9" fillId="0" borderId="0" xfId="0" applyFont="true" applyBorder="false" applyAlignment="true" applyProtection="false">
      <alignment horizontal="right" vertical="bottom" textRotation="0" wrapText="false" indent="0" shrinkToFit="false"/>
      <protection locked="true" hidden="false"/>
    </xf>
    <xf numFmtId="171" fontId="9" fillId="0" borderId="2" xfId="0" applyFont="true" applyBorder="true" applyAlignment="true" applyProtection="false">
      <alignment horizontal="general" vertical="bottom" textRotation="0" wrapText="false" indent="0" shrinkToFit="false"/>
      <protection locked="true" hidden="false"/>
    </xf>
    <xf numFmtId="166" fontId="8" fillId="0" borderId="11" xfId="0" applyFont="true" applyBorder="true" applyAlignment="true" applyProtection="false">
      <alignment horizontal="left" vertical="bottom" textRotation="0" wrapText="false" indent="0" shrinkToFit="false"/>
      <protection locked="true" hidden="false"/>
    </xf>
    <xf numFmtId="166" fontId="8" fillId="0" borderId="7"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readingOrder="2"/>
      <protection locked="true" hidden="false"/>
    </xf>
    <xf numFmtId="164" fontId="8" fillId="0" borderId="2"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C8C8"/>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0"/>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58"/>
    <col collapsed="false" customWidth="true" hidden="false" outlineLevel="0" max="2" min="2" style="1" width="63"/>
    <col collapsed="false" customWidth="true" hidden="false" outlineLevel="0" max="3" min="3" style="1" width="8.2"/>
    <col collapsed="false" customWidth="true" hidden="false" outlineLevel="0" max="4" min="4" style="1" width="10"/>
    <col collapsed="false" customWidth="true" hidden="false" outlineLevel="0" max="5" min="5" style="1" width="11.1"/>
    <col collapsed="false" customWidth="true" hidden="false" outlineLevel="0" max="6" min="6" style="1" width="10.2"/>
    <col collapsed="false" customWidth="true" hidden="false" outlineLevel="0" max="7" min="7" style="1" width="12.1"/>
    <col collapsed="false" customWidth="true" hidden="false" outlineLevel="0" max="8" min="8" style="1" width="14"/>
    <col collapsed="false" customWidth="true" hidden="false" outlineLevel="0" max="9" min="9" style="1" width="13.4"/>
    <col collapsed="false" customWidth="true" hidden="false" outlineLevel="0" max="11" min="11" style="1" width="32"/>
    <col collapsed="false" customWidth="true" hidden="false" outlineLevel="0" max="12" min="12" style="1" width="12"/>
  </cols>
  <sheetData>
    <row r="1" customFormat="false" ht="17.25" hidden="false" customHeight="true" outlineLevel="0" collapsed="false">
      <c r="C1" s="2" t="s">
        <v>0</v>
      </c>
      <c r="D1" s="1" t="s">
        <v>1</v>
      </c>
      <c r="K1" s="2" t="s">
        <v>2</v>
      </c>
    </row>
    <row r="2" customFormat="false" ht="15" hidden="false" customHeight="true" outlineLevel="0" collapsed="false">
      <c r="K2" s="2" t="s">
        <v>3</v>
      </c>
      <c r="L2" s="2" t="s">
        <v>4</v>
      </c>
    </row>
    <row r="3" customFormat="false" ht="15" hidden="false" customHeight="true" outlineLevel="0" collapsed="false">
      <c r="K3" s="3" t="s">
        <v>5</v>
      </c>
      <c r="L3" s="4" t="n">
        <v>4</v>
      </c>
    </row>
    <row r="4" customFormat="false" ht="15" hidden="false" customHeight="true" outlineLevel="0" collapsed="false">
      <c r="K4" s="3" t="s">
        <v>6</v>
      </c>
      <c r="L4" s="4" t="n">
        <v>31.96</v>
      </c>
    </row>
    <row r="5" customFormat="false" ht="15" hidden="false" customHeight="true" outlineLevel="0" collapsed="false">
      <c r="K5" s="3" t="s">
        <v>7</v>
      </c>
      <c r="L5" s="4" t="n">
        <v>7.85</v>
      </c>
    </row>
    <row r="6" customFormat="false" ht="29.25" hidden="false" customHeight="true" outlineLevel="0" collapsed="false">
      <c r="A6" s="5" t="s">
        <v>8</v>
      </c>
      <c r="B6" s="6" t="s">
        <v>9</v>
      </c>
      <c r="C6" s="7" t="s">
        <v>10</v>
      </c>
      <c r="D6" s="8" t="s">
        <v>11</v>
      </c>
      <c r="E6" s="9" t="s">
        <v>12</v>
      </c>
      <c r="F6" s="9" t="s">
        <v>13</v>
      </c>
      <c r="G6" s="9" t="s">
        <v>14</v>
      </c>
      <c r="H6" s="9" t="s">
        <v>15</v>
      </c>
      <c r="I6" s="8" t="s">
        <v>16</v>
      </c>
      <c r="K6" s="3" t="s">
        <v>17</v>
      </c>
      <c r="L6" s="4" t="n">
        <v>0</v>
      </c>
    </row>
    <row r="7" customFormat="false" ht="15" hidden="false" customHeight="true" outlineLevel="0" collapsed="false">
      <c r="A7" s="10" t="s">
        <v>18</v>
      </c>
      <c r="B7" s="11" t="s">
        <v>19</v>
      </c>
      <c r="C7" s="12" t="s">
        <v>20</v>
      </c>
      <c r="D7" s="13" t="n">
        <f aca="false">IF(SUM(D65,D66,D67,D68,D69,D70)&gt;0,2,0)</f>
        <v>2</v>
      </c>
      <c r="E7" s="14" t="n">
        <v>150</v>
      </c>
      <c r="F7" s="15" t="n">
        <f aca="false">IF(E7="","",E7*0.15)</f>
        <v>22.5</v>
      </c>
      <c r="G7" s="15" t="n">
        <f aca="false">IF(E7="","",E7*0.05)</f>
        <v>7.5</v>
      </c>
      <c r="H7" s="15" t="n">
        <f aca="false">IF(E7="","",E7*1.05*0.85)</f>
        <v>133.875</v>
      </c>
      <c r="I7" s="13" t="n">
        <f aca="false">IF(D7="","",H7*D7)</f>
        <v>267.75</v>
      </c>
      <c r="K7" s="3" t="s">
        <v>21</v>
      </c>
      <c r="L7" s="4" t="n">
        <v>10.817</v>
      </c>
    </row>
    <row r="8" customFormat="false" ht="15" hidden="false" customHeight="true" outlineLevel="0" collapsed="false">
      <c r="A8" s="10" t="s">
        <v>22</v>
      </c>
      <c r="B8" s="11" t="s">
        <v>23</v>
      </c>
      <c r="C8" s="12"/>
      <c r="D8" s="13"/>
      <c r="E8" s="14"/>
      <c r="F8" s="15"/>
      <c r="G8" s="15"/>
      <c r="H8" s="15"/>
      <c r="I8" s="13"/>
      <c r="K8" s="3" t="s">
        <v>24</v>
      </c>
      <c r="L8" s="4" t="n">
        <v>0</v>
      </c>
    </row>
    <row r="9" customFormat="false" ht="15" hidden="false" customHeight="true" outlineLevel="0" collapsed="false">
      <c r="A9" s="10" t="s">
        <v>25</v>
      </c>
      <c r="B9" s="11" t="s">
        <v>26</v>
      </c>
      <c r="C9" s="12"/>
      <c r="D9" s="13"/>
      <c r="E9" s="14"/>
      <c r="F9" s="15"/>
      <c r="G9" s="15"/>
      <c r="H9" s="15"/>
      <c r="I9" s="13"/>
      <c r="K9" s="3" t="s">
        <v>27</v>
      </c>
      <c r="L9" s="4" t="n">
        <v>0</v>
      </c>
    </row>
    <row r="10" customFormat="false" ht="57" hidden="false" customHeight="true" outlineLevel="0" collapsed="false">
      <c r="A10" s="10" t="s">
        <v>28</v>
      </c>
      <c r="B10" s="11" t="s">
        <v>29</v>
      </c>
      <c r="C10" s="12" t="s">
        <v>30</v>
      </c>
      <c r="D10" s="13" t="n">
        <f aca="false">L4</f>
        <v>31.96</v>
      </c>
      <c r="E10" s="14" t="n">
        <v>64</v>
      </c>
      <c r="F10" s="15" t="n">
        <f aca="false">IF(E10="","",E10*0.15)</f>
        <v>9.6</v>
      </c>
      <c r="G10" s="15" t="n">
        <f aca="false">IF(E10="","",E10*0.05)</f>
        <v>3.2</v>
      </c>
      <c r="H10" s="15" t="n">
        <f aca="false">IF(E10="","",E10*1.05*0.85)</f>
        <v>57.12</v>
      </c>
      <c r="I10" s="13" t="n">
        <f aca="false">IF(D10="","",H10*D10)</f>
        <v>1825.5552</v>
      </c>
      <c r="K10" s="3" t="s">
        <v>31</v>
      </c>
      <c r="L10" s="4" t="n">
        <v>3</v>
      </c>
    </row>
    <row r="11" customFormat="false" ht="15" hidden="false" customHeight="true" outlineLevel="0" collapsed="false">
      <c r="A11" s="10" t="s">
        <v>32</v>
      </c>
      <c r="B11" s="11" t="s">
        <v>33</v>
      </c>
      <c r="C11" s="12"/>
      <c r="D11" s="13"/>
      <c r="E11" s="14"/>
      <c r="F11" s="15"/>
      <c r="G11" s="15"/>
      <c r="H11" s="15"/>
      <c r="I11" s="13"/>
      <c r="K11" s="3" t="s">
        <v>34</v>
      </c>
      <c r="L11" s="4" t="n">
        <v>0</v>
      </c>
    </row>
    <row r="12" customFormat="false" ht="15" hidden="false" customHeight="true" outlineLevel="0" collapsed="false">
      <c r="A12" s="10" t="s">
        <v>35</v>
      </c>
      <c r="B12" s="11" t="s">
        <v>36</v>
      </c>
      <c r="C12" s="12"/>
      <c r="D12" s="13"/>
      <c r="E12" s="14"/>
      <c r="F12" s="15"/>
      <c r="G12" s="15"/>
      <c r="H12" s="15"/>
      <c r="I12" s="13"/>
      <c r="K12" s="3" t="s">
        <v>37</v>
      </c>
      <c r="L12" s="4" t="n">
        <v>3</v>
      </c>
    </row>
    <row r="13" customFormat="false" ht="42.75" hidden="false" customHeight="true" outlineLevel="0" collapsed="false">
      <c r="A13" s="10" t="s">
        <v>38</v>
      </c>
      <c r="B13" s="11" t="s">
        <v>39</v>
      </c>
      <c r="C13" s="12" t="s">
        <v>40</v>
      </c>
      <c r="D13" s="13" t="n">
        <f aca="false">L3</f>
        <v>4</v>
      </c>
      <c r="E13" s="14" t="n">
        <v>1770</v>
      </c>
      <c r="F13" s="15" t="n">
        <f aca="false">IF(E13="","",E13*0.15)</f>
        <v>265.5</v>
      </c>
      <c r="G13" s="15" t="n">
        <f aca="false">IF(E13="","",E13*0.05)</f>
        <v>88.5</v>
      </c>
      <c r="H13" s="15" t="n">
        <f aca="false">IF(E13="","",E13*1.05*0.85)</f>
        <v>1579.725</v>
      </c>
      <c r="I13" s="13" t="n">
        <f aca="false">IF(D13="","",H13*D13)</f>
        <v>6318.9</v>
      </c>
      <c r="K13" s="3" t="s">
        <v>41</v>
      </c>
      <c r="L13" s="4" t="n">
        <v>0</v>
      </c>
    </row>
    <row r="14" customFormat="false" ht="15" hidden="false" customHeight="true" outlineLevel="0" collapsed="false">
      <c r="K14" s="3" t="s">
        <v>42</v>
      </c>
      <c r="L14" s="4" t="n">
        <v>0</v>
      </c>
    </row>
    <row r="15" customFormat="false" ht="15" hidden="false" customHeight="true" outlineLevel="0" collapsed="false">
      <c r="A15" s="10" t="s">
        <v>43</v>
      </c>
      <c r="B15" s="11" t="s">
        <v>44</v>
      </c>
      <c r="C15" s="12"/>
      <c r="D15" s="13"/>
      <c r="E15" s="14"/>
      <c r="F15" s="15"/>
      <c r="G15" s="15"/>
      <c r="H15" s="15"/>
      <c r="I15" s="13"/>
      <c r="K15" s="3" t="s">
        <v>45</v>
      </c>
      <c r="L15" s="4" t="n">
        <v>0</v>
      </c>
    </row>
    <row r="16" customFormat="false" ht="15" hidden="false" customHeight="true" outlineLevel="0" collapsed="false">
      <c r="A16" s="10" t="s">
        <v>46</v>
      </c>
      <c r="B16" s="11" t="s">
        <v>47</v>
      </c>
      <c r="C16" s="12"/>
      <c r="D16" s="13"/>
      <c r="E16" s="14"/>
      <c r="F16" s="15"/>
      <c r="G16" s="15"/>
      <c r="H16" s="15"/>
      <c r="I16" s="13"/>
      <c r="K16" s="3" t="s">
        <v>48</v>
      </c>
      <c r="L16" s="4" t="n">
        <v>1</v>
      </c>
    </row>
    <row r="17" customFormat="false" ht="28.5" hidden="true" customHeight="true" outlineLevel="0" collapsed="false">
      <c r="A17" s="10" t="s">
        <v>49</v>
      </c>
      <c r="B17" s="11" t="s">
        <v>50</v>
      </c>
      <c r="C17" s="12" t="s">
        <v>51</v>
      </c>
      <c r="D17" s="13" t="n">
        <v>0</v>
      </c>
      <c r="E17" s="14" t="n">
        <v>1760</v>
      </c>
      <c r="F17" s="15" t="n">
        <f aca="false">IF(E17="","",E17*0.15)</f>
        <v>264</v>
      </c>
      <c r="G17" s="15" t="n">
        <f aca="false">IF(E17="","",E17*0.05)</f>
        <v>88</v>
      </c>
      <c r="H17" s="15" t="n">
        <f aca="false">IF(E17="","",E17*1.05*0.85)</f>
        <v>1570.8</v>
      </c>
      <c r="I17" s="13" t="n">
        <f aca="false">IF(D17="","",H17*D17)</f>
        <v>0</v>
      </c>
      <c r="K17" s="3" t="s">
        <v>52</v>
      </c>
      <c r="L17" s="4" t="n">
        <v>0</v>
      </c>
    </row>
    <row r="18" customFormat="false" ht="28.5" hidden="true" customHeight="true" outlineLevel="0" collapsed="false">
      <c r="A18" s="10" t="s">
        <v>53</v>
      </c>
      <c r="B18" s="11" t="s">
        <v>54</v>
      </c>
      <c r="C18" s="12" t="s">
        <v>51</v>
      </c>
      <c r="D18" s="13" t="n">
        <v>0</v>
      </c>
      <c r="E18" s="14" t="n">
        <v>2440</v>
      </c>
      <c r="F18" s="15" t="n">
        <f aca="false">IF(E18="","",E18*0.15)</f>
        <v>366</v>
      </c>
      <c r="G18" s="15" t="n">
        <f aca="false">IF(E18="","",E18*0.05)</f>
        <v>122</v>
      </c>
      <c r="H18" s="15" t="n">
        <f aca="false">IF(E18="","",E18*1.05*0.85)</f>
        <v>2177.7</v>
      </c>
      <c r="I18" s="13" t="n">
        <f aca="false">IF(D18="","",H18*D18)</f>
        <v>0</v>
      </c>
      <c r="K18" s="3" t="s">
        <v>55</v>
      </c>
      <c r="L18" s="4" t="n">
        <v>0</v>
      </c>
    </row>
    <row r="19" customFormat="false" ht="28.5" hidden="true" customHeight="true" outlineLevel="0" collapsed="false">
      <c r="A19" s="10" t="s">
        <v>56</v>
      </c>
      <c r="B19" s="11" t="s">
        <v>57</v>
      </c>
      <c r="C19" s="12" t="s">
        <v>51</v>
      </c>
      <c r="D19" s="13" t="n">
        <v>0</v>
      </c>
      <c r="E19" s="14" t="n">
        <v>2120</v>
      </c>
      <c r="F19" s="15" t="n">
        <f aca="false">IF(E19="","",E19*0.15)</f>
        <v>318</v>
      </c>
      <c r="G19" s="15" t="n">
        <f aca="false">IF(E19="","",E19*0.05)</f>
        <v>106</v>
      </c>
      <c r="H19" s="15" t="n">
        <f aca="false">IF(E19="","",E19*1.05*0.85)</f>
        <v>1892.1</v>
      </c>
      <c r="I19" s="13" t="n">
        <f aca="false">IF(D19="","",H19*D19)</f>
        <v>0</v>
      </c>
      <c r="K19" s="3" t="s">
        <v>58</v>
      </c>
      <c r="L19" s="4" t="n">
        <v>0</v>
      </c>
    </row>
    <row r="20" customFormat="false" ht="28.5" hidden="true" customHeight="true" outlineLevel="0" collapsed="false">
      <c r="A20" s="10" t="s">
        <v>59</v>
      </c>
      <c r="B20" s="11" t="s">
        <v>60</v>
      </c>
      <c r="C20" s="12" t="s">
        <v>51</v>
      </c>
      <c r="D20" s="13" t="n">
        <v>0</v>
      </c>
      <c r="E20" s="14" t="n">
        <v>1980</v>
      </c>
      <c r="F20" s="15" t="n">
        <f aca="false">IF(E20="","",E20*0.15)</f>
        <v>297</v>
      </c>
      <c r="G20" s="15" t="n">
        <f aca="false">IF(E20="","",E20*0.05)</f>
        <v>99</v>
      </c>
      <c r="H20" s="15" t="n">
        <f aca="false">IF(E20="","",E20*1.05*0.85)</f>
        <v>1767.15</v>
      </c>
      <c r="I20" s="13" t="n">
        <f aca="false">IF(D20="","",H20*D20)</f>
        <v>0</v>
      </c>
      <c r="K20" s="3" t="s">
        <v>61</v>
      </c>
      <c r="L20" s="4" t="n">
        <v>1</v>
      </c>
    </row>
    <row r="21" customFormat="false" ht="34.5" hidden="false" customHeight="true" outlineLevel="0" collapsed="false">
      <c r="A21" s="10" t="s">
        <v>62</v>
      </c>
      <c r="B21" s="11" t="s">
        <v>63</v>
      </c>
      <c r="C21" s="12" t="s">
        <v>51</v>
      </c>
      <c r="D21" s="13" t="n">
        <v>11.115</v>
      </c>
      <c r="E21" s="14" t="n">
        <v>1760</v>
      </c>
      <c r="F21" s="15" t="n">
        <f aca="false">IF(E21="","",E21*0.15)</f>
        <v>264</v>
      </c>
      <c r="G21" s="15" t="n">
        <f aca="false">IF(E21="","",E21*0.05)</f>
        <v>88</v>
      </c>
      <c r="H21" s="15" t="n">
        <f aca="false">IF(E21="","",E21*1.05*0.85)</f>
        <v>1570.8</v>
      </c>
      <c r="I21" s="13" t="n">
        <f aca="false">IF(D21="","",H21*D21)</f>
        <v>17459.442</v>
      </c>
      <c r="K21" s="3" t="s">
        <v>64</v>
      </c>
      <c r="L21" s="4" t="n">
        <v>0</v>
      </c>
    </row>
    <row r="22" customFormat="false" ht="34.5" hidden="true" customHeight="true" outlineLevel="0" collapsed="false">
      <c r="A22" s="10" t="s">
        <v>65</v>
      </c>
      <c r="B22" s="11" t="s">
        <v>66</v>
      </c>
      <c r="C22" s="12" t="s">
        <v>51</v>
      </c>
      <c r="D22" s="13" t="n">
        <v>0</v>
      </c>
      <c r="E22" s="14" t="n">
        <v>1630</v>
      </c>
      <c r="F22" s="15" t="n">
        <f aca="false">IF(E22="","",E22*0.15)</f>
        <v>244.5</v>
      </c>
      <c r="G22" s="15" t="n">
        <f aca="false">IF(E22="","",E22*0.05)</f>
        <v>81.5</v>
      </c>
      <c r="H22" s="15" t="n">
        <f aca="false">IF(E22="","",E22*1.05*0.85)</f>
        <v>1454.775</v>
      </c>
      <c r="I22" s="13" t="n">
        <f aca="false">IF(D22="","",H22*D22)</f>
        <v>0</v>
      </c>
      <c r="K22" s="3" t="s">
        <v>67</v>
      </c>
      <c r="L22" s="4" t="n">
        <v>0</v>
      </c>
    </row>
    <row r="23" customFormat="false" ht="34.5" hidden="true" customHeight="true" outlineLevel="0" collapsed="false">
      <c r="A23" s="10" t="s">
        <v>68</v>
      </c>
      <c r="B23" s="11" t="s">
        <v>69</v>
      </c>
      <c r="C23" s="12" t="s">
        <v>51</v>
      </c>
      <c r="D23" s="13" t="n">
        <v>0</v>
      </c>
      <c r="E23" s="14" t="n">
        <v>1490</v>
      </c>
      <c r="F23" s="15" t="n">
        <f aca="false">IF(E23="","",E23*0.15)</f>
        <v>223.5</v>
      </c>
      <c r="G23" s="15" t="n">
        <f aca="false">IF(E23="","",E23*0.05)</f>
        <v>74.5</v>
      </c>
      <c r="H23" s="15" t="n">
        <f aca="false">IF(E23="","",E23*1.05*0.85)</f>
        <v>1329.825</v>
      </c>
      <c r="I23" s="13" t="n">
        <f aca="false">IF(D23="","",H23*D23)</f>
        <v>0</v>
      </c>
      <c r="K23" s="3" t="s">
        <v>70</v>
      </c>
      <c r="L23" s="4" t="n">
        <v>0</v>
      </c>
    </row>
    <row r="24" customFormat="false" ht="15" hidden="true" customHeight="true" outlineLevel="0" collapsed="false">
      <c r="A24" s="10" t="s">
        <v>71</v>
      </c>
      <c r="B24" s="11" t="s">
        <v>72</v>
      </c>
      <c r="C24" s="12" t="s">
        <v>51</v>
      </c>
      <c r="D24" s="13" t="n">
        <v>0</v>
      </c>
      <c r="E24" s="14" t="n">
        <v>2210</v>
      </c>
      <c r="F24" s="15" t="n">
        <f aca="false">IF(E24="","",E24*0.15)</f>
        <v>331.5</v>
      </c>
      <c r="G24" s="15" t="n">
        <f aca="false">IF(E24="","",E24*0.05)</f>
        <v>110.5</v>
      </c>
      <c r="H24" s="15" t="n">
        <f aca="false">IF(E24="","",E24*1.05*0.85)</f>
        <v>1972.425</v>
      </c>
      <c r="I24" s="13" t="n">
        <f aca="false">IF(D24="","",H24*D24)</f>
        <v>0</v>
      </c>
      <c r="K24" s="3" t="s">
        <v>73</v>
      </c>
      <c r="L24" s="4" t="n">
        <v>0</v>
      </c>
    </row>
    <row r="25" customFormat="false" ht="28.5" hidden="true" customHeight="true" outlineLevel="0" collapsed="false">
      <c r="A25" s="10" t="s">
        <v>74</v>
      </c>
      <c r="B25" s="11" t="s">
        <v>75</v>
      </c>
      <c r="C25" s="12" t="s">
        <v>51</v>
      </c>
      <c r="D25" s="13" t="n">
        <v>0</v>
      </c>
      <c r="E25" s="14" t="n">
        <v>2110</v>
      </c>
      <c r="F25" s="15" t="n">
        <f aca="false">IF(E25="","",E25*0.15)</f>
        <v>316.5</v>
      </c>
      <c r="G25" s="15" t="n">
        <f aca="false">IF(E25="","",E25*0.05)</f>
        <v>105.5</v>
      </c>
      <c r="H25" s="15" t="n">
        <f aca="false">IF(E25="","",E25*1.05*0.85)</f>
        <v>1883.175</v>
      </c>
      <c r="I25" s="13" t="n">
        <f aca="false">IF(D25="","",H25*D25)</f>
        <v>0</v>
      </c>
      <c r="K25" s="3" t="s">
        <v>76</v>
      </c>
      <c r="L25" s="4" t="n">
        <v>0</v>
      </c>
    </row>
    <row r="26" customFormat="false" ht="28.5" hidden="true" customHeight="true" outlineLevel="0" collapsed="false">
      <c r="A26" s="10" t="s">
        <v>77</v>
      </c>
      <c r="B26" s="11" t="s">
        <v>78</v>
      </c>
      <c r="C26" s="12" t="s">
        <v>51</v>
      </c>
      <c r="D26" s="13" t="n">
        <v>0</v>
      </c>
      <c r="E26" s="14" t="n">
        <v>2060</v>
      </c>
      <c r="F26" s="15" t="n">
        <f aca="false">IF(E26="","",E26*0.15)</f>
        <v>309</v>
      </c>
      <c r="G26" s="15" t="n">
        <f aca="false">IF(E26="","",E26*0.05)</f>
        <v>103</v>
      </c>
      <c r="H26" s="15" t="n">
        <f aca="false">IF(E26="","",E26*1.05*0.85)</f>
        <v>1838.55</v>
      </c>
      <c r="I26" s="13" t="n">
        <f aca="false">IF(D26="","",H26*D26)</f>
        <v>0</v>
      </c>
      <c r="K26" s="3" t="s">
        <v>79</v>
      </c>
      <c r="L26" s="4" t="n">
        <v>0</v>
      </c>
    </row>
    <row r="27" customFormat="false" ht="28.5" hidden="true" customHeight="true" outlineLevel="0" collapsed="false">
      <c r="A27" s="10" t="s">
        <v>80</v>
      </c>
      <c r="B27" s="11" t="s">
        <v>81</v>
      </c>
      <c r="C27" s="12" t="s">
        <v>51</v>
      </c>
      <c r="D27" s="13" t="n">
        <v>0</v>
      </c>
      <c r="E27" s="14" t="n">
        <v>1970</v>
      </c>
      <c r="F27" s="15" t="n">
        <f aca="false">IF(E27="","",E27*0.15)</f>
        <v>295.5</v>
      </c>
      <c r="G27" s="15" t="n">
        <f aca="false">IF(E27="","",E27*0.05)</f>
        <v>98.5</v>
      </c>
      <c r="H27" s="15" t="n">
        <f aca="false">IF(E27="","",E27*1.05*0.85)</f>
        <v>1758.225</v>
      </c>
      <c r="I27" s="13" t="n">
        <f aca="false">IF(D27="","",H27*D27)</f>
        <v>0</v>
      </c>
      <c r="K27" s="3" t="s">
        <v>82</v>
      </c>
      <c r="L27" s="4" t="n">
        <v>3</v>
      </c>
    </row>
    <row r="28" customFormat="false" ht="15" hidden="true" customHeight="true" outlineLevel="0" collapsed="false">
      <c r="A28" s="10" t="s">
        <v>83</v>
      </c>
      <c r="B28" s="11" t="s">
        <v>84</v>
      </c>
      <c r="C28" s="12" t="s">
        <v>51</v>
      </c>
      <c r="D28" s="13" t="n">
        <v>0</v>
      </c>
      <c r="E28" s="14" t="n">
        <v>2300</v>
      </c>
      <c r="F28" s="15" t="n">
        <f aca="false">IF(E28="","",E28*0.15)</f>
        <v>345</v>
      </c>
      <c r="G28" s="15" t="n">
        <f aca="false">IF(E28="","",E28*0.05)</f>
        <v>115</v>
      </c>
      <c r="H28" s="15" t="n">
        <f aca="false">IF(E28="","",E28*1.05*0.85)</f>
        <v>2052.75</v>
      </c>
      <c r="I28" s="13" t="n">
        <f aca="false">IF(D28="","",H28*D28)</f>
        <v>0</v>
      </c>
      <c r="K28" s="3" t="s">
        <v>85</v>
      </c>
      <c r="L28" s="4" t="n">
        <v>0</v>
      </c>
    </row>
    <row r="29" customFormat="false" ht="28.5" hidden="false" customHeight="true" outlineLevel="0" collapsed="false">
      <c r="A29" s="10" t="s">
        <v>86</v>
      </c>
      <c r="B29" s="11" t="s">
        <v>87</v>
      </c>
      <c r="C29" s="12" t="s">
        <v>40</v>
      </c>
      <c r="D29" s="13" t="n">
        <v>19562.4</v>
      </c>
      <c r="E29" s="14" t="n">
        <v>0.15</v>
      </c>
      <c r="F29" s="15" t="n">
        <f aca="false">IF(E29="","",E29*0.15)</f>
        <v>0.0225</v>
      </c>
      <c r="G29" s="15" t="n">
        <f aca="false">IF(E29="","",E29*0.05)</f>
        <v>0.0075</v>
      </c>
      <c r="H29" s="15" t="n">
        <f aca="false">IF(E29="","",E29*1.05*0.85)</f>
        <v>0.133875</v>
      </c>
      <c r="I29" s="13" t="n">
        <f aca="false">IF(D29="","",H29*D29)</f>
        <v>2618.9163</v>
      </c>
      <c r="K29" s="3" t="s">
        <v>88</v>
      </c>
      <c r="L29" s="4" t="n">
        <v>1</v>
      </c>
    </row>
    <row r="30" customFormat="false" ht="28.5" hidden="true" customHeight="true" outlineLevel="0" collapsed="false">
      <c r="A30" s="10" t="s">
        <v>89</v>
      </c>
      <c r="B30" s="11" t="s">
        <v>90</v>
      </c>
      <c r="C30" s="12" t="s">
        <v>10</v>
      </c>
      <c r="D30" s="13" t="n">
        <f aca="false">L8</f>
        <v>0</v>
      </c>
      <c r="E30" s="14" t="n">
        <v>140</v>
      </c>
      <c r="F30" s="15" t="n">
        <f aca="false">IF(E30="","",E30*0.15)</f>
        <v>21</v>
      </c>
      <c r="G30" s="15" t="n">
        <f aca="false">IF(E30="","",E30*0.05)</f>
        <v>7</v>
      </c>
      <c r="H30" s="15" t="n">
        <f aca="false">IF(E30="","",E30*1.05*0.85)</f>
        <v>124.95</v>
      </c>
      <c r="I30" s="13" t="n">
        <f aca="false">IF(D30="","",H30*D30)</f>
        <v>0</v>
      </c>
      <c r="K30" s="3" t="s">
        <v>91</v>
      </c>
      <c r="L30" s="4" t="n">
        <v>0</v>
      </c>
    </row>
    <row r="31" customFormat="false" ht="15" hidden="true" customHeight="true" outlineLevel="0" collapsed="false">
      <c r="A31" s="10" t="s">
        <v>92</v>
      </c>
      <c r="B31" s="11" t="s">
        <v>93</v>
      </c>
      <c r="C31" s="12" t="s">
        <v>10</v>
      </c>
      <c r="D31" s="13" t="n">
        <f aca="false">L9</f>
        <v>0</v>
      </c>
      <c r="E31" s="14" t="n">
        <v>240</v>
      </c>
      <c r="F31" s="15" t="n">
        <f aca="false">IF(E31="","",E31*0.15)</f>
        <v>36</v>
      </c>
      <c r="G31" s="15" t="n">
        <f aca="false">IF(E31="","",E31*0.05)</f>
        <v>12</v>
      </c>
      <c r="H31" s="15" t="n">
        <f aca="false">IF(E31="","",E31*1.05*0.85)</f>
        <v>214.2</v>
      </c>
      <c r="I31" s="13" t="n">
        <f aca="false">IF(D31="","",H31*D31)</f>
        <v>0</v>
      </c>
      <c r="K31" s="3" t="s">
        <v>94</v>
      </c>
      <c r="L31" s="4" t="n">
        <v>2.292</v>
      </c>
    </row>
    <row r="32" customFormat="false" ht="28.5" hidden="false" customHeight="true" outlineLevel="0" collapsed="false">
      <c r="A32" s="10" t="s">
        <v>95</v>
      </c>
      <c r="B32" s="11" t="s">
        <v>96</v>
      </c>
      <c r="C32" s="12" t="s">
        <v>10</v>
      </c>
      <c r="D32" s="13" t="n">
        <f aca="false">L10</f>
        <v>3</v>
      </c>
      <c r="E32" s="14" t="n">
        <v>310</v>
      </c>
      <c r="F32" s="15" t="n">
        <f aca="false">IF(E32="","",E32*0.15)</f>
        <v>46.5</v>
      </c>
      <c r="G32" s="15" t="n">
        <f aca="false">IF(E32="","",E32*0.05)</f>
        <v>15.5</v>
      </c>
      <c r="H32" s="15" t="n">
        <f aca="false">IF(E32="","",E32*1.05*0.85)</f>
        <v>276.675</v>
      </c>
      <c r="I32" s="13" t="n">
        <f aca="false">IF(D32="","",H32*D32)</f>
        <v>830.025</v>
      </c>
      <c r="K32" s="3" t="s">
        <v>97</v>
      </c>
      <c r="L32" s="4" t="n">
        <v>0</v>
      </c>
    </row>
    <row r="33" customFormat="false" ht="28.5" hidden="true" customHeight="true" outlineLevel="0" collapsed="false">
      <c r="A33" s="10" t="s">
        <v>98</v>
      </c>
      <c r="B33" s="11" t="s">
        <v>99</v>
      </c>
      <c r="C33" s="12"/>
      <c r="D33" s="13"/>
      <c r="E33" s="14"/>
      <c r="F33" s="15"/>
      <c r="G33" s="15"/>
      <c r="H33" s="15"/>
      <c r="I33" s="13"/>
      <c r="K33" s="3" t="s">
        <v>100</v>
      </c>
      <c r="L33" s="4" t="n">
        <v>11.115</v>
      </c>
    </row>
    <row r="34" customFormat="false" ht="28.5" hidden="true" customHeight="true" outlineLevel="0" collapsed="false">
      <c r="A34" s="10" t="s">
        <v>101</v>
      </c>
      <c r="B34" s="11" t="s">
        <v>102</v>
      </c>
      <c r="C34" s="12" t="s">
        <v>51</v>
      </c>
      <c r="D34" s="13" t="n">
        <v>0</v>
      </c>
      <c r="E34" s="14" t="n">
        <v>2220</v>
      </c>
      <c r="F34" s="15" t="n">
        <f aca="false">IF(E34="","",E34*0.15)</f>
        <v>333</v>
      </c>
      <c r="G34" s="15" t="n">
        <f aca="false">IF(E34="","",E34*0.05)</f>
        <v>111</v>
      </c>
      <c r="H34" s="15" t="n">
        <f aca="false">IF(E34="","",E34*1.05*0.85)</f>
        <v>1981.35</v>
      </c>
      <c r="I34" s="13" t="n">
        <f aca="false">IF(D34="","",H34*D34)</f>
        <v>0</v>
      </c>
      <c r="K34" s="3" t="s">
        <v>103</v>
      </c>
      <c r="L34" s="4" t="n">
        <v>0</v>
      </c>
    </row>
    <row r="35" customFormat="false" ht="15" hidden="true" customHeight="true" outlineLevel="0" collapsed="false">
      <c r="A35" s="10" t="s">
        <v>104</v>
      </c>
      <c r="B35" s="11" t="s">
        <v>102</v>
      </c>
      <c r="C35" s="12" t="s">
        <v>51</v>
      </c>
      <c r="D35" s="13" t="n">
        <v>0</v>
      </c>
      <c r="E35" s="14" t="n">
        <v>2790</v>
      </c>
      <c r="F35" s="15" t="n">
        <f aca="false">IF(E35="","",E35*0.15)</f>
        <v>418.5</v>
      </c>
      <c r="G35" s="15" t="n">
        <f aca="false">IF(E35="","",E35*0.05)</f>
        <v>139.5</v>
      </c>
      <c r="H35" s="15" t="n">
        <f aca="false">IF(E35="","",E35*1.05*0.85)</f>
        <v>2490.075</v>
      </c>
      <c r="I35" s="13" t="n">
        <f aca="false">IF(D35="","",H35*D35)</f>
        <v>0</v>
      </c>
      <c r="K35" s="3" t="s">
        <v>105</v>
      </c>
      <c r="L35" s="4" t="n">
        <v>0</v>
      </c>
    </row>
    <row r="36" customFormat="false" ht="28.5" hidden="true" customHeight="true" outlineLevel="0" collapsed="false">
      <c r="A36" s="10" t="s">
        <v>106</v>
      </c>
      <c r="B36" s="11" t="s">
        <v>107</v>
      </c>
      <c r="C36" s="12" t="s">
        <v>51</v>
      </c>
      <c r="D36" s="13" t="n">
        <f aca="false">L34+L6</f>
        <v>0</v>
      </c>
      <c r="E36" s="14" t="n">
        <v>2700</v>
      </c>
      <c r="F36" s="15" t="n">
        <f aca="false">IF(E36="","",E36*0.15)</f>
        <v>405</v>
      </c>
      <c r="G36" s="15" t="n">
        <f aca="false">IF(E36="","",E36*0.05)</f>
        <v>135</v>
      </c>
      <c r="H36" s="15" t="n">
        <f aca="false">IF(E36="","",E36*1.05*0.85)</f>
        <v>2409.75</v>
      </c>
      <c r="I36" s="13" t="n">
        <f aca="false">IF(D36="","",H36*D36)</f>
        <v>0</v>
      </c>
      <c r="K36" s="3" t="s">
        <v>108</v>
      </c>
      <c r="L36" s="4" t="n">
        <v>11.115</v>
      </c>
    </row>
    <row r="37" customFormat="false" ht="28.5" hidden="true" customHeight="true" outlineLevel="0" collapsed="false">
      <c r="A37" s="10" t="s">
        <v>109</v>
      </c>
      <c r="B37" s="11" t="s">
        <v>110</v>
      </c>
      <c r="C37" s="12"/>
      <c r="D37" s="13"/>
      <c r="E37" s="14"/>
      <c r="F37" s="15"/>
      <c r="G37" s="15"/>
      <c r="H37" s="15"/>
      <c r="I37" s="13"/>
      <c r="K37" s="3" t="s">
        <v>111</v>
      </c>
      <c r="L37" s="4" t="n">
        <v>7.85</v>
      </c>
    </row>
    <row r="38" customFormat="false" ht="28.5" hidden="true" customHeight="true" outlineLevel="0" collapsed="false">
      <c r="A38" s="10" t="s">
        <v>112</v>
      </c>
      <c r="B38" s="11" t="s">
        <v>113</v>
      </c>
      <c r="C38" s="12" t="s">
        <v>10</v>
      </c>
      <c r="D38" s="13" t="n">
        <v>0</v>
      </c>
      <c r="E38" s="14" t="n">
        <v>1310</v>
      </c>
      <c r="F38" s="15" t="n">
        <f aca="false">IF(E38="","",E38*0.15)</f>
        <v>196.5</v>
      </c>
      <c r="G38" s="15" t="n">
        <f aca="false">IF(E38="","",E38*0.05)</f>
        <v>65.5</v>
      </c>
      <c r="H38" s="15" t="n">
        <f aca="false">IF(E38="","",E38*1.05*0.85)</f>
        <v>1169.175</v>
      </c>
      <c r="I38" s="13" t="n">
        <f aca="false">IF(D38="","",H38*D38)</f>
        <v>0</v>
      </c>
      <c r="K38" s="3" t="s">
        <v>114</v>
      </c>
      <c r="L38" s="4" t="n">
        <v>0</v>
      </c>
    </row>
    <row r="39" customFormat="false" ht="15" hidden="true" customHeight="true" outlineLevel="0" collapsed="false">
      <c r="A39" s="10" t="s">
        <v>115</v>
      </c>
      <c r="B39" s="11" t="s">
        <v>116</v>
      </c>
      <c r="C39" s="12" t="s">
        <v>10</v>
      </c>
      <c r="D39" s="13" t="n">
        <v>0</v>
      </c>
      <c r="E39" s="14" t="n">
        <v>2090</v>
      </c>
      <c r="F39" s="15" t="n">
        <f aca="false">IF(E39="","",E39*0.15)</f>
        <v>313.5</v>
      </c>
      <c r="G39" s="15" t="n">
        <f aca="false">IF(E39="","",E39*0.05)</f>
        <v>104.5</v>
      </c>
      <c r="H39" s="15" t="n">
        <f aca="false">IF(E39="","",E39*1.05*0.85)</f>
        <v>1865.325</v>
      </c>
      <c r="I39" s="13" t="n">
        <f aca="false">IF(D39="","",H39*D39)</f>
        <v>0</v>
      </c>
      <c r="K39" s="3" t="s">
        <v>117</v>
      </c>
      <c r="L39" s="4" t="n">
        <v>0</v>
      </c>
    </row>
    <row r="40" customFormat="false" ht="15" hidden="true" customHeight="true" outlineLevel="0" collapsed="false">
      <c r="A40" s="10" t="s">
        <v>118</v>
      </c>
      <c r="B40" s="11" t="s">
        <v>119</v>
      </c>
      <c r="C40" s="12"/>
      <c r="D40" s="13"/>
      <c r="E40" s="14"/>
      <c r="F40" s="15"/>
      <c r="G40" s="15"/>
      <c r="H40" s="15"/>
      <c r="I40" s="13"/>
      <c r="K40" s="3" t="s">
        <v>120</v>
      </c>
      <c r="L40" s="4" t="n">
        <v>18.965</v>
      </c>
    </row>
    <row r="41" customFormat="false" ht="15" hidden="true" customHeight="true" outlineLevel="0" collapsed="false">
      <c r="A41" s="10" t="s">
        <v>121</v>
      </c>
      <c r="B41" s="11" t="s">
        <v>122</v>
      </c>
      <c r="C41" s="12" t="s">
        <v>51</v>
      </c>
      <c r="D41" s="13" t="n">
        <v>0</v>
      </c>
      <c r="E41" s="14" t="n">
        <v>1630</v>
      </c>
      <c r="F41" s="15" t="n">
        <f aca="false">IF(E41="","",E41*0.15)</f>
        <v>244.5</v>
      </c>
      <c r="G41" s="15" t="n">
        <f aca="false">IF(E41="","",E41*0.05)</f>
        <v>81.5</v>
      </c>
      <c r="H41" s="15" t="n">
        <f aca="false">IF(E41="","",E41*1.05*0.85)</f>
        <v>1454.775</v>
      </c>
      <c r="I41" s="13" t="n">
        <f aca="false">IF(D41="","",H41*D41)</f>
        <v>0</v>
      </c>
      <c r="K41" s="3" t="s">
        <v>123</v>
      </c>
      <c r="L41" s="4" t="n">
        <v>2.292</v>
      </c>
    </row>
    <row r="42" customFormat="false" ht="28.5" hidden="true" customHeight="true" outlineLevel="0" collapsed="false">
      <c r="A42" s="10" t="s">
        <v>124</v>
      </c>
      <c r="B42" s="11" t="s">
        <v>125</v>
      </c>
      <c r="C42" s="12" t="s">
        <v>51</v>
      </c>
      <c r="D42" s="13" t="n">
        <v>0</v>
      </c>
      <c r="E42" s="14" t="n">
        <v>1580</v>
      </c>
      <c r="F42" s="15" t="n">
        <f aca="false">IF(E42="","",E42*0.15)</f>
        <v>237</v>
      </c>
      <c r="G42" s="15" t="n">
        <f aca="false">IF(E42="","",E42*0.05)</f>
        <v>79</v>
      </c>
      <c r="H42" s="15" t="n">
        <f aca="false">IF(E42="","",E42*1.05*0.85)</f>
        <v>1410.15</v>
      </c>
      <c r="I42" s="13" t="n">
        <f aca="false">IF(D42="","",H42*D42)</f>
        <v>0</v>
      </c>
    </row>
    <row r="43" customFormat="false" ht="28.5" hidden="false" customHeight="true" outlineLevel="0" collapsed="false">
      <c r="A43" s="10" t="s">
        <v>126</v>
      </c>
      <c r="B43" s="11" t="s">
        <v>127</v>
      </c>
      <c r="C43" s="12"/>
      <c r="D43" s="13"/>
      <c r="E43" s="14"/>
      <c r="F43" s="15"/>
      <c r="G43" s="15"/>
      <c r="H43" s="15"/>
      <c r="I43" s="13"/>
    </row>
    <row r="44" customFormat="false" ht="27.75" hidden="true" customHeight="true" outlineLevel="0" collapsed="false">
      <c r="A44" s="10" t="s">
        <v>128</v>
      </c>
      <c r="B44" s="11" t="s">
        <v>129</v>
      </c>
      <c r="C44" s="12" t="s">
        <v>51</v>
      </c>
      <c r="D44" s="13" t="n">
        <v>0</v>
      </c>
      <c r="E44" s="14" t="n">
        <v>1760</v>
      </c>
      <c r="F44" s="15" t="n">
        <f aca="false">IF(E44="","",E44*0.15)</f>
        <v>264</v>
      </c>
      <c r="G44" s="15" t="n">
        <f aca="false">IF(E44="","",E44*0.05)</f>
        <v>88</v>
      </c>
      <c r="H44" s="15" t="n">
        <f aca="false">IF(E44="","",E44*1.05*0.85)</f>
        <v>1570.8</v>
      </c>
      <c r="I44" s="13" t="n">
        <f aca="false">IF(D44="","",H44*D44)</f>
        <v>0</v>
      </c>
    </row>
    <row r="45" customFormat="false" ht="28.5" hidden="false" customHeight="true" outlineLevel="0" collapsed="false">
      <c r="A45" s="10" t="s">
        <v>130</v>
      </c>
      <c r="B45" s="11" t="s">
        <v>131</v>
      </c>
      <c r="C45" s="12" t="s">
        <v>51</v>
      </c>
      <c r="D45" s="13" t="n">
        <f aca="false">L5</f>
        <v>7.85</v>
      </c>
      <c r="E45" s="14" t="n">
        <v>1850</v>
      </c>
      <c r="F45" s="15" t="n">
        <f aca="false">IF(E45="","",E45*0.15)</f>
        <v>277.5</v>
      </c>
      <c r="G45" s="15" t="n">
        <f aca="false">IF(E45="","",E45*0.05)</f>
        <v>92.5</v>
      </c>
      <c r="H45" s="15" t="n">
        <f aca="false">IF(E45="","",E45*1.05*0.85)</f>
        <v>1651.125</v>
      </c>
      <c r="I45" s="13" t="n">
        <f aca="false">IF(D45="","",H45*D45)</f>
        <v>12961.33125</v>
      </c>
    </row>
    <row r="46" customFormat="false" ht="34.5" hidden="true" customHeight="true" outlineLevel="0" collapsed="false">
      <c r="A46" s="10" t="s">
        <v>132</v>
      </c>
      <c r="B46" s="11" t="s">
        <v>133</v>
      </c>
      <c r="C46" s="12" t="s">
        <v>51</v>
      </c>
      <c r="D46" s="13" t="n">
        <v>0</v>
      </c>
      <c r="E46" s="14" t="n">
        <v>1680</v>
      </c>
      <c r="F46" s="15" t="n">
        <f aca="false">IF(E46="","",E46*0.15)</f>
        <v>252</v>
      </c>
      <c r="G46" s="15" t="n">
        <f aca="false">IF(E46="","",E46*0.05)</f>
        <v>84</v>
      </c>
      <c r="H46" s="15" t="n">
        <f aca="false">IF(E46="","",E46*1.05*0.85)</f>
        <v>1499.4</v>
      </c>
      <c r="I46" s="13" t="n">
        <f aca="false">IF(D46="","",H46*D46)</f>
        <v>0</v>
      </c>
    </row>
    <row r="47" customFormat="false" ht="34.5" hidden="true" customHeight="true" outlineLevel="0" collapsed="false">
      <c r="A47" s="10" t="s">
        <v>134</v>
      </c>
      <c r="B47" s="11" t="s">
        <v>135</v>
      </c>
      <c r="C47" s="12" t="s">
        <v>51</v>
      </c>
      <c r="D47" s="13" t="n">
        <v>0</v>
      </c>
      <c r="E47" s="14" t="n">
        <v>2101</v>
      </c>
      <c r="F47" s="15" t="n">
        <f aca="false">IF(E47="","",E47*0.15)</f>
        <v>315.15</v>
      </c>
      <c r="G47" s="15" t="n">
        <f aca="false">IF(E47="","",E47*0.05)</f>
        <v>105.05</v>
      </c>
      <c r="H47" s="15" t="n">
        <f aca="false">IF(E47="","",E47*1.05*0.85)</f>
        <v>1875.1425</v>
      </c>
      <c r="I47" s="13" t="n">
        <f aca="false">IF(D47="","",H47*D47)</f>
        <v>0</v>
      </c>
    </row>
    <row r="48" customFormat="false" ht="15" hidden="true" customHeight="true" outlineLevel="0" collapsed="false">
      <c r="A48" s="10" t="s">
        <v>136</v>
      </c>
      <c r="B48" s="11" t="s">
        <v>137</v>
      </c>
      <c r="C48" s="12"/>
      <c r="D48" s="13"/>
      <c r="E48" s="14"/>
      <c r="F48" s="15"/>
      <c r="G48" s="15"/>
      <c r="H48" s="15"/>
      <c r="I48" s="13"/>
    </row>
    <row r="49" customFormat="false" ht="23.25" hidden="true" customHeight="true" outlineLevel="0" collapsed="false">
      <c r="A49" s="10" t="s">
        <v>138</v>
      </c>
      <c r="B49" s="11" t="s">
        <v>139</v>
      </c>
      <c r="C49" s="12" t="s">
        <v>51</v>
      </c>
      <c r="D49" s="13" t="n">
        <f aca="false">L38</f>
        <v>0</v>
      </c>
      <c r="E49" s="14" t="n">
        <v>2850</v>
      </c>
      <c r="F49" s="15" t="n">
        <f aca="false">IF(E49="","",E49*0.15)</f>
        <v>427.5</v>
      </c>
      <c r="G49" s="15" t="n">
        <f aca="false">IF(E49="","",E49*0.05)</f>
        <v>142.5</v>
      </c>
      <c r="H49" s="15" t="n">
        <f aca="false">IF(E49="","",E49*1.05*0.85)</f>
        <v>2543.625</v>
      </c>
      <c r="I49" s="13" t="n">
        <f aca="false">IF(D49="","",H49*D49)</f>
        <v>0</v>
      </c>
    </row>
    <row r="50" customFormat="false" ht="23.25" hidden="true" customHeight="true" outlineLevel="0" collapsed="false">
      <c r="A50" s="10" t="s">
        <v>140</v>
      </c>
      <c r="B50" s="11" t="s">
        <v>141</v>
      </c>
      <c r="C50" s="12" t="s">
        <v>51</v>
      </c>
      <c r="D50" s="13" t="n">
        <v>0</v>
      </c>
      <c r="E50" s="14" t="n">
        <v>2300</v>
      </c>
      <c r="F50" s="15" t="n">
        <f aca="false">IF(E50="","",E50*0.15)</f>
        <v>345</v>
      </c>
      <c r="G50" s="15" t="n">
        <f aca="false">IF(E50="","",E50*0.05)</f>
        <v>115</v>
      </c>
      <c r="H50" s="15" t="n">
        <f aca="false">IF(E50="","",E50*1.05*0.85)</f>
        <v>2052.75</v>
      </c>
      <c r="I50" s="13" t="n">
        <f aca="false">IF(D50="","",H50*D50)</f>
        <v>0</v>
      </c>
    </row>
    <row r="51" customFormat="false" ht="23.25" hidden="true" customHeight="true" outlineLevel="0" collapsed="false">
      <c r="A51" s="10" t="s">
        <v>142</v>
      </c>
      <c r="B51" s="11" t="s">
        <v>143</v>
      </c>
      <c r="C51" s="12" t="s">
        <v>51</v>
      </c>
      <c r="D51" s="13" t="n">
        <v>0</v>
      </c>
      <c r="E51" s="14" t="n">
        <v>3250</v>
      </c>
      <c r="F51" s="15" t="n">
        <f aca="false">IF(E51="","",E51*0.15)</f>
        <v>487.5</v>
      </c>
      <c r="G51" s="15" t="n">
        <f aca="false">IF(E51="","",E51*0.05)</f>
        <v>162.5</v>
      </c>
      <c r="H51" s="15" t="n">
        <f aca="false">IF(E51="","",E51*1.05*0.85)</f>
        <v>2900.625</v>
      </c>
      <c r="I51" s="13" t="n">
        <f aca="false">IF(D51="","",H51*D51)</f>
        <v>0</v>
      </c>
    </row>
    <row r="52" customFormat="false" ht="15" hidden="false" customHeight="true" outlineLevel="0" collapsed="false">
      <c r="A52" s="10" t="s">
        <v>144</v>
      </c>
      <c r="B52" s="11" t="s">
        <v>145</v>
      </c>
      <c r="C52" s="12"/>
      <c r="D52" s="13"/>
      <c r="E52" s="14"/>
      <c r="F52" s="15"/>
      <c r="G52" s="15"/>
      <c r="H52" s="15"/>
      <c r="I52" s="13"/>
    </row>
    <row r="53" customFormat="false" ht="15" hidden="false" customHeight="true" outlineLevel="0" collapsed="false">
      <c r="A53" s="10" t="s">
        <v>146</v>
      </c>
      <c r="B53" s="11" t="s">
        <v>147</v>
      </c>
      <c r="C53" s="12" t="s">
        <v>51</v>
      </c>
      <c r="D53" s="13" t="n">
        <f aca="false">D44+D45+D46+D47+D49+D50+D51</f>
        <v>7.85</v>
      </c>
      <c r="E53" s="14" t="n">
        <v>88</v>
      </c>
      <c r="F53" s="15" t="n">
        <f aca="false">IF(E53="","",E53*0.15)</f>
        <v>13.2</v>
      </c>
      <c r="G53" s="15" t="n">
        <f aca="false">IF(E53="","",E53*0.05)</f>
        <v>4.4</v>
      </c>
      <c r="H53" s="15" t="n">
        <f aca="false">IF(E53="","",E53*1.05*0.85)</f>
        <v>78.54</v>
      </c>
      <c r="I53" s="13" t="n">
        <f aca="false">IF(D53="","",H53*D53)</f>
        <v>616.539</v>
      </c>
    </row>
    <row r="54" customFormat="false" ht="15" hidden="false" customHeight="true" outlineLevel="0" collapsed="false">
      <c r="A54" s="10" t="s">
        <v>148</v>
      </c>
      <c r="B54" s="11" t="s">
        <v>149</v>
      </c>
      <c r="C54" s="12"/>
      <c r="D54" s="13"/>
      <c r="E54" s="14"/>
      <c r="F54" s="15"/>
      <c r="G54" s="15"/>
      <c r="H54" s="15"/>
      <c r="I54" s="13"/>
    </row>
    <row r="55" customFormat="false" ht="23.25" hidden="true" customHeight="true" outlineLevel="0" collapsed="false">
      <c r="A55" s="10" t="s">
        <v>150</v>
      </c>
      <c r="B55" s="11" t="s">
        <v>151</v>
      </c>
      <c r="C55" s="12" t="s">
        <v>51</v>
      </c>
      <c r="D55" s="13" t="n">
        <v>0</v>
      </c>
      <c r="E55" s="14" t="n">
        <v>910</v>
      </c>
      <c r="F55" s="15" t="n">
        <f aca="false">IF(E55="","",E55*0.15)</f>
        <v>136.5</v>
      </c>
      <c r="G55" s="15" t="n">
        <f aca="false">IF(E55="","",E55*0.05)</f>
        <v>45.5</v>
      </c>
      <c r="H55" s="15" t="n">
        <f aca="false">IF(E55="","",E55*1.05*0.85)</f>
        <v>812.175</v>
      </c>
      <c r="I55" s="13" t="n">
        <f aca="false">IF(D55="","",H55*D55)</f>
        <v>0</v>
      </c>
    </row>
    <row r="56" customFormat="false" ht="14.25" hidden="true" customHeight="true" outlineLevel="0" collapsed="false">
      <c r="A56" s="10" t="s">
        <v>152</v>
      </c>
      <c r="B56" s="11" t="s">
        <v>153</v>
      </c>
      <c r="C56" s="12" t="s">
        <v>51</v>
      </c>
      <c r="D56" s="13" t="n">
        <v>0</v>
      </c>
      <c r="E56" s="14" t="n">
        <v>717</v>
      </c>
      <c r="F56" s="15" t="n">
        <f aca="false">IF(E56="","",E56*0.15)</f>
        <v>107.55</v>
      </c>
      <c r="G56" s="15" t="n">
        <f aca="false">IF(E56="","",E56*0.05)</f>
        <v>35.85</v>
      </c>
      <c r="H56" s="15" t="n">
        <f aca="false">IF(E56="","",E56*1.05*0.85)</f>
        <v>639.9225</v>
      </c>
      <c r="I56" s="13" t="n">
        <f aca="false">IF(D56="","",H56*D56)</f>
        <v>0</v>
      </c>
    </row>
    <row r="57" customFormat="false" ht="14.25" hidden="false" customHeight="true" outlineLevel="0" collapsed="false">
      <c r="A57" s="10" t="s">
        <v>154</v>
      </c>
      <c r="B57" s="11" t="s">
        <v>155</v>
      </c>
      <c r="C57" s="12" t="s">
        <v>51</v>
      </c>
      <c r="D57" s="13" t="n">
        <v>18.965</v>
      </c>
      <c r="E57" s="14" t="n">
        <v>582</v>
      </c>
      <c r="F57" s="15" t="n">
        <f aca="false">IF(E57="","",E57*0.15)</f>
        <v>87.3</v>
      </c>
      <c r="G57" s="15" t="n">
        <f aca="false">IF(E57="","",E57*0.05)</f>
        <v>29.1</v>
      </c>
      <c r="H57" s="15" t="n">
        <f aca="false">IF(E57="","",E57*1.05*0.85)</f>
        <v>519.435</v>
      </c>
      <c r="I57" s="13" t="n">
        <f aca="false">IF(D57="","",H57*D57)</f>
        <v>9851.084775</v>
      </c>
    </row>
    <row r="58" customFormat="false" ht="14.25" hidden="true" customHeight="true" outlineLevel="0" collapsed="false">
      <c r="A58" s="10" t="s">
        <v>156</v>
      </c>
      <c r="B58" s="11" t="s">
        <v>157</v>
      </c>
      <c r="C58" s="12" t="s">
        <v>51</v>
      </c>
      <c r="D58" s="13" t="n">
        <v>0</v>
      </c>
      <c r="E58" s="14" t="n">
        <v>1120</v>
      </c>
      <c r="F58" s="15" t="n">
        <f aca="false">IF(E58="","",E58*0.15)</f>
        <v>168</v>
      </c>
      <c r="G58" s="15" t="n">
        <f aca="false">IF(E58="","",E58*0.05)</f>
        <v>56</v>
      </c>
      <c r="H58" s="15" t="n">
        <f aca="false">IF(E58="","",E58*1.05*0.85)</f>
        <v>999.6</v>
      </c>
      <c r="I58" s="13" t="n">
        <f aca="false">IF(D58="","",H58*D58)</f>
        <v>0</v>
      </c>
    </row>
    <row r="59" customFormat="false" ht="14.25" hidden="true" customHeight="true" outlineLevel="0" collapsed="false">
      <c r="A59" s="10" t="s">
        <v>158</v>
      </c>
      <c r="B59" s="11" t="s">
        <v>159</v>
      </c>
      <c r="C59" s="12" t="s">
        <v>51</v>
      </c>
      <c r="D59" s="13" t="n">
        <f aca="false">L22</f>
        <v>0</v>
      </c>
      <c r="E59" s="14" t="n">
        <v>800</v>
      </c>
      <c r="F59" s="15" t="n">
        <f aca="false">IF(E59="","",E59*0.15)</f>
        <v>120</v>
      </c>
      <c r="G59" s="15" t="n">
        <f aca="false">IF(E59="","",E59*0.05)</f>
        <v>40</v>
      </c>
      <c r="H59" s="15" t="n">
        <f aca="false">IF(E59="","",E59*1.05*0.85)</f>
        <v>714</v>
      </c>
      <c r="I59" s="13" t="n">
        <f aca="false">IF(D59="","",H59*D59)</f>
        <v>0</v>
      </c>
    </row>
    <row r="60" customFormat="false" ht="14.25" hidden="true" customHeight="true" outlineLevel="0" collapsed="false">
      <c r="A60" s="10" t="s">
        <v>160</v>
      </c>
      <c r="B60" s="11" t="s">
        <v>161</v>
      </c>
      <c r="C60" s="12" t="s">
        <v>51</v>
      </c>
      <c r="D60" s="13" t="n">
        <v>0</v>
      </c>
      <c r="E60" s="14" t="n">
        <v>880</v>
      </c>
      <c r="F60" s="15" t="n">
        <f aca="false">IF(E60="","",E60*0.15)</f>
        <v>132</v>
      </c>
      <c r="G60" s="15" t="n">
        <f aca="false">IF(E60="","",E60*0.05)</f>
        <v>44</v>
      </c>
      <c r="H60" s="15" t="n">
        <f aca="false">IF(E60="","",E60*1.05*0.85)</f>
        <v>785.4</v>
      </c>
      <c r="I60" s="13" t="n">
        <f aca="false">IF(D60="","",H60*D60)</f>
        <v>0</v>
      </c>
    </row>
    <row r="61" customFormat="false" ht="14.25" hidden="true" customHeight="true" outlineLevel="0" collapsed="false">
      <c r="A61" s="10" t="s">
        <v>162</v>
      </c>
      <c r="B61" s="11" t="s">
        <v>163</v>
      </c>
      <c r="C61" s="12" t="s">
        <v>51</v>
      </c>
      <c r="D61" s="13" t="n">
        <v>0</v>
      </c>
      <c r="E61" s="14" t="n">
        <v>840</v>
      </c>
      <c r="F61" s="15" t="n">
        <f aca="false">IF(E61="","",E61*0.15)</f>
        <v>126</v>
      </c>
      <c r="G61" s="15" t="n">
        <f aca="false">IF(E61="","",E61*0.05)</f>
        <v>42</v>
      </c>
      <c r="H61" s="15" t="n">
        <f aca="false">IF(E61="","",E61*1.05*0.85)</f>
        <v>749.7</v>
      </c>
      <c r="I61" s="13" t="n">
        <f aca="false">IF(D61="","",H61*D61)</f>
        <v>0</v>
      </c>
    </row>
    <row r="62" customFormat="false" ht="14.25" hidden="true" customHeight="true" outlineLevel="0" collapsed="false">
      <c r="A62" s="10" t="s">
        <v>164</v>
      </c>
      <c r="B62" s="11" t="s">
        <v>165</v>
      </c>
      <c r="C62" s="12" t="s">
        <v>51</v>
      </c>
      <c r="D62" s="13" t="n">
        <v>0</v>
      </c>
      <c r="E62" s="14" t="n">
        <v>1840</v>
      </c>
      <c r="F62" s="15" t="n">
        <f aca="false">IF(E62="","",E62*0.15)</f>
        <v>276</v>
      </c>
      <c r="G62" s="15" t="n">
        <f aca="false">IF(E62="","",E62*0.05)</f>
        <v>92</v>
      </c>
      <c r="H62" s="15" t="n">
        <f aca="false">IF(E62="","",E62*1.05*0.85)</f>
        <v>1642.2</v>
      </c>
      <c r="I62" s="13" t="n">
        <f aca="false">IF(D62="","",H62*D62)</f>
        <v>0</v>
      </c>
    </row>
    <row r="63" customFormat="false" ht="15" hidden="true" customHeight="true" outlineLevel="0" collapsed="false">
      <c r="A63" s="10" t="s">
        <v>166</v>
      </c>
      <c r="B63" s="11" t="s">
        <v>167</v>
      </c>
      <c r="C63" s="12" t="s">
        <v>51</v>
      </c>
      <c r="D63" s="13" t="n">
        <v>0</v>
      </c>
      <c r="E63" s="14" t="n">
        <v>1730</v>
      </c>
      <c r="F63" s="15" t="n">
        <f aca="false">IF(E63="","",E63*0.15)</f>
        <v>259.5</v>
      </c>
      <c r="G63" s="15" t="n">
        <f aca="false">IF(E63="","",E63*0.05)</f>
        <v>86.5</v>
      </c>
      <c r="H63" s="15" t="n">
        <f aca="false">IF(E63="","",E63*1.05*0.85)</f>
        <v>1544.025</v>
      </c>
      <c r="I63" s="13" t="n">
        <f aca="false">IF(D63="","",H63*D63)</f>
        <v>0</v>
      </c>
    </row>
    <row r="64" customFormat="false" ht="42.75" hidden="true" customHeight="true" outlineLevel="0" collapsed="false">
      <c r="A64" s="10" t="s">
        <v>168</v>
      </c>
      <c r="B64" s="11" t="s">
        <v>169</v>
      </c>
      <c r="C64" s="12" t="s">
        <v>51</v>
      </c>
      <c r="D64" s="13" t="n">
        <f aca="false">L23</f>
        <v>0</v>
      </c>
      <c r="E64" s="14" t="n">
        <v>1440</v>
      </c>
      <c r="F64" s="15" t="n">
        <f aca="false">IF(E64="","",E64*0.15)</f>
        <v>216</v>
      </c>
      <c r="G64" s="15" t="n">
        <f aca="false">IF(E64="","",E64*0.05)</f>
        <v>72</v>
      </c>
      <c r="H64" s="15" t="n">
        <f aca="false">IF(E64="","",E64*1.05*0.85)</f>
        <v>1285.2</v>
      </c>
      <c r="I64" s="13" t="n">
        <f aca="false">IF(D64="","",H64*D64)</f>
        <v>0</v>
      </c>
    </row>
    <row r="65" customFormat="false" ht="42.75" hidden="true" customHeight="true" outlineLevel="0" collapsed="false">
      <c r="A65" s="10" t="s">
        <v>170</v>
      </c>
      <c r="B65" s="11" t="s">
        <v>171</v>
      </c>
      <c r="C65" s="12" t="s">
        <v>10</v>
      </c>
      <c r="D65" s="13" t="n">
        <f aca="false">L24</f>
        <v>0</v>
      </c>
      <c r="E65" s="14" t="n">
        <v>620</v>
      </c>
      <c r="F65" s="15" t="n">
        <f aca="false">IF(E65="","",E65*0.15)</f>
        <v>93</v>
      </c>
      <c r="G65" s="15" t="n">
        <f aca="false">IF(E65="","",E65*0.05)</f>
        <v>31</v>
      </c>
      <c r="H65" s="15" t="n">
        <f aca="false">IF(E65="","",E65*1.05*0.85)</f>
        <v>553.35</v>
      </c>
      <c r="I65" s="13" t="n">
        <f aca="false">IF(D65="","",H65*D65)</f>
        <v>0</v>
      </c>
    </row>
    <row r="66" customFormat="false" ht="15" hidden="true" customHeight="true" outlineLevel="0" collapsed="false">
      <c r="A66" s="10" t="s">
        <v>172</v>
      </c>
      <c r="B66" s="11" t="s">
        <v>173</v>
      </c>
      <c r="C66" s="12" t="s">
        <v>10</v>
      </c>
      <c r="D66" s="13" t="n">
        <f aca="false">L25</f>
        <v>0</v>
      </c>
      <c r="E66" s="14" t="n">
        <v>750</v>
      </c>
      <c r="F66" s="15" t="n">
        <f aca="false">IF(E66="","",E66*0.15)</f>
        <v>112.5</v>
      </c>
      <c r="G66" s="15" t="n">
        <f aca="false">IF(E66="","",E66*0.05)</f>
        <v>37.5</v>
      </c>
      <c r="H66" s="15" t="n">
        <f aca="false">IF(E66="","",E66*1.05*0.85)</f>
        <v>669.375</v>
      </c>
      <c r="I66" s="13" t="n">
        <f aca="false">IF(D66="","",H66*D66)</f>
        <v>0</v>
      </c>
    </row>
    <row r="67" customFormat="false" ht="15" hidden="true" customHeight="true" outlineLevel="0" collapsed="false">
      <c r="A67" s="10" t="s">
        <v>174</v>
      </c>
      <c r="B67" s="11" t="s">
        <v>175</v>
      </c>
      <c r="C67" s="12" t="s">
        <v>10</v>
      </c>
      <c r="D67" s="13" t="n">
        <f aca="false">L26</f>
        <v>0</v>
      </c>
      <c r="E67" s="14" t="n">
        <v>1020</v>
      </c>
      <c r="F67" s="15" t="n">
        <f aca="false">IF(E67="","",E67*0.15)</f>
        <v>153</v>
      </c>
      <c r="G67" s="15" t="n">
        <f aca="false">IF(E67="","",E67*0.05)</f>
        <v>51</v>
      </c>
      <c r="H67" s="15" t="n">
        <f aca="false">IF(E67="","",E67*1.05*0.85)</f>
        <v>910.35</v>
      </c>
      <c r="I67" s="13" t="n">
        <f aca="false">IF(D67="","",H67*D67)</f>
        <v>0</v>
      </c>
    </row>
    <row r="68" customFormat="false" ht="15" hidden="false" customHeight="true" outlineLevel="0" collapsed="false">
      <c r="A68" s="10" t="s">
        <v>176</v>
      </c>
      <c r="B68" s="11" t="s">
        <v>177</v>
      </c>
      <c r="C68" s="12" t="s">
        <v>10</v>
      </c>
      <c r="D68" s="13" t="n">
        <f aca="false">L27</f>
        <v>3</v>
      </c>
      <c r="E68" s="14" t="n">
        <v>1370</v>
      </c>
      <c r="F68" s="15" t="n">
        <f aca="false">IF(E68="","",E68*0.15)</f>
        <v>205.5</v>
      </c>
      <c r="G68" s="15" t="n">
        <f aca="false">IF(E68="","",E68*0.05)</f>
        <v>68.5</v>
      </c>
      <c r="H68" s="15" t="n">
        <f aca="false">IF(E68="","",E68*1.05*0.85)</f>
        <v>1222.725</v>
      </c>
      <c r="I68" s="13" t="n">
        <f aca="false">IF(D68="","",H68*D68)</f>
        <v>3668.175</v>
      </c>
    </row>
    <row r="69" customFormat="false" ht="15" hidden="true" customHeight="true" outlineLevel="0" collapsed="false">
      <c r="A69" s="10" t="s">
        <v>178</v>
      </c>
      <c r="B69" s="11" t="s">
        <v>179</v>
      </c>
      <c r="C69" s="12" t="s">
        <v>10</v>
      </c>
      <c r="D69" s="13" t="n">
        <f aca="false">L28</f>
        <v>0</v>
      </c>
      <c r="E69" s="14" t="n">
        <v>1650</v>
      </c>
      <c r="F69" s="15" t="n">
        <f aca="false">IF(E69="","",E69*0.15)</f>
        <v>247.5</v>
      </c>
      <c r="G69" s="15" t="n">
        <f aca="false">IF(E69="","",E69*0.05)</f>
        <v>82.5</v>
      </c>
      <c r="H69" s="15" t="n">
        <f aca="false">IF(E69="","",E69*1.05*0.85)</f>
        <v>1472.625</v>
      </c>
      <c r="I69" s="13" t="n">
        <f aca="false">IF(D69="","",H69*D69)</f>
        <v>0</v>
      </c>
    </row>
    <row r="70" customFormat="false" ht="23.25" hidden="false" customHeight="true" outlineLevel="0" collapsed="false">
      <c r="A70" s="10" t="s">
        <v>180</v>
      </c>
      <c r="B70" s="11" t="s">
        <v>181</v>
      </c>
      <c r="C70" s="12" t="s">
        <v>10</v>
      </c>
      <c r="D70" s="13" t="n">
        <f aca="false">L29</f>
        <v>1</v>
      </c>
      <c r="E70" s="14" t="n">
        <v>1820</v>
      </c>
      <c r="F70" s="15" t="n">
        <f aca="false">IF(E70="","",E70*0.15)</f>
        <v>273</v>
      </c>
      <c r="G70" s="15" t="n">
        <f aca="false">IF(E70="","",E70*0.05)</f>
        <v>91</v>
      </c>
      <c r="H70" s="15" t="n">
        <f aca="false">IF(E70="","",E70*1.05*0.85)</f>
        <v>1624.35</v>
      </c>
      <c r="I70" s="13" t="n">
        <f aca="false">IF(D70="","",H70*D70)</f>
        <v>1624.35</v>
      </c>
    </row>
    <row r="71" customFormat="false" ht="15" hidden="true" customHeight="true" outlineLevel="0" collapsed="false">
      <c r="A71" s="10" t="s">
        <v>182</v>
      </c>
      <c r="B71" s="11" t="s">
        <v>183</v>
      </c>
      <c r="C71" s="12" t="s">
        <v>10</v>
      </c>
      <c r="D71" s="13" t="n">
        <f aca="false">L39</f>
        <v>0</v>
      </c>
      <c r="E71" s="14" t="n">
        <v>130</v>
      </c>
      <c r="F71" s="15" t="n">
        <f aca="false">IF(E71="","",E71*0.15)</f>
        <v>19.5</v>
      </c>
      <c r="G71" s="15" t="n">
        <f aca="false">IF(E71="","",E71*0.05)</f>
        <v>6.5</v>
      </c>
      <c r="H71" s="15" t="n">
        <f aca="false">IF(E71="","",E71*1.05*0.85)</f>
        <v>116.025</v>
      </c>
      <c r="I71" s="13" t="n">
        <f aca="false">IF(D71="","",H71*D71)</f>
        <v>0</v>
      </c>
    </row>
    <row r="72" customFormat="false" ht="15" hidden="false" customHeight="true" outlineLevel="0" collapsed="false">
      <c r="A72" s="10" t="s">
        <v>184</v>
      </c>
      <c r="B72" s="11" t="s">
        <v>185</v>
      </c>
      <c r="C72" s="12" t="s">
        <v>51</v>
      </c>
      <c r="D72" s="13" t="n">
        <f aca="false">L40</f>
        <v>18.965</v>
      </c>
      <c r="E72" s="14" t="n">
        <v>60</v>
      </c>
      <c r="F72" s="15" t="n">
        <f aca="false">IF(E72="","",E72*0.15)</f>
        <v>9</v>
      </c>
      <c r="G72" s="15" t="n">
        <f aca="false">IF(E72="","",E72*0.05)</f>
        <v>3</v>
      </c>
      <c r="H72" s="15" t="n">
        <f aca="false">IF(E72="","",E72*1.05*0.85)</f>
        <v>53.55</v>
      </c>
      <c r="I72" s="13" t="n">
        <f aca="false">IF(D72="","",H72*D72)</f>
        <v>1015.57575</v>
      </c>
    </row>
    <row r="73" customFormat="false" ht="15" hidden="true" customHeight="true" outlineLevel="0" collapsed="false">
      <c r="A73" s="10" t="s">
        <v>186</v>
      </c>
      <c r="B73" s="11" t="s">
        <v>187</v>
      </c>
      <c r="C73" s="12" t="s">
        <v>10</v>
      </c>
      <c r="D73" s="13" t="n">
        <f aca="false">IF((L36+L37+L22+L23)=0,0,L11)</f>
        <v>0</v>
      </c>
      <c r="E73" s="14" t="n">
        <v>109</v>
      </c>
      <c r="F73" s="15" t="n">
        <f aca="false">IF(E73="","",E73*0.15)</f>
        <v>16.35</v>
      </c>
      <c r="G73" s="15" t="n">
        <f aca="false">IF(E73="","",E73*0.05)</f>
        <v>5.45</v>
      </c>
      <c r="H73" s="15" t="n">
        <f aca="false">IF(E73="","",E73*1.05*0.85)</f>
        <v>97.2825</v>
      </c>
      <c r="I73" s="13" t="n">
        <f aca="false">IF(D73="","",H73*D73)</f>
        <v>0</v>
      </c>
    </row>
    <row r="74" customFormat="false" ht="15" hidden="false" customHeight="true" outlineLevel="0" collapsed="false">
      <c r="A74" s="10" t="s">
        <v>188</v>
      </c>
      <c r="B74" s="11" t="s">
        <v>189</v>
      </c>
      <c r="C74" s="12" t="s">
        <v>10</v>
      </c>
      <c r="D74" s="13" t="n">
        <f aca="false">IF((L36+L37+L22+L23)=0,0,L12)</f>
        <v>3</v>
      </c>
      <c r="E74" s="14" t="n">
        <v>121</v>
      </c>
      <c r="F74" s="15" t="n">
        <f aca="false">IF(E74="","",E74*0.15)</f>
        <v>18.15</v>
      </c>
      <c r="G74" s="15" t="n">
        <f aca="false">IF(E74="","",E74*0.05)</f>
        <v>6.05</v>
      </c>
      <c r="H74" s="15" t="n">
        <f aca="false">IF(E74="","",E74*1.05*0.85)</f>
        <v>107.9925</v>
      </c>
      <c r="I74" s="13" t="n">
        <f aca="false">IF(D74="","",H74*D74)</f>
        <v>323.9775</v>
      </c>
    </row>
    <row r="75" customFormat="false" ht="28.5" hidden="true" customHeight="true" outlineLevel="0" collapsed="false">
      <c r="A75" s="10" t="s">
        <v>190</v>
      </c>
      <c r="B75" s="11" t="s">
        <v>191</v>
      </c>
      <c r="C75" s="12" t="s">
        <v>10</v>
      </c>
      <c r="D75" s="13" t="n">
        <f aca="false">IF((L36+L37+L22+L23)=0,0,L13)</f>
        <v>0</v>
      </c>
      <c r="E75" s="14" t="n">
        <v>133</v>
      </c>
      <c r="F75" s="15" t="n">
        <f aca="false">IF(E75="","",E75*0.15)</f>
        <v>19.95</v>
      </c>
      <c r="G75" s="15" t="n">
        <f aca="false">IF(E75="","",E75*0.05)</f>
        <v>6.65</v>
      </c>
      <c r="H75" s="15" t="n">
        <f aca="false">IF(E75="","",E75*1.05*0.85)</f>
        <v>118.7025</v>
      </c>
      <c r="I75" s="13" t="n">
        <f aca="false">IF(D75="","",H75*D75)</f>
        <v>0</v>
      </c>
    </row>
    <row r="76" customFormat="false" ht="42.75" hidden="true" customHeight="true" outlineLevel="0" collapsed="false">
      <c r="A76" s="10" t="s">
        <v>192</v>
      </c>
      <c r="B76" s="11" t="s">
        <v>193</v>
      </c>
      <c r="C76" s="12" t="s">
        <v>10</v>
      </c>
      <c r="D76" s="13" t="n">
        <f aca="false">IF((L36+L37+L22+L23)=0,0,L14)</f>
        <v>0</v>
      </c>
      <c r="E76" s="14" t="n">
        <v>145</v>
      </c>
      <c r="F76" s="15" t="n">
        <f aca="false">IF(E76="","",E76*0.15)</f>
        <v>21.75</v>
      </c>
      <c r="G76" s="15" t="n">
        <f aca="false">IF(E76="","",E76*0.05)</f>
        <v>7.25</v>
      </c>
      <c r="H76" s="15" t="n">
        <f aca="false">IF(E76="","",E76*1.05*0.85)</f>
        <v>129.4125</v>
      </c>
      <c r="I76" s="13" t="n">
        <f aca="false">IF(D76="","",H76*D76)</f>
        <v>0</v>
      </c>
    </row>
    <row r="77" customFormat="false" ht="15" hidden="true" customHeight="true" outlineLevel="0" collapsed="false">
      <c r="A77" s="10" t="s">
        <v>194</v>
      </c>
      <c r="B77" s="11" t="s">
        <v>195</v>
      </c>
      <c r="C77" s="12" t="s">
        <v>10</v>
      </c>
      <c r="D77" s="13" t="n">
        <f aca="false">IF((L36+L37+L22+L23)=0,0,L15)</f>
        <v>0</v>
      </c>
      <c r="E77" s="14" t="n">
        <v>157</v>
      </c>
      <c r="F77" s="15" t="n">
        <f aca="false">IF(E77="","",E77*0.15)</f>
        <v>23.55</v>
      </c>
      <c r="G77" s="15" t="n">
        <f aca="false">IF(E77="","",E77*0.05)</f>
        <v>7.85</v>
      </c>
      <c r="H77" s="15" t="n">
        <f aca="false">IF(E77="","",E77*1.05*0.85)</f>
        <v>140.1225</v>
      </c>
      <c r="I77" s="13" t="n">
        <f aca="false">IF(D77="","",H77*D77)</f>
        <v>0</v>
      </c>
    </row>
    <row r="78" customFormat="false" ht="15" hidden="false" customHeight="true" outlineLevel="0" collapsed="false">
      <c r="A78" s="10" t="s">
        <v>196</v>
      </c>
      <c r="B78" s="11" t="s">
        <v>197</v>
      </c>
      <c r="C78" s="12" t="s">
        <v>10</v>
      </c>
      <c r="D78" s="13" t="n">
        <f aca="false">IF((L36+L37+L22+L23)=0,0,L16)</f>
        <v>1</v>
      </c>
      <c r="E78" s="14" t="n">
        <v>169</v>
      </c>
      <c r="F78" s="15" t="n">
        <f aca="false">IF(E78="","",E78*0.15)</f>
        <v>25.35</v>
      </c>
      <c r="G78" s="15" t="n">
        <f aca="false">IF(E78="","",E78*0.05)</f>
        <v>8.45</v>
      </c>
      <c r="H78" s="15" t="n">
        <f aca="false">IF(E78="","",E78*1.05*0.85)</f>
        <v>150.8325</v>
      </c>
      <c r="I78" s="13" t="n">
        <f aca="false">IF(D78="","",H78*D78)</f>
        <v>150.8325</v>
      </c>
    </row>
    <row r="79" customFormat="false" ht="15" hidden="true" customHeight="true" outlineLevel="0" collapsed="false">
      <c r="A79" s="10" t="s">
        <v>198</v>
      </c>
      <c r="B79" s="11" t="s">
        <v>199</v>
      </c>
      <c r="C79" s="12" t="s">
        <v>10</v>
      </c>
      <c r="D79" s="13" t="n">
        <f aca="false">IF((L36+L37+L22+L23)=0,0,L17)</f>
        <v>0</v>
      </c>
      <c r="E79" s="14" t="n">
        <v>181</v>
      </c>
      <c r="F79" s="15" t="n">
        <f aca="false">IF(E79="","",E79*0.15)</f>
        <v>27.15</v>
      </c>
      <c r="G79" s="15" t="n">
        <f aca="false">IF(E79="","",E79*0.05)</f>
        <v>9.05</v>
      </c>
      <c r="H79" s="15" t="n">
        <f aca="false">IF(E79="","",E79*1.05*0.85)</f>
        <v>161.5425</v>
      </c>
      <c r="I79" s="13" t="n">
        <f aca="false">IF(D79="","",H79*D79)</f>
        <v>0</v>
      </c>
    </row>
    <row r="80" customFormat="false" ht="15" hidden="true" customHeight="true" outlineLevel="0" collapsed="false">
      <c r="A80" s="10" t="s">
        <v>200</v>
      </c>
      <c r="B80" s="11" t="s">
        <v>201</v>
      </c>
      <c r="C80" s="12" t="s">
        <v>10</v>
      </c>
      <c r="D80" s="13" t="n">
        <f aca="false">IF((L36+L37+L22+L23)=0,0,L18)</f>
        <v>0</v>
      </c>
      <c r="E80" s="14" t="n">
        <v>193</v>
      </c>
      <c r="F80" s="15" t="n">
        <f aca="false">IF(E80="","",E80*0.15)</f>
        <v>28.95</v>
      </c>
      <c r="G80" s="15" t="n">
        <f aca="false">IF(E80="","",E80*0.05)</f>
        <v>9.65</v>
      </c>
      <c r="H80" s="15" t="n">
        <f aca="false">IF(E80="","",E80*1.05*0.85)</f>
        <v>172.2525</v>
      </c>
      <c r="I80" s="13" t="n">
        <f aca="false">IF(D80="","",H80*D80)</f>
        <v>0</v>
      </c>
    </row>
    <row r="81" customFormat="false" ht="15" hidden="false" customHeight="true" outlineLevel="0" collapsed="false">
      <c r="A81" s="10" t="s">
        <v>202</v>
      </c>
      <c r="B81" s="11" t="s">
        <v>203</v>
      </c>
      <c r="C81" s="12"/>
      <c r="D81" s="13"/>
      <c r="E81" s="14"/>
      <c r="F81" s="15"/>
      <c r="G81" s="15"/>
      <c r="H81" s="15"/>
      <c r="I81" s="13"/>
    </row>
    <row r="82" customFormat="false" ht="15" hidden="false" customHeight="true" outlineLevel="0" collapsed="false">
      <c r="A82" s="10" t="s">
        <v>204</v>
      </c>
      <c r="B82" s="11" t="s">
        <v>205</v>
      </c>
      <c r="C82" s="12" t="s">
        <v>51</v>
      </c>
      <c r="D82" s="13" t="n">
        <f aca="false">L7</f>
        <v>10.817</v>
      </c>
      <c r="E82" s="14" t="n">
        <v>53</v>
      </c>
      <c r="F82" s="15" t="n">
        <f aca="false">IF(E82="","",E82*0.15)</f>
        <v>7.95</v>
      </c>
      <c r="G82" s="15" t="n">
        <f aca="false">IF(E82="","",E82*0.05)</f>
        <v>2.65</v>
      </c>
      <c r="H82" s="15" t="n">
        <f aca="false">IF(E82="","",E82*1.05*0.85)</f>
        <v>47.3025</v>
      </c>
      <c r="I82" s="13" t="n">
        <f aca="false">IF(D82="","",H82*D82)</f>
        <v>511.6711425</v>
      </c>
    </row>
    <row r="83" customFormat="false" ht="28.5" hidden="true" customHeight="true" outlineLevel="0" collapsed="false">
      <c r="A83" s="10" t="s">
        <v>206</v>
      </c>
      <c r="B83" s="11" t="s">
        <v>207</v>
      </c>
      <c r="C83" s="12" t="s">
        <v>51</v>
      </c>
      <c r="D83" s="13" t="n">
        <v>0</v>
      </c>
      <c r="E83" s="14" t="n">
        <v>880</v>
      </c>
      <c r="F83" s="15" t="n">
        <f aca="false">IF(E83="","",E83*0.15)</f>
        <v>132</v>
      </c>
      <c r="G83" s="15" t="n">
        <f aca="false">IF(E83="","",E83*0.05)</f>
        <v>44</v>
      </c>
      <c r="H83" s="15" t="n">
        <f aca="false">IF(E83="","",E83*1.05*0.85)</f>
        <v>785.4</v>
      </c>
      <c r="I83" s="13" t="n">
        <f aca="false">IF(D83="","",H83*D83)</f>
        <v>0</v>
      </c>
    </row>
    <row r="84" customFormat="false" ht="28.5" hidden="false" customHeight="true" outlineLevel="0" collapsed="false">
      <c r="A84" s="10" t="s">
        <v>208</v>
      </c>
      <c r="B84" s="11" t="s">
        <v>209</v>
      </c>
      <c r="C84" s="12" t="s">
        <v>51</v>
      </c>
      <c r="D84" s="13" t="n">
        <f aca="false">D82</f>
        <v>10.817</v>
      </c>
      <c r="E84" s="14" t="n">
        <v>650</v>
      </c>
      <c r="F84" s="15" t="n">
        <f aca="false">IF(E84="","",E84*0.15)</f>
        <v>97.5</v>
      </c>
      <c r="G84" s="15" t="n">
        <f aca="false">IF(E84="","",E84*0.05)</f>
        <v>32.5</v>
      </c>
      <c r="H84" s="15" t="n">
        <f aca="false">IF(E84="","",E84*1.05*0.85)</f>
        <v>580.125</v>
      </c>
      <c r="I84" s="13" t="n">
        <f aca="false">IF(D84="","",H84*D84)</f>
        <v>6275.212125</v>
      </c>
    </row>
    <row r="85" customFormat="false" ht="27.75" hidden="false" customHeight="true" outlineLevel="0" collapsed="false">
      <c r="A85" s="10" t="s">
        <v>210</v>
      </c>
      <c r="B85" s="11" t="s">
        <v>211</v>
      </c>
      <c r="C85" s="12"/>
      <c r="D85" s="13"/>
      <c r="E85" s="14"/>
      <c r="F85" s="15"/>
      <c r="G85" s="15"/>
      <c r="H85" s="15"/>
      <c r="I85" s="13"/>
    </row>
    <row r="86" customFormat="false" ht="15" hidden="true" customHeight="true" outlineLevel="0" collapsed="false">
      <c r="A86" s="10" t="s">
        <v>212</v>
      </c>
      <c r="B86" s="11" t="s">
        <v>213</v>
      </c>
      <c r="C86" s="12" t="s">
        <v>51</v>
      </c>
      <c r="D86" s="13" t="n">
        <v>0</v>
      </c>
      <c r="E86" s="14" t="n">
        <v>265</v>
      </c>
      <c r="F86" s="15" t="n">
        <f aca="false">IF(E86="","",E86*0.15)</f>
        <v>39.75</v>
      </c>
      <c r="G86" s="15" t="n">
        <f aca="false">IF(E86="","",E86*0.05)</f>
        <v>13.25</v>
      </c>
      <c r="H86" s="15" t="n">
        <f aca="false">IF(E86="","",E86*1.05*0.85)</f>
        <v>236.5125</v>
      </c>
      <c r="I86" s="13" t="n">
        <f aca="false">IF(D86="","",H86*D86)</f>
        <v>0</v>
      </c>
    </row>
    <row r="87" customFormat="false" ht="15" hidden="false" customHeight="true" outlineLevel="0" collapsed="false">
      <c r="A87" s="10" t="s">
        <v>214</v>
      </c>
      <c r="B87" s="11" t="s">
        <v>215</v>
      </c>
      <c r="C87" s="12" t="s">
        <v>51</v>
      </c>
      <c r="D87" s="13" t="n">
        <f aca="false">-D88-D89-D92-L41</f>
        <v>5.558</v>
      </c>
      <c r="E87" s="14" t="n">
        <v>375</v>
      </c>
      <c r="F87" s="15" t="n">
        <f aca="false">IF(E87="","",E87*0.15)</f>
        <v>56.25</v>
      </c>
      <c r="G87" s="15" t="n">
        <f aca="false">IF(E87="","",E87*0.05)</f>
        <v>18.75</v>
      </c>
      <c r="H87" s="15" t="n">
        <f aca="false">IF(E87="","",E87*1.05*0.85)</f>
        <v>334.6875</v>
      </c>
      <c r="I87" s="13" t="n">
        <f aca="false">IF(D87="","",H87*D87)</f>
        <v>1860.193125</v>
      </c>
    </row>
    <row r="88" customFormat="false" ht="42.75" hidden="true" customHeight="true" outlineLevel="0" collapsed="false">
      <c r="A88" s="10" t="s">
        <v>216</v>
      </c>
      <c r="B88" s="11" t="s">
        <v>217</v>
      </c>
      <c r="C88" s="12" t="s">
        <v>51</v>
      </c>
      <c r="D88" s="13" t="n">
        <f aca="false">-(D24+D25+D18+D19)</f>
        <v>-0</v>
      </c>
      <c r="E88" s="14" t="n">
        <v>317</v>
      </c>
      <c r="F88" s="15" t="n">
        <f aca="false">IF(E88="","",E88*0.15)</f>
        <v>47.55</v>
      </c>
      <c r="G88" s="15" t="n">
        <f aca="false">IF(E88="","",E88*0.05)</f>
        <v>15.85</v>
      </c>
      <c r="H88" s="15" t="n">
        <f aca="false">IF(E88="","",E88*1.05*0.85)</f>
        <v>282.9225</v>
      </c>
      <c r="I88" s="13" t="n">
        <f aca="false">IF(D88="","",H88*D88)</f>
        <v>-0</v>
      </c>
    </row>
    <row r="89" customFormat="false" ht="15" hidden="false" customHeight="true" outlineLevel="0" collapsed="false">
      <c r="A89" s="10" t="s">
        <v>218</v>
      </c>
      <c r="B89" s="11" t="s">
        <v>219</v>
      </c>
      <c r="C89" s="12" t="s">
        <v>51</v>
      </c>
      <c r="D89" s="13" t="n">
        <f aca="false">-(D44+D45+D47+D49+D50+D51)</f>
        <v>-7.85</v>
      </c>
      <c r="E89" s="14" t="n">
        <v>172</v>
      </c>
      <c r="F89" s="15" t="n">
        <f aca="false">IF(E89="","",E89*0.15)</f>
        <v>25.8</v>
      </c>
      <c r="G89" s="15" t="n">
        <f aca="false">IF(E89="","",E89*0.05)</f>
        <v>8.6</v>
      </c>
      <c r="H89" s="15" t="n">
        <f aca="false">IF(E89="","",E89*1.05*0.85)</f>
        <v>153.51</v>
      </c>
      <c r="I89" s="13" t="n">
        <f aca="false">IF(D89="","",H89*D89)</f>
        <v>-1205.0535</v>
      </c>
    </row>
    <row r="90" customFormat="false" ht="15" hidden="true" customHeight="true" outlineLevel="0" collapsed="false">
      <c r="A90" s="10" t="s">
        <v>220</v>
      </c>
      <c r="B90" s="11" t="s">
        <v>221</v>
      </c>
      <c r="C90" s="12" t="s">
        <v>51</v>
      </c>
      <c r="D90" s="13" t="n">
        <v>0</v>
      </c>
      <c r="E90" s="14" t="n">
        <v>94</v>
      </c>
      <c r="F90" s="15" t="n">
        <f aca="false">IF(E90="","",E90*0.15)</f>
        <v>14.1</v>
      </c>
      <c r="G90" s="15" t="n">
        <f aca="false">IF(E90="","",E90*0.05)</f>
        <v>4.7</v>
      </c>
      <c r="H90" s="15" t="n">
        <f aca="false">IF(E90="","",E90*1.05*0.85)</f>
        <v>83.895</v>
      </c>
      <c r="I90" s="13" t="n">
        <f aca="false">IF(D90="","",H90*D90)</f>
        <v>0</v>
      </c>
    </row>
    <row r="91" customFormat="false" ht="28.5" hidden="true" customHeight="true" outlineLevel="0" collapsed="false">
      <c r="A91" s="10" t="s">
        <v>222</v>
      </c>
      <c r="B91" s="11" t="s">
        <v>223</v>
      </c>
      <c r="C91" s="12" t="s">
        <v>51</v>
      </c>
      <c r="D91" s="13" t="n">
        <v>0</v>
      </c>
      <c r="E91" s="14" t="n">
        <v>157</v>
      </c>
      <c r="F91" s="15" t="n">
        <f aca="false">IF(E91="","",E91*0.15)</f>
        <v>23.55</v>
      </c>
      <c r="G91" s="15" t="n">
        <f aca="false">IF(E91="","",E91*0.05)</f>
        <v>7.85</v>
      </c>
      <c r="H91" s="15" t="n">
        <f aca="false">IF(E91="","",E91*1.05*0.85)</f>
        <v>140.1225</v>
      </c>
      <c r="I91" s="13" t="n">
        <f aca="false">IF(D91="","",H91*D91)</f>
        <v>0</v>
      </c>
    </row>
    <row r="92" customFormat="false" ht="55.5" hidden="true" customHeight="true" outlineLevel="0" collapsed="false">
      <c r="A92" s="10" t="s">
        <v>224</v>
      </c>
      <c r="B92" s="11" t="s">
        <v>225</v>
      </c>
      <c r="C92" s="12" t="s">
        <v>51</v>
      </c>
      <c r="D92" s="13" t="n">
        <f aca="false">-(D46+D41+D42)</f>
        <v>-0</v>
      </c>
      <c r="E92" s="14" t="n">
        <v>315</v>
      </c>
      <c r="F92" s="15" t="n">
        <f aca="false">IF(E92="","",E92*0.15)</f>
        <v>47.25</v>
      </c>
      <c r="G92" s="15" t="n">
        <f aca="false">IF(E92="","",E92*0.05)</f>
        <v>15.75</v>
      </c>
      <c r="H92" s="15" t="n">
        <f aca="false">IF(E92="","",E92*1.05*0.85)</f>
        <v>281.1375</v>
      </c>
      <c r="I92" s="13" t="n">
        <f aca="false">IF(D92="","",H92*D92)</f>
        <v>-0</v>
      </c>
    </row>
    <row r="93" customFormat="false" ht="15" hidden="true" customHeight="true" outlineLevel="0" collapsed="false">
      <c r="A93" s="10" t="s">
        <v>226</v>
      </c>
      <c r="B93" s="11" t="s">
        <v>227</v>
      </c>
      <c r="C93" s="12"/>
      <c r="D93" s="13"/>
      <c r="E93" s="14"/>
      <c r="F93" s="15"/>
      <c r="G93" s="15"/>
      <c r="H93" s="15"/>
      <c r="I93" s="13"/>
    </row>
    <row r="94" customFormat="false" ht="15" hidden="true" customHeight="true" outlineLevel="0" collapsed="false">
      <c r="A94" s="10" t="s">
        <v>228</v>
      </c>
      <c r="B94" s="11" t="s">
        <v>229</v>
      </c>
      <c r="C94" s="12"/>
      <c r="D94" s="13"/>
      <c r="E94" s="14"/>
      <c r="F94" s="15"/>
      <c r="G94" s="15"/>
      <c r="H94" s="15"/>
      <c r="I94" s="13"/>
    </row>
    <row r="95" customFormat="false" ht="36.75" hidden="true" customHeight="true" outlineLevel="0" collapsed="false">
      <c r="A95" s="10" t="s">
        <v>230</v>
      </c>
      <c r="B95" s="11" t="s">
        <v>231</v>
      </c>
      <c r="C95" s="12" t="s">
        <v>40</v>
      </c>
      <c r="D95" s="13" t="n">
        <v>0</v>
      </c>
      <c r="E95" s="14" t="n">
        <v>3500</v>
      </c>
      <c r="F95" s="15" t="n">
        <f aca="false">IF(E95="","",E95*0.15)</f>
        <v>525</v>
      </c>
      <c r="G95" s="15" t="n">
        <f aca="false">IF(E95="","",E95*0.05)</f>
        <v>175</v>
      </c>
      <c r="H95" s="15" t="n">
        <f aca="false">IF(E95="","",E95*1.05*0.85)</f>
        <v>3123.75</v>
      </c>
      <c r="I95" s="13" t="n">
        <f aca="false">IF(D95="","",H95*D95)</f>
        <v>0</v>
      </c>
    </row>
    <row r="96" customFormat="false" ht="45.75" hidden="true" customHeight="true" outlineLevel="0" collapsed="false">
      <c r="A96" s="10" t="s">
        <v>232</v>
      </c>
      <c r="B96" s="11" t="s">
        <v>233</v>
      </c>
      <c r="C96" s="12" t="s">
        <v>30</v>
      </c>
      <c r="D96" s="13" t="n">
        <v>0</v>
      </c>
      <c r="E96" s="14" t="n">
        <v>172</v>
      </c>
      <c r="F96" s="15" t="n">
        <f aca="false">IF(E96="","",E96*0.15)</f>
        <v>25.8</v>
      </c>
      <c r="G96" s="15" t="n">
        <f aca="false">IF(E96="","",E96*0.05)</f>
        <v>8.6</v>
      </c>
      <c r="H96" s="15" t="n">
        <f aca="false">IF(E96="","",E96*1.05*0.85)</f>
        <v>153.51</v>
      </c>
      <c r="I96" s="13" t="n">
        <f aca="false">IF(D96="","",H96*D96)</f>
        <v>0</v>
      </c>
    </row>
    <row r="97" customFormat="false" ht="23.25" hidden="false" customHeight="true" outlineLevel="0" collapsed="false">
      <c r="A97" s="10" t="s">
        <v>234</v>
      </c>
      <c r="B97" s="11" t="s">
        <v>235</v>
      </c>
      <c r="C97" s="12" t="s">
        <v>51</v>
      </c>
      <c r="D97" s="13" t="n">
        <f aca="false">D55+D56+D57+D58+D59+D60+D61+D62+D63+D64</f>
        <v>18.965</v>
      </c>
      <c r="E97" s="14" t="n">
        <v>48</v>
      </c>
      <c r="F97" s="15" t="n">
        <f aca="false">IF(E97="","",E97*0.15)</f>
        <v>7.2</v>
      </c>
      <c r="G97" s="15" t="n">
        <f aca="false">IF(E97="","",E97*0.05)</f>
        <v>2.4</v>
      </c>
      <c r="H97" s="15" t="n">
        <f aca="false">IF(E97="","",E97*1.05*0.85)</f>
        <v>42.84</v>
      </c>
      <c r="I97" s="13" t="n">
        <f aca="false">IF(D97="","",H97*D97)</f>
        <v>812.4606</v>
      </c>
    </row>
    <row r="98" customFormat="false" ht="15" hidden="false" customHeight="true" outlineLevel="0" collapsed="false">
      <c r="A98" s="10" t="s">
        <v>236</v>
      </c>
      <c r="B98" s="11" t="s">
        <v>237</v>
      </c>
      <c r="C98" s="12"/>
      <c r="D98" s="13"/>
      <c r="E98" s="14"/>
      <c r="F98" s="15"/>
      <c r="G98" s="15"/>
      <c r="H98" s="15"/>
      <c r="I98" s="13"/>
    </row>
    <row r="99" customFormat="false" ht="15" hidden="false" customHeight="true" outlineLevel="0" collapsed="false">
      <c r="A99" s="10" t="s">
        <v>238</v>
      </c>
      <c r="B99" s="11" t="s">
        <v>239</v>
      </c>
      <c r="C99" s="12"/>
      <c r="D99" s="13"/>
      <c r="E99" s="14"/>
      <c r="F99" s="15"/>
      <c r="G99" s="15"/>
      <c r="H99" s="15"/>
      <c r="I99" s="13"/>
    </row>
    <row r="100" customFormat="false" ht="15" hidden="false" customHeight="true" outlineLevel="0" collapsed="false">
      <c r="A100" s="10" t="s">
        <v>240</v>
      </c>
      <c r="B100" s="11" t="s">
        <v>241</v>
      </c>
      <c r="C100" s="12" t="s">
        <v>20</v>
      </c>
      <c r="D100" s="13" t="n">
        <v>3</v>
      </c>
      <c r="E100" s="14" t="n">
        <v>130</v>
      </c>
      <c r="F100" s="15" t="n">
        <f aca="false">IF(E100="","",E100*0.15)</f>
        <v>19.5</v>
      </c>
      <c r="G100" s="15" t="n">
        <f aca="false">IF(E100="","",E100*0.05)</f>
        <v>6.5</v>
      </c>
      <c r="H100" s="15" t="n">
        <f aca="false">IF(E100="","",E100*1.05*0.85)</f>
        <v>116.025</v>
      </c>
      <c r="I100" s="13" t="n">
        <f aca="false">IF(D100="","",H100*D100)</f>
        <v>348.075</v>
      </c>
    </row>
    <row r="101" customFormat="false" ht="15" hidden="false" customHeight="true" outlineLevel="0" collapsed="false">
      <c r="A101" s="10" t="s">
        <v>242</v>
      </c>
      <c r="B101" s="11" t="s">
        <v>243</v>
      </c>
      <c r="C101" s="12" t="s">
        <v>20</v>
      </c>
      <c r="D101" s="13" t="n">
        <f aca="false">D70*2+D65+D66+D67+D68+D69+L30</f>
        <v>5</v>
      </c>
      <c r="E101" s="14" t="n">
        <v>145</v>
      </c>
      <c r="F101" s="15" t="n">
        <f aca="false">IF(E101="","",E101*0.15)</f>
        <v>21.75</v>
      </c>
      <c r="G101" s="15" t="n">
        <f aca="false">IF(E101="","",E101*0.05)</f>
        <v>7.25</v>
      </c>
      <c r="H101" s="15" t="n">
        <f aca="false">IF(E101="","",E101*1.05*0.85)</f>
        <v>129.4125</v>
      </c>
      <c r="I101" s="13" t="n">
        <f aca="false">IF(D101="","",H101*D101)</f>
        <v>647.0625</v>
      </c>
    </row>
    <row r="102" customFormat="false" ht="15" hidden="false" customHeight="true" outlineLevel="0" collapsed="false">
      <c r="A102" s="10" t="s">
        <v>244</v>
      </c>
      <c r="B102" s="11" t="s">
        <v>245</v>
      </c>
      <c r="C102" s="12"/>
      <c r="D102" s="13"/>
      <c r="E102" s="14"/>
      <c r="F102" s="15"/>
      <c r="G102" s="15"/>
      <c r="H102" s="15"/>
      <c r="I102" s="13"/>
    </row>
    <row r="103" customFormat="false" ht="23.25" hidden="true" customHeight="true" outlineLevel="0" collapsed="false">
      <c r="A103" s="10" t="s">
        <v>246</v>
      </c>
      <c r="B103" s="11" t="s">
        <v>247</v>
      </c>
      <c r="C103" s="12" t="s">
        <v>10</v>
      </c>
      <c r="D103" s="13" t="n">
        <f aca="false">IF(L19&gt;0,IF(SUM(D65,D66,D67,D68,D69,D70)&gt;=5,2,1),0)</f>
        <v>0</v>
      </c>
      <c r="E103" s="14" t="n">
        <v>1460</v>
      </c>
      <c r="F103" s="15" t="n">
        <f aca="false">IF(E103="","",E103*0.15)</f>
        <v>219</v>
      </c>
      <c r="G103" s="15" t="n">
        <f aca="false">IF(E103="","",E103*0.05)</f>
        <v>73</v>
      </c>
      <c r="H103" s="15" t="n">
        <f aca="false">IF(E103="","",E103*1.05*0.85)</f>
        <v>1303.05</v>
      </c>
      <c r="I103" s="13" t="n">
        <f aca="false">IF(D103="","",H103*D103)</f>
        <v>0</v>
      </c>
    </row>
    <row r="104" customFormat="false" ht="23.25" hidden="false" customHeight="true" outlineLevel="0" collapsed="false">
      <c r="A104" s="10" t="s">
        <v>248</v>
      </c>
      <c r="B104" s="11" t="s">
        <v>249</v>
      </c>
      <c r="C104" s="12" t="s">
        <v>10</v>
      </c>
      <c r="D104" s="13" t="n">
        <f aca="false">IF(L20&gt;0,IF(SUM(D65,D66,D67,D68,D69,D70)&gt;=5,2,1),0)</f>
        <v>1</v>
      </c>
      <c r="E104" s="14" t="n">
        <v>1810</v>
      </c>
      <c r="F104" s="15" t="n">
        <f aca="false">IF(E104="","",E104*0.15)</f>
        <v>271.5</v>
      </c>
      <c r="G104" s="15" t="n">
        <f aca="false">IF(E104="","",E104*0.05)</f>
        <v>90.5</v>
      </c>
      <c r="H104" s="15" t="n">
        <f aca="false">IF(E104="","",E104*1.05*0.85)</f>
        <v>1615.425</v>
      </c>
      <c r="I104" s="13" t="n">
        <f aca="false">IF(D104="","",H104*D104)</f>
        <v>1615.425</v>
      </c>
    </row>
    <row r="105" customFormat="false" ht="23.25" hidden="true" customHeight="true" outlineLevel="0" collapsed="false">
      <c r="A105" s="10" t="s">
        <v>250</v>
      </c>
      <c r="B105" s="11" t="s">
        <v>251</v>
      </c>
      <c r="C105" s="12" t="s">
        <v>10</v>
      </c>
      <c r="D105" s="13" t="n">
        <f aca="false">IF(L21&gt;0,IF(SUM(D65,D66,D67,D68,D69,D70)&gt;=5,2,1),0)</f>
        <v>0</v>
      </c>
      <c r="E105" s="14" t="n">
        <v>2200</v>
      </c>
      <c r="F105" s="15" t="n">
        <f aca="false">IF(E105="","",E105*0.15)</f>
        <v>330</v>
      </c>
      <c r="G105" s="15" t="n">
        <f aca="false">IF(E105="","",E105*0.05)</f>
        <v>110</v>
      </c>
      <c r="H105" s="15" t="n">
        <f aca="false">IF(E105="","",E105*1.05*0.85)</f>
        <v>1963.5</v>
      </c>
      <c r="I105" s="13" t="n">
        <f aca="false">IF(D105="","",H105*D105)</f>
        <v>0</v>
      </c>
    </row>
    <row r="106" customFormat="false" ht="15" hidden="false" customHeight="true" outlineLevel="0" collapsed="false">
      <c r="A106" s="10" t="s">
        <v>252</v>
      </c>
      <c r="B106" s="11" t="s">
        <v>253</v>
      </c>
      <c r="C106" s="12"/>
      <c r="D106" s="13"/>
      <c r="E106" s="14"/>
      <c r="F106" s="15"/>
      <c r="G106" s="15"/>
      <c r="H106" s="15"/>
      <c r="I106" s="13"/>
    </row>
    <row r="107" customFormat="false" ht="15" hidden="false" customHeight="true" outlineLevel="0" collapsed="false">
      <c r="A107" s="10" t="s">
        <v>254</v>
      </c>
      <c r="B107" s="11" t="s">
        <v>255</v>
      </c>
      <c r="C107" s="12"/>
      <c r="D107" s="13"/>
      <c r="E107" s="14"/>
      <c r="F107" s="15"/>
      <c r="G107" s="15"/>
      <c r="H107" s="15"/>
      <c r="I107" s="13"/>
    </row>
    <row r="108" customFormat="false" ht="48" hidden="false" customHeight="true" outlineLevel="0" collapsed="false">
      <c r="A108" s="10" t="s">
        <v>256</v>
      </c>
      <c r="B108" s="11" t="s">
        <v>257</v>
      </c>
      <c r="C108" s="12" t="s">
        <v>51</v>
      </c>
      <c r="D108" s="13" t="n">
        <f aca="false">L31</f>
        <v>2.292</v>
      </c>
      <c r="E108" s="14" t="n">
        <v>129.781420765027</v>
      </c>
      <c r="F108" s="15" t="n">
        <f aca="false">IF(E108="","",E108*0.15)</f>
        <v>19.4672131147541</v>
      </c>
      <c r="G108" s="15" t="n">
        <f aca="false">IF(E108="","",E108*0.05)</f>
        <v>6.48907103825135</v>
      </c>
      <c r="H108" s="15" t="n">
        <f aca="false">IF(E108="","",E108*1.05*0.85)</f>
        <v>115.829918032787</v>
      </c>
      <c r="I108" s="13" t="n">
        <f aca="false">IF(D108="","",H108*D108)</f>
        <v>265.482172131147</v>
      </c>
    </row>
    <row r="109" customFormat="false" ht="15" hidden="false" customHeight="true" outlineLevel="0" collapsed="false">
      <c r="A109" s="10" t="s">
        <v>258</v>
      </c>
      <c r="B109" s="11" t="s">
        <v>259</v>
      </c>
      <c r="C109" s="12" t="s">
        <v>10</v>
      </c>
      <c r="D109" s="13" t="n">
        <v>1</v>
      </c>
      <c r="E109" s="14" t="n">
        <v>2375.35014005602</v>
      </c>
      <c r="F109" s="15" t="n">
        <f aca="false">IF(E109="","",E109*0.15)</f>
        <v>356.302521008403</v>
      </c>
      <c r="G109" s="15" t="n">
        <f aca="false">IF(E109="","",E109*0.05)</f>
        <v>118.767507002801</v>
      </c>
      <c r="H109" s="15" t="n">
        <f aca="false">IF(E109="","",E109*1.05*0.85)</f>
        <v>2120</v>
      </c>
      <c r="I109" s="13" t="n">
        <f aca="false">IF(D109="","",H109*D109)</f>
        <v>2120</v>
      </c>
    </row>
    <row r="110" customFormat="false" ht="15" hidden="false" customHeight="true" outlineLevel="0" collapsed="false">
      <c r="A110" s="10" t="s">
        <v>260</v>
      </c>
      <c r="B110" s="11" t="s">
        <v>261</v>
      </c>
      <c r="C110" s="12" t="s">
        <v>10</v>
      </c>
      <c r="D110" s="13" t="n">
        <v>3</v>
      </c>
      <c r="E110" s="14" t="n">
        <v>950.140056022409</v>
      </c>
      <c r="F110" s="15" t="n">
        <f aca="false">IF(E110="","",E110*0.15)</f>
        <v>142.521008403361</v>
      </c>
      <c r="G110" s="15" t="n">
        <f aca="false">IF(E110="","",E110*0.05)</f>
        <v>47.5070028011205</v>
      </c>
      <c r="H110" s="15" t="n">
        <f aca="false">IF(E110="","",E110*1.05*0.85)</f>
        <v>848</v>
      </c>
      <c r="I110" s="13" t="n">
        <f aca="false">IF(D110="","",H110*D110)</f>
        <v>2544</v>
      </c>
    </row>
    <row r="111" customFormat="false" ht="25.5" hidden="false" customHeight="true" outlineLevel="0" collapsed="false">
      <c r="A111" s="10" t="s">
        <v>262</v>
      </c>
      <c r="B111" s="11" t="s">
        <v>263</v>
      </c>
      <c r="C111" s="16" t="s">
        <v>264</v>
      </c>
      <c r="D111" s="13" t="n">
        <f aca="false">SUM(I17:I29,I34:I36,I38:I39,I44:I46,I49:I51,I56:I64,I83:I84,I109:I110)/0.85/1.05</f>
        <v>60313.7103081233</v>
      </c>
      <c r="E111" s="14" t="n">
        <v>0.06</v>
      </c>
      <c r="F111" s="15" t="n">
        <f aca="false">IF(E111="","",E111*0.15)</f>
        <v>0.009</v>
      </c>
      <c r="G111" s="15" t="n">
        <f aca="false">IF(E111="","",E111*0.05)</f>
        <v>0.003</v>
      </c>
      <c r="H111" s="15" t="n">
        <f aca="false">IF(E111="","",E111*1.05*0.85)</f>
        <v>0.05355</v>
      </c>
      <c r="I111" s="13" t="n">
        <f aca="false">IF(D111="","",H111*D111)</f>
        <v>3229.799187</v>
      </c>
    </row>
    <row r="112" customFormat="false" ht="57" hidden="true" customHeight="true" outlineLevel="0" collapsed="false">
      <c r="A112" s="10" t="s">
        <v>265</v>
      </c>
      <c r="B112" s="11" t="s">
        <v>266</v>
      </c>
      <c r="C112" s="12" t="s">
        <v>267</v>
      </c>
      <c r="D112" s="13" t="n">
        <v>0</v>
      </c>
      <c r="E112" s="14" t="n">
        <v>3400</v>
      </c>
      <c r="F112" s="15" t="n">
        <f aca="false">IF(E112="","",E112*0.15)</f>
        <v>510</v>
      </c>
      <c r="G112" s="15" t="n">
        <f aca="false">IF(E112="","",E112*0.05)</f>
        <v>170</v>
      </c>
      <c r="H112" s="15" t="n">
        <f aca="false">IF(E112="","",E112*1.05*0.85)</f>
        <v>3034.5</v>
      </c>
      <c r="I112" s="13" t="n">
        <f aca="false">IF(D112="","",H112*D112)</f>
        <v>0</v>
      </c>
    </row>
    <row r="113" customFormat="false" ht="28.5" hidden="true" customHeight="true" outlineLevel="0" collapsed="false">
      <c r="A113" s="10" t="s">
        <v>268</v>
      </c>
      <c r="B113" s="11" t="s">
        <v>269</v>
      </c>
      <c r="C113" s="12" t="s">
        <v>270</v>
      </c>
      <c r="D113" s="13" t="n">
        <v>0</v>
      </c>
      <c r="E113" s="14" t="n">
        <v>0.15</v>
      </c>
      <c r="F113" s="15" t="n">
        <f aca="false">IF(E113="","",E113*0.15)</f>
        <v>0.0225</v>
      </c>
      <c r="G113" s="15" t="n">
        <f aca="false">IF(E113="","",E113*0.05)</f>
        <v>0.0075</v>
      </c>
      <c r="H113" s="15" t="n">
        <f aca="false">IF(E113="","",E113*1.05*0.85)</f>
        <v>0.133875</v>
      </c>
      <c r="I113" s="13" t="n">
        <f aca="false">IF(D113="","",H113*D113)</f>
        <v>0</v>
      </c>
    </row>
    <row r="114" customFormat="false" ht="15" hidden="true" customHeight="true" outlineLevel="0" collapsed="false">
      <c r="A114" s="10" t="s">
        <v>271</v>
      </c>
      <c r="B114" s="11" t="s">
        <v>272</v>
      </c>
      <c r="C114" s="12" t="s">
        <v>270</v>
      </c>
      <c r="D114" s="13" t="n">
        <v>0</v>
      </c>
      <c r="E114" s="14" t="n">
        <v>6162.4649859944</v>
      </c>
      <c r="F114" s="15" t="n">
        <f aca="false">IF(E114="","",E114*0.15)</f>
        <v>924.36974789916</v>
      </c>
      <c r="G114" s="15" t="n">
        <f aca="false">IF(E114="","",E114*0.05)</f>
        <v>308.12324929972</v>
      </c>
      <c r="H114" s="15" t="n">
        <f aca="false">IF(E114="","",E114*1.05*0.85)</f>
        <v>5500</v>
      </c>
      <c r="I114" s="13" t="n">
        <f aca="false">IF(D114="","",H114*D114)</f>
        <v>0</v>
      </c>
    </row>
    <row r="115" customFormat="false" ht="57" hidden="true" customHeight="true" outlineLevel="0" collapsed="false">
      <c r="A115" s="10" t="s">
        <v>273</v>
      </c>
      <c r="B115" s="11" t="s">
        <v>274</v>
      </c>
      <c r="C115" s="12" t="s">
        <v>267</v>
      </c>
      <c r="D115" s="13" t="n">
        <v>0</v>
      </c>
      <c r="E115" s="14" t="n">
        <v>3500</v>
      </c>
      <c r="F115" s="15" t="n">
        <f aca="false">IF(E115="","",E115*0.15)</f>
        <v>525</v>
      </c>
      <c r="G115" s="15" t="n">
        <f aca="false">IF(E115="","",E115*0.05)</f>
        <v>175</v>
      </c>
      <c r="H115" s="15" t="n">
        <f aca="false">IF(E115="","",E115*1.05*0.85)</f>
        <v>3123.75</v>
      </c>
      <c r="I115" s="13" t="n">
        <f aca="false">IF(D115="","",H115*D115)</f>
        <v>0</v>
      </c>
    </row>
    <row r="116" customFormat="false" ht="57" hidden="true" customHeight="true" outlineLevel="0" collapsed="false">
      <c r="A116" s="10" t="s">
        <v>275</v>
      </c>
      <c r="B116" s="11" t="s">
        <v>276</v>
      </c>
      <c r="C116" s="12" t="s">
        <v>267</v>
      </c>
      <c r="D116" s="13" t="n">
        <v>0</v>
      </c>
      <c r="E116" s="14" t="n">
        <v>3650</v>
      </c>
      <c r="F116" s="15" t="n">
        <f aca="false">IF(E116="","",E116*0.15)</f>
        <v>547.5</v>
      </c>
      <c r="G116" s="15" t="n">
        <f aca="false">IF(E116="","",E116*0.05)</f>
        <v>182.5</v>
      </c>
      <c r="H116" s="15" t="n">
        <f aca="false">IF(E116="","",E116*1.05*0.85)</f>
        <v>3257.625</v>
      </c>
      <c r="I116" s="13" t="n">
        <f aca="false">IF(D116="","",H116*D116)</f>
        <v>0</v>
      </c>
    </row>
    <row r="117" customFormat="false" ht="57" hidden="true" customHeight="true" outlineLevel="0" collapsed="false">
      <c r="A117" s="10" t="s">
        <v>277</v>
      </c>
      <c r="B117" s="11" t="s">
        <v>278</v>
      </c>
      <c r="C117" s="12" t="s">
        <v>267</v>
      </c>
      <c r="D117" s="13" t="n">
        <v>0</v>
      </c>
      <c r="E117" s="14" t="n">
        <v>3550</v>
      </c>
      <c r="F117" s="15" t="n">
        <f aca="false">IF(E117="","",E117*0.15)</f>
        <v>532.5</v>
      </c>
      <c r="G117" s="15" t="n">
        <f aca="false">IF(E117="","",E117*0.05)</f>
        <v>177.5</v>
      </c>
      <c r="H117" s="15" t="n">
        <f aca="false">IF(E117="","",E117*1.05*0.85)</f>
        <v>3168.375</v>
      </c>
      <c r="I117" s="13" t="n">
        <f aca="false">IF(D117="","",H117*D117)</f>
        <v>0</v>
      </c>
    </row>
    <row r="118" customFormat="false" ht="15" hidden="false" customHeight="true" outlineLevel="0" collapsed="false">
      <c r="A118" s="17"/>
      <c r="B118" s="18" t="s">
        <v>279</v>
      </c>
      <c r="C118" s="19"/>
      <c r="D118" s="20"/>
      <c r="E118" s="21"/>
      <c r="F118" s="20"/>
      <c r="G118" s="20"/>
      <c r="H118" s="20"/>
      <c r="I118" s="22" t="n">
        <f aca="false">SUMIF(A:A,"01.*",I:I)</f>
        <v>0</v>
      </c>
    </row>
    <row r="119" customFormat="false" ht="15" hidden="true" customHeight="true" outlineLevel="0" collapsed="false">
      <c r="A119" s="17"/>
      <c r="B119" s="18" t="s">
        <v>280</v>
      </c>
      <c r="C119" s="19"/>
      <c r="D119" s="20"/>
      <c r="E119" s="21"/>
      <c r="F119" s="20"/>
      <c r="G119" s="20"/>
      <c r="H119" s="20"/>
      <c r="I119" s="22" t="n">
        <f aca="false">SUMIF(A:A,"05.*",I:I)</f>
        <v>0</v>
      </c>
    </row>
    <row r="120" customFormat="false" ht="15" hidden="false" customHeight="true" outlineLevel="0" collapsed="false">
      <c r="A120" s="17"/>
      <c r="B120" s="18" t="s">
        <v>281</v>
      </c>
      <c r="C120" s="19"/>
      <c r="D120" s="20"/>
      <c r="E120" s="21"/>
      <c r="F120" s="20"/>
      <c r="G120" s="20"/>
      <c r="H120" s="20"/>
      <c r="I120" s="22" t="n">
        <f aca="false">SUMIF(A:A,"09.*",I:I)</f>
        <v>1825.5552</v>
      </c>
    </row>
    <row r="121" customFormat="false" ht="15" hidden="false" customHeight="true" outlineLevel="0" collapsed="false">
      <c r="A121" s="17"/>
      <c r="B121" s="18" t="s">
        <v>282</v>
      </c>
      <c r="C121" s="19"/>
      <c r="D121" s="20"/>
      <c r="E121" s="21"/>
      <c r="F121" s="20"/>
      <c r="G121" s="20"/>
      <c r="H121" s="20"/>
      <c r="I121" s="22" t="n">
        <f aca="false">SUMIF(A:A,"11.*",I:I)</f>
        <v>6318.9</v>
      </c>
    </row>
    <row r="122" customFormat="false" ht="15" hidden="false" customHeight="true" outlineLevel="0" collapsed="false">
      <c r="A122" s="17"/>
      <c r="B122" s="18" t="s">
        <v>283</v>
      </c>
      <c r="C122" s="19"/>
      <c r="D122" s="20"/>
      <c r="E122" s="21"/>
      <c r="F122" s="20"/>
      <c r="G122" s="20"/>
      <c r="H122" s="20"/>
      <c r="I122" s="22" t="n">
        <f aca="false">SUMIF(A:A,"12.*",I:I)</f>
        <v>66456.0711545</v>
      </c>
    </row>
    <row r="123" customFormat="false" ht="15" hidden="true" customHeight="true" outlineLevel="0" collapsed="false">
      <c r="A123" s="17"/>
      <c r="B123" s="18" t="s">
        <v>284</v>
      </c>
      <c r="C123" s="19"/>
      <c r="D123" s="20"/>
      <c r="E123" s="21"/>
      <c r="F123" s="20"/>
      <c r="G123" s="20"/>
      <c r="H123" s="20"/>
      <c r="I123" s="22" t="n">
        <f aca="false">SUMIF(A:A,"15.*",I:I)</f>
        <v>0</v>
      </c>
    </row>
    <row r="124" customFormat="false" ht="15" hidden="true" customHeight="true" outlineLevel="0" collapsed="false">
      <c r="A124" s="17"/>
      <c r="B124" s="18" t="s">
        <v>285</v>
      </c>
      <c r="C124" s="19"/>
      <c r="D124" s="20"/>
      <c r="E124" s="21"/>
      <c r="F124" s="20"/>
      <c r="G124" s="20"/>
      <c r="H124" s="20"/>
      <c r="I124" s="22" t="n">
        <f aca="false">SUMIF(A:A,"22.*",I:I)</f>
        <v>0</v>
      </c>
    </row>
    <row r="125" customFormat="false" ht="15" hidden="false" customHeight="true" outlineLevel="0" collapsed="false">
      <c r="A125" s="17"/>
      <c r="B125" s="23" t="s">
        <v>286</v>
      </c>
      <c r="C125" s="19"/>
      <c r="D125" s="20"/>
      <c r="E125" s="21"/>
      <c r="F125" s="20"/>
      <c r="G125" s="20"/>
      <c r="H125" s="20"/>
      <c r="I125" s="22" t="n">
        <f aca="false">SUMIF(A:A,"30.*",I:I)</f>
        <v>812.4606</v>
      </c>
    </row>
    <row r="126" customFormat="false" ht="15" hidden="false" customHeight="true" outlineLevel="0" collapsed="false">
      <c r="A126" s="17"/>
      <c r="B126" s="18" t="s">
        <v>287</v>
      </c>
      <c r="C126" s="19"/>
      <c r="D126" s="20"/>
      <c r="E126" s="21"/>
      <c r="F126" s="20"/>
      <c r="G126" s="20"/>
      <c r="H126" s="20"/>
      <c r="I126" s="22" t="n">
        <f aca="false">SUMIF(A:A,"60.*",I:I)</f>
        <v>2878.3125</v>
      </c>
    </row>
    <row r="127" customFormat="false" ht="15" hidden="false" customHeight="true" outlineLevel="0" collapsed="false">
      <c r="A127" s="17"/>
      <c r="B127" s="18" t="s">
        <v>288</v>
      </c>
      <c r="C127" s="19"/>
      <c r="D127" s="20"/>
      <c r="E127" s="21"/>
      <c r="F127" s="20"/>
      <c r="G127" s="20"/>
      <c r="H127" s="20"/>
      <c r="I127" s="22" t="n">
        <f aca="false">SUMIF(A:A,"85.*",I:I)</f>
        <v>265.482172131147</v>
      </c>
    </row>
    <row r="128" customFormat="false" ht="15" hidden="false" customHeight="true" outlineLevel="0" collapsed="false">
      <c r="A128" s="24"/>
      <c r="B128" s="25" t="s">
        <v>289</v>
      </c>
      <c r="C128" s="19"/>
      <c r="D128" s="20"/>
      <c r="E128" s="21"/>
      <c r="F128" s="26"/>
      <c r="G128" s="26"/>
      <c r="H128" s="26"/>
      <c r="I128" s="26" t="n">
        <f aca="false">SUM(I118:I127)</f>
        <v>78556.7816266311</v>
      </c>
    </row>
    <row r="129" customFormat="false" ht="15" hidden="false" customHeight="true" outlineLevel="0" collapsed="false">
      <c r="A129" s="24"/>
      <c r="B129" s="25" t="s">
        <v>290</v>
      </c>
      <c r="C129" s="19"/>
      <c r="D129" s="20"/>
      <c r="E129" s="21"/>
      <c r="F129" s="26"/>
      <c r="G129" s="26"/>
      <c r="H129" s="26"/>
      <c r="I129" s="26" t="n">
        <f aca="false">(I128*(1/100*18))</f>
        <v>14140.2206927936</v>
      </c>
    </row>
    <row r="130" customFormat="false" ht="15" hidden="false" customHeight="true" outlineLevel="0" collapsed="false">
      <c r="A130" s="24"/>
      <c r="B130" s="25" t="s">
        <v>291</v>
      </c>
      <c r="C130" s="19"/>
      <c r="D130" s="20"/>
      <c r="E130" s="21"/>
      <c r="F130" s="26"/>
      <c r="G130" s="26"/>
      <c r="H130" s="26"/>
      <c r="I130" s="26" t="n">
        <f aca="false">I128+I129</f>
        <v>92697.0023194248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14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61"/>
    <col collapsed="false" customWidth="true" hidden="false" outlineLevel="0" max="2" min="2" style="1" width="14"/>
    <col collapsed="false" customWidth="true" hidden="false" outlineLevel="0" max="3" min="3" style="1" width="12.1"/>
    <col collapsed="false" customWidth="true" hidden="false" outlineLevel="0" max="5" min="5" style="1" width="33"/>
  </cols>
  <sheetData>
    <row r="2" customFormat="false" ht="20.25" hidden="false" customHeight="true" outlineLevel="0" collapsed="false">
      <c r="A2" s="27" t="s">
        <v>292</v>
      </c>
      <c r="B2" s="27"/>
      <c r="C2" s="27"/>
      <c r="D2" s="27"/>
      <c r="E2" s="27"/>
    </row>
    <row r="3" customFormat="false" ht="15" hidden="false" customHeight="true" outlineLevel="0" collapsed="false">
      <c r="A3" s="28" t="s">
        <v>293</v>
      </c>
      <c r="B3" s="29" t="str">
        <f aca="false">'1549'!D1</f>
        <v>1549</v>
      </c>
      <c r="C3" s="30"/>
      <c r="D3" s="28" t="s">
        <v>294</v>
      </c>
      <c r="E3" s="31" t="s">
        <v>295</v>
      </c>
    </row>
    <row r="6" customFormat="false" ht="14.25" hidden="false" customHeight="true" outlineLevel="0" collapsed="false"/>
    <row r="7" customFormat="false" ht="15" hidden="false" customHeight="true" outlineLevel="0" collapsed="false">
      <c r="A7" s="32" t="s">
        <v>296</v>
      </c>
      <c r="B7" s="33" t="s">
        <v>11</v>
      </c>
      <c r="C7" s="34" t="s">
        <v>297</v>
      </c>
    </row>
    <row r="8" customFormat="false" ht="14.25" hidden="false" customHeight="true" outlineLevel="0" collapsed="false">
      <c r="A8" s="35" t="s">
        <v>298</v>
      </c>
      <c r="B8" s="36" t="n">
        <f aca="false">IFERROR(INDEX('1549'!D:D,MATCH(A11,'1549'!A:A,0)),"לא מוצא")</f>
        <v>0</v>
      </c>
      <c r="C8" s="37" t="s">
        <v>51</v>
      </c>
    </row>
    <row r="9" customFormat="false" ht="14.25" hidden="false" customHeight="true" outlineLevel="0" collapsed="false">
      <c r="A9" s="38" t="s">
        <v>299</v>
      </c>
      <c r="B9" s="38"/>
      <c r="C9" s="38"/>
      <c r="E9" s="39" t="s">
        <v>300</v>
      </c>
    </row>
    <row r="10" customFormat="false" ht="15" hidden="false" customHeight="true" outlineLevel="0" collapsed="false">
      <c r="A10" s="32" t="s">
        <v>301</v>
      </c>
      <c r="B10" s="33" t="s">
        <v>302</v>
      </c>
      <c r="C10" s="33"/>
    </row>
    <row r="11" customFormat="false" ht="15" hidden="false" customHeight="true" outlineLevel="0" collapsed="false">
      <c r="A11" s="40" t="s">
        <v>59</v>
      </c>
      <c r="B11" s="30" t="s">
        <v>303</v>
      </c>
      <c r="C11" s="30"/>
    </row>
    <row r="12" customFormat="false" ht="15" hidden="false" customHeight="true" outlineLevel="0" collapsed="false">
      <c r="A12" s="40" t="s">
        <v>86</v>
      </c>
      <c r="B12" s="30" t="s">
        <v>304</v>
      </c>
      <c r="C12" s="30"/>
    </row>
    <row r="13" customFormat="false" ht="15" hidden="false" customHeight="true" outlineLevel="0" collapsed="false">
      <c r="A13" s="40" t="s">
        <v>152</v>
      </c>
      <c r="B13" s="30" t="s">
        <v>305</v>
      </c>
      <c r="C13" s="30"/>
    </row>
    <row r="14" customFormat="false" ht="14.25" hidden="false" customHeight="true" outlineLevel="0" collapsed="false">
      <c r="A14" s="41" t="s">
        <v>262</v>
      </c>
      <c r="B14" s="42" t="s">
        <v>306</v>
      </c>
      <c r="C14" s="42"/>
    </row>
    <row r="15" customFormat="false" ht="14.25" hidden="false" customHeight="true" outlineLevel="0" collapsed="false">
      <c r="A15" s="43"/>
      <c r="B15" s="44"/>
      <c r="C15" s="44"/>
    </row>
    <row r="16" customFormat="false" ht="15" hidden="false" customHeight="true" outlineLevel="0" collapsed="false">
      <c r="A16" s="32" t="s">
        <v>296</v>
      </c>
      <c r="B16" s="33" t="s">
        <v>11</v>
      </c>
      <c r="C16" s="34" t="s">
        <v>297</v>
      </c>
    </row>
    <row r="17" customFormat="false" ht="27.75" hidden="false" customHeight="true" outlineLevel="0" collapsed="false">
      <c r="A17" s="45" t="s">
        <v>307</v>
      </c>
      <c r="B17" s="36" t="n">
        <f aca="false">IFERROR(INDEX('1549'!D:D,MATCH(A20,'1549'!A:A,0)),"לא מוצא")</f>
        <v>31.96</v>
      </c>
      <c r="C17" s="37" t="s">
        <v>308</v>
      </c>
    </row>
    <row r="18" customFormat="false" ht="42" hidden="false" customHeight="true" outlineLevel="0" collapsed="false">
      <c r="A18" s="38" t="s">
        <v>299</v>
      </c>
      <c r="B18" s="38"/>
      <c r="C18" s="38"/>
      <c r="E18" s="39" t="s">
        <v>309</v>
      </c>
    </row>
    <row r="19" customFormat="false" ht="15" hidden="false" customHeight="true" outlineLevel="0" collapsed="false">
      <c r="A19" s="32" t="s">
        <v>301</v>
      </c>
      <c r="B19" s="33" t="s">
        <v>302</v>
      </c>
      <c r="C19" s="33"/>
    </row>
    <row r="20" customFormat="false" ht="26.25" hidden="false" customHeight="true" outlineLevel="0" collapsed="false">
      <c r="A20" s="40" t="s">
        <v>28</v>
      </c>
      <c r="B20" s="30" t="s">
        <v>310</v>
      </c>
      <c r="C20" s="30"/>
    </row>
    <row r="21" customFormat="false" ht="14.25" hidden="false" customHeight="true" outlineLevel="0" collapsed="false">
      <c r="A21" s="41"/>
      <c r="B21" s="42"/>
      <c r="C21" s="42"/>
    </row>
    <row r="22" customFormat="false" ht="14.25" hidden="false" customHeight="true" outlineLevel="0" collapsed="false"/>
    <row r="23" customFormat="false" ht="15" hidden="false" customHeight="true" outlineLevel="0" collapsed="false">
      <c r="A23" s="32" t="s">
        <v>296</v>
      </c>
      <c r="B23" s="33" t="s">
        <v>11</v>
      </c>
      <c r="C23" s="34" t="s">
        <v>297</v>
      </c>
    </row>
    <row r="24" customFormat="false" ht="27.75" hidden="false" customHeight="true" outlineLevel="0" collapsed="false">
      <c r="A24" s="45" t="s">
        <v>5</v>
      </c>
      <c r="B24" s="36" t="n">
        <f aca="false">IFERROR(INDEX('1549'!D:D,MATCH(A27,'1549'!A:A,0)),"לא מוצא")</f>
        <v>4</v>
      </c>
      <c r="C24" s="37" t="s">
        <v>270</v>
      </c>
      <c r="E24" s="39" t="s">
        <v>311</v>
      </c>
    </row>
    <row r="25" customFormat="false" ht="14.25" hidden="false" customHeight="true" outlineLevel="0" collapsed="false">
      <c r="A25" s="38" t="s">
        <v>299</v>
      </c>
      <c r="B25" s="38"/>
      <c r="C25" s="38"/>
    </row>
    <row r="26" customFormat="false" ht="15" hidden="false" customHeight="true" outlineLevel="0" collapsed="false">
      <c r="A26" s="32" t="s">
        <v>301</v>
      </c>
      <c r="B26" s="33" t="s">
        <v>302</v>
      </c>
      <c r="C26" s="33"/>
    </row>
    <row r="27" customFormat="false" ht="26.25" hidden="false" customHeight="true" outlineLevel="0" collapsed="false">
      <c r="A27" s="40" t="s">
        <v>38</v>
      </c>
      <c r="B27" s="30" t="s">
        <v>312</v>
      </c>
      <c r="C27" s="30"/>
    </row>
    <row r="28" customFormat="false" ht="14.25" hidden="false" customHeight="true" outlineLevel="0" collapsed="false">
      <c r="A28" s="41"/>
      <c r="B28" s="42"/>
      <c r="C28" s="42"/>
    </row>
    <row r="29" customFormat="false" ht="14.25" hidden="false" customHeight="true" outlineLevel="0" collapsed="false"/>
    <row r="30" customFormat="false" ht="15" hidden="false" customHeight="true" outlineLevel="0" collapsed="false">
      <c r="A30" s="32" t="s">
        <v>296</v>
      </c>
      <c r="B30" s="33" t="s">
        <v>11</v>
      </c>
      <c r="C30" s="34" t="s">
        <v>297</v>
      </c>
      <c r="E30" s="39" t="s">
        <v>313</v>
      </c>
    </row>
    <row r="31" customFormat="false" ht="14.25" hidden="false" customHeight="true" outlineLevel="0" collapsed="false">
      <c r="A31" s="45" t="s">
        <v>314</v>
      </c>
      <c r="B31" s="36" t="n">
        <f aca="false">IFERROR(INDEX('1549'!D:D,MATCH(A34,'1549'!A:A,0)),"לא מוצא")</f>
        <v>3</v>
      </c>
      <c r="C31" s="37" t="s">
        <v>10</v>
      </c>
    </row>
    <row r="32" customFormat="false" ht="14.25" hidden="false" customHeight="true" outlineLevel="0" collapsed="false">
      <c r="A32" s="38" t="s">
        <v>299</v>
      </c>
      <c r="B32" s="38"/>
      <c r="C32" s="38"/>
    </row>
    <row r="33" customFormat="false" ht="15" hidden="false" customHeight="true" outlineLevel="0" collapsed="false">
      <c r="A33" s="32" t="s">
        <v>301</v>
      </c>
      <c r="B33" s="33" t="s">
        <v>302</v>
      </c>
      <c r="C33" s="33"/>
    </row>
    <row r="34" customFormat="false" ht="26.25" hidden="false" customHeight="true" outlineLevel="0" collapsed="false">
      <c r="A34" s="46" t="s">
        <v>95</v>
      </c>
      <c r="B34" s="30" t="s">
        <v>315</v>
      </c>
      <c r="C34" s="30"/>
    </row>
    <row r="35" customFormat="false" ht="14.25" hidden="false" customHeight="true" outlineLevel="0" collapsed="false">
      <c r="A35" s="41"/>
      <c r="B35" s="42"/>
      <c r="C35" s="42"/>
    </row>
    <row r="36" customFormat="false" ht="14.25" hidden="false" customHeight="true" outlineLevel="0" collapsed="false"/>
    <row r="37" customFormat="false" ht="15" hidden="false" customHeight="true" outlineLevel="0" collapsed="false">
      <c r="A37" s="32" t="s">
        <v>296</v>
      </c>
      <c r="B37" s="33" t="s">
        <v>11</v>
      </c>
      <c r="C37" s="34" t="s">
        <v>297</v>
      </c>
      <c r="E37" s="39" t="s">
        <v>316</v>
      </c>
    </row>
    <row r="38" customFormat="false" ht="14.25" hidden="false" customHeight="true" outlineLevel="0" collapsed="false">
      <c r="A38" s="35" t="s">
        <v>317</v>
      </c>
      <c r="B38" s="36" t="n">
        <f aca="false">IFERROR(INDEX('1549'!D:D,MATCH(A41,'1549'!A:A,0)),"לא מוצא")</f>
        <v>7.85</v>
      </c>
      <c r="C38" s="37" t="s">
        <v>51</v>
      </c>
    </row>
    <row r="39" customFormat="false" ht="14.25" hidden="false" customHeight="true" outlineLevel="0" collapsed="false">
      <c r="A39" s="38" t="s">
        <v>299</v>
      </c>
      <c r="B39" s="38"/>
      <c r="C39" s="38"/>
    </row>
    <row r="40" customFormat="false" ht="15" hidden="false" customHeight="true" outlineLevel="0" collapsed="false">
      <c r="A40" s="32" t="s">
        <v>301</v>
      </c>
      <c r="B40" s="33" t="s">
        <v>302</v>
      </c>
      <c r="C40" s="33"/>
    </row>
    <row r="41" customFormat="false" ht="90" hidden="false" customHeight="true" outlineLevel="0" collapsed="false">
      <c r="A41" s="46" t="s">
        <v>130</v>
      </c>
      <c r="B41" s="30" t="s">
        <v>131</v>
      </c>
      <c r="C41" s="30"/>
    </row>
    <row r="42" customFormat="false" ht="26.25" hidden="false" customHeight="true" outlineLevel="0" collapsed="false">
      <c r="A42" s="46" t="s">
        <v>146</v>
      </c>
      <c r="B42" s="30" t="s">
        <v>147</v>
      </c>
      <c r="C42" s="30"/>
    </row>
    <row r="43" customFormat="false" ht="39" hidden="false" customHeight="true" outlineLevel="0" collapsed="false">
      <c r="A43" s="46" t="s">
        <v>214</v>
      </c>
      <c r="B43" s="30" t="s">
        <v>215</v>
      </c>
      <c r="C43" s="30"/>
    </row>
    <row r="44" customFormat="false" ht="26.25" hidden="false" customHeight="true" outlineLevel="0" collapsed="false">
      <c r="A44" s="46" t="s">
        <v>218</v>
      </c>
      <c r="B44" s="30" t="s">
        <v>318</v>
      </c>
      <c r="C44" s="30"/>
    </row>
    <row r="45" customFormat="false" ht="64.5" hidden="false" customHeight="true" outlineLevel="0" collapsed="false">
      <c r="A45" s="46" t="s">
        <v>154</v>
      </c>
      <c r="B45" s="30" t="s">
        <v>155</v>
      </c>
      <c r="C45" s="30"/>
    </row>
    <row r="46" customFormat="false" ht="14.25" hidden="false" customHeight="true" outlineLevel="0" collapsed="false">
      <c r="A46" s="41" t="s">
        <v>262</v>
      </c>
      <c r="B46" s="42" t="s">
        <v>306</v>
      </c>
      <c r="C46" s="42"/>
    </row>
    <row r="47" customFormat="false" ht="14.25" hidden="false" customHeight="true" outlineLevel="0" collapsed="false"/>
    <row r="48" customFormat="false" ht="41.25" hidden="false" customHeight="true" outlineLevel="0" collapsed="false">
      <c r="A48" s="32" t="s">
        <v>296</v>
      </c>
      <c r="B48" s="33" t="s">
        <v>11</v>
      </c>
      <c r="C48" s="34" t="s">
        <v>297</v>
      </c>
      <c r="E48" s="39" t="s">
        <v>319</v>
      </c>
    </row>
    <row r="49" customFormat="false" ht="14.25" hidden="false" customHeight="true" outlineLevel="0" collapsed="false">
      <c r="A49" s="45" t="s">
        <v>320</v>
      </c>
      <c r="B49" s="47" t="n">
        <f aca="false">SUM(D52:D57)</f>
        <v>4</v>
      </c>
      <c r="C49" s="37" t="s">
        <v>10</v>
      </c>
    </row>
    <row r="50" customFormat="false" ht="14.25" hidden="false" customHeight="true" outlineLevel="0" collapsed="false">
      <c r="A50" s="38" t="s">
        <v>299</v>
      </c>
      <c r="B50" s="38"/>
      <c r="C50" s="38"/>
    </row>
    <row r="51" customFormat="false" ht="15" hidden="false" customHeight="true" outlineLevel="0" collapsed="false">
      <c r="A51" s="32" t="s">
        <v>301</v>
      </c>
      <c r="B51" s="33" t="s">
        <v>302</v>
      </c>
      <c r="C51" s="33"/>
      <c r="D51" s="48" t="s">
        <v>11</v>
      </c>
    </row>
    <row r="52" customFormat="false" ht="39" hidden="false" customHeight="true" outlineLevel="0" collapsed="false">
      <c r="A52" s="46" t="s">
        <v>170</v>
      </c>
      <c r="B52" s="30" t="s">
        <v>171</v>
      </c>
      <c r="C52" s="30"/>
      <c r="D52" s="49" t="n">
        <f aca="false">IFERROR(INDEX('1549'!D:D,MATCH(A52,'1549'!A:A,0)),0)</f>
        <v>0</v>
      </c>
    </row>
    <row r="53" customFormat="false" ht="39" hidden="false" customHeight="true" outlineLevel="0" collapsed="false">
      <c r="A53" s="46" t="s">
        <v>172</v>
      </c>
      <c r="B53" s="30" t="s">
        <v>173</v>
      </c>
      <c r="C53" s="30"/>
      <c r="D53" s="49" t="n">
        <f aca="false">IFERROR(INDEX('1549'!D:D,MATCH(A53,'1549'!A:A,0)),0)</f>
        <v>0</v>
      </c>
    </row>
    <row r="54" customFormat="false" ht="39" hidden="false" customHeight="true" outlineLevel="0" collapsed="false">
      <c r="A54" s="46" t="s">
        <v>174</v>
      </c>
      <c r="B54" s="30" t="s">
        <v>175</v>
      </c>
      <c r="C54" s="30"/>
      <c r="D54" s="49" t="n">
        <f aca="false">IFERROR(INDEX('1549'!D:D,MATCH(A54,'1549'!A:A,0)),0)</f>
        <v>0</v>
      </c>
    </row>
    <row r="55" customFormat="false" ht="39" hidden="false" customHeight="true" outlineLevel="0" collapsed="false">
      <c r="A55" s="46" t="s">
        <v>176</v>
      </c>
      <c r="B55" s="30" t="s">
        <v>177</v>
      </c>
      <c r="C55" s="30"/>
      <c r="D55" s="49" t="n">
        <f aca="false">IFERROR(INDEX('1549'!D:D,MATCH(A55,'1549'!A:A,0)),0)</f>
        <v>3</v>
      </c>
    </row>
    <row r="56" customFormat="false" ht="39" hidden="false" customHeight="true" outlineLevel="0" collapsed="false">
      <c r="A56" s="46" t="s">
        <v>178</v>
      </c>
      <c r="B56" s="30" t="s">
        <v>179</v>
      </c>
      <c r="C56" s="30"/>
      <c r="D56" s="49" t="n">
        <f aca="false">IFERROR(INDEX('1549'!D:D,MATCH(A56,'1549'!A:A,0)),0)</f>
        <v>0</v>
      </c>
    </row>
    <row r="57" customFormat="false" ht="39" hidden="false" customHeight="true" outlineLevel="0" collapsed="false">
      <c r="A57" s="46" t="s">
        <v>180</v>
      </c>
      <c r="B57" s="30" t="s">
        <v>181</v>
      </c>
      <c r="C57" s="30"/>
      <c r="D57" s="49" t="n">
        <f aca="false">IFERROR(INDEX('1549'!D:D,MATCH(A57,'1549'!A:A,0)),0)</f>
        <v>1</v>
      </c>
    </row>
    <row r="58" customFormat="false" ht="14.25" hidden="false" customHeight="true" outlineLevel="0" collapsed="false"/>
    <row r="59" customFormat="false" ht="15" hidden="false" customHeight="true" outlineLevel="0" collapsed="false">
      <c r="A59" s="32" t="s">
        <v>296</v>
      </c>
      <c r="B59" s="33" t="s">
        <v>11</v>
      </c>
      <c r="C59" s="34" t="s">
        <v>297</v>
      </c>
      <c r="E59" s="39" t="s">
        <v>321</v>
      </c>
    </row>
    <row r="60" customFormat="false" ht="14.25" hidden="false" customHeight="true" outlineLevel="0" collapsed="false">
      <c r="A60" s="45" t="s">
        <v>322</v>
      </c>
      <c r="B60" s="47" t="n">
        <f aca="false">SUM(D63:D70)</f>
        <v>4</v>
      </c>
      <c r="C60" s="37" t="s">
        <v>10</v>
      </c>
    </row>
    <row r="61" customFormat="false" ht="14.25" hidden="false" customHeight="true" outlineLevel="0" collapsed="false">
      <c r="A61" s="38" t="s">
        <v>299</v>
      </c>
      <c r="B61" s="38"/>
      <c r="C61" s="38"/>
    </row>
    <row r="62" customFormat="false" ht="15" hidden="false" customHeight="true" outlineLevel="0" collapsed="false">
      <c r="A62" s="32" t="s">
        <v>301</v>
      </c>
      <c r="B62" s="33" t="s">
        <v>302</v>
      </c>
      <c r="C62" s="33"/>
      <c r="D62" s="48" t="s">
        <v>11</v>
      </c>
    </row>
    <row r="63" customFormat="false" ht="26.25" hidden="false" customHeight="true" outlineLevel="0" collapsed="false">
      <c r="A63" s="46" t="s">
        <v>186</v>
      </c>
      <c r="B63" s="30" t="s">
        <v>323</v>
      </c>
      <c r="C63" s="30"/>
      <c r="D63" s="49" t="n">
        <f aca="false">IFERROR(INDEX('1549'!D:D,MATCH(A63,'1549'!A:A,0)),0)</f>
        <v>0</v>
      </c>
    </row>
    <row r="64" customFormat="false" ht="26.25" hidden="false" customHeight="true" outlineLevel="0" collapsed="false">
      <c r="A64" s="46" t="s">
        <v>188</v>
      </c>
      <c r="B64" s="30" t="s">
        <v>324</v>
      </c>
      <c r="C64" s="30"/>
      <c r="D64" s="49" t="n">
        <f aca="false">IFERROR(INDEX('1549'!D:D,MATCH(A64,'1549'!A:A,0)),0)</f>
        <v>3</v>
      </c>
    </row>
    <row r="65" customFormat="false" ht="26.25" hidden="false" customHeight="true" outlineLevel="0" collapsed="false">
      <c r="A65" s="50" t="s">
        <v>190</v>
      </c>
      <c r="B65" s="30" t="s">
        <v>191</v>
      </c>
      <c r="C65" s="30"/>
      <c r="D65" s="49" t="n">
        <f aca="false">IFERROR(INDEX('1549'!D:D,MATCH(A65,'1549'!A:A,0)),0)</f>
        <v>0</v>
      </c>
    </row>
    <row r="66" customFormat="false" ht="26.25" hidden="false" customHeight="true" outlineLevel="0" collapsed="false">
      <c r="A66" s="50" t="s">
        <v>192</v>
      </c>
      <c r="B66" s="30" t="s">
        <v>193</v>
      </c>
      <c r="C66" s="30"/>
      <c r="D66" s="49" t="n">
        <f aca="false">IFERROR(INDEX('1549'!D:D,MATCH(A66,'1549'!A:A,0)),0)</f>
        <v>0</v>
      </c>
    </row>
    <row r="67" customFormat="false" ht="26.25" hidden="false" customHeight="true" outlineLevel="0" collapsed="false">
      <c r="A67" s="50" t="s">
        <v>194</v>
      </c>
      <c r="B67" s="30" t="s">
        <v>195</v>
      </c>
      <c r="C67" s="30"/>
      <c r="D67" s="49" t="n">
        <f aca="false">IFERROR(INDEX('1549'!D:D,MATCH(A67,'1549'!A:A,0)),0)</f>
        <v>0</v>
      </c>
    </row>
    <row r="68" customFormat="false" ht="26.25" hidden="false" customHeight="true" outlineLevel="0" collapsed="false">
      <c r="A68" s="50" t="s">
        <v>196</v>
      </c>
      <c r="B68" s="30" t="s">
        <v>197</v>
      </c>
      <c r="C68" s="30"/>
      <c r="D68" s="49" t="n">
        <f aca="false">IFERROR(INDEX('1549'!D:D,MATCH(A68,'1549'!A:A,0)),0)</f>
        <v>1</v>
      </c>
    </row>
    <row r="69" customFormat="false" ht="26.25" hidden="false" customHeight="true" outlineLevel="0" collapsed="false">
      <c r="A69" s="50" t="s">
        <v>198</v>
      </c>
      <c r="B69" s="30" t="s">
        <v>199</v>
      </c>
      <c r="C69" s="30"/>
      <c r="D69" s="49" t="n">
        <f aca="false">IFERROR(INDEX('1549'!D:D,MATCH(A69,'1549'!A:A,0)),0)</f>
        <v>0</v>
      </c>
    </row>
    <row r="70" customFormat="false" ht="26.25" hidden="false" customHeight="true" outlineLevel="0" collapsed="false">
      <c r="A70" s="50" t="s">
        <v>200</v>
      </c>
      <c r="B70" s="30" t="s">
        <v>201</v>
      </c>
      <c r="C70" s="30"/>
      <c r="D70" s="49" t="n">
        <f aca="false">IFERROR(INDEX('1549'!D:D,MATCH(A70,'1549'!A:A,0)),0)</f>
        <v>0</v>
      </c>
    </row>
    <row r="71" customFormat="false" ht="15" hidden="false" customHeight="true" outlineLevel="0" collapsed="false">
      <c r="A71" s="51"/>
    </row>
    <row r="73" customFormat="false" ht="27" hidden="false" customHeight="true" outlineLevel="0" collapsed="false">
      <c r="A73" s="32" t="s">
        <v>296</v>
      </c>
      <c r="B73" s="33" t="s">
        <v>11</v>
      </c>
      <c r="C73" s="34" t="s">
        <v>297</v>
      </c>
      <c r="E73" s="39" t="s">
        <v>325</v>
      </c>
    </row>
    <row r="74" customFormat="false" ht="14.25" hidden="false" customHeight="true" outlineLevel="0" collapsed="false">
      <c r="A74" s="45" t="s">
        <v>326</v>
      </c>
      <c r="B74" s="52" t="n">
        <v>0</v>
      </c>
      <c r="C74" s="37" t="s">
        <v>51</v>
      </c>
    </row>
    <row r="75" customFormat="false" ht="14.25" hidden="false" customHeight="true" outlineLevel="0" collapsed="false">
      <c r="A75" s="38" t="s">
        <v>299</v>
      </c>
      <c r="B75" s="38"/>
      <c r="C75" s="38"/>
    </row>
    <row r="76" customFormat="false" ht="15" hidden="false" customHeight="true" outlineLevel="0" collapsed="false">
      <c r="A76" s="32" t="s">
        <v>301</v>
      </c>
      <c r="B76" s="33" t="s">
        <v>302</v>
      </c>
      <c r="C76" s="33"/>
    </row>
    <row r="77" customFormat="false" ht="15" hidden="false" customHeight="true" outlineLevel="0" collapsed="false">
      <c r="A77" s="46" t="s">
        <v>204</v>
      </c>
      <c r="B77" s="30" t="s">
        <v>327</v>
      </c>
      <c r="C77" s="30"/>
    </row>
    <row r="78" customFormat="false" ht="14.25" hidden="false" customHeight="true" outlineLevel="0" collapsed="false">
      <c r="A78" s="41" t="s">
        <v>328</v>
      </c>
      <c r="B78" s="42" t="s">
        <v>329</v>
      </c>
      <c r="C78" s="42"/>
    </row>
    <row r="79" customFormat="false" ht="14.25" hidden="false" customHeight="true" outlineLevel="0" collapsed="false"/>
    <row r="80" customFormat="false" ht="27" hidden="false" customHeight="true" outlineLevel="0" collapsed="false">
      <c r="A80" s="32" t="s">
        <v>296</v>
      </c>
      <c r="B80" s="33" t="s">
        <v>11</v>
      </c>
      <c r="C80" s="34" t="s">
        <v>297</v>
      </c>
      <c r="E80" s="39" t="s">
        <v>330</v>
      </c>
    </row>
    <row r="81" customFormat="false" ht="14.25" hidden="false" customHeight="true" outlineLevel="0" collapsed="false">
      <c r="A81" s="45" t="s">
        <v>331</v>
      </c>
      <c r="B81" s="47" t="n">
        <f aca="false">SUM(D84:D86)</f>
        <v>1</v>
      </c>
      <c r="C81" s="37" t="s">
        <v>10</v>
      </c>
      <c r="E81" s="39" t="s">
        <v>332</v>
      </c>
    </row>
    <row r="82" customFormat="false" ht="14.25" hidden="false" customHeight="true" outlineLevel="0" collapsed="false">
      <c r="A82" s="38" t="s">
        <v>299</v>
      </c>
      <c r="B82" s="38"/>
      <c r="C82" s="38"/>
    </row>
    <row r="83" customFormat="false" ht="15" hidden="false" customHeight="true" outlineLevel="0" collapsed="false">
      <c r="A83" s="32" t="s">
        <v>301</v>
      </c>
      <c r="B83" s="33" t="s">
        <v>302</v>
      </c>
      <c r="C83" s="33"/>
      <c r="D83" s="48" t="s">
        <v>11</v>
      </c>
    </row>
    <row r="84" customFormat="false" ht="13.5" hidden="false" customHeight="true" outlineLevel="0" collapsed="false">
      <c r="A84" s="46" t="s">
        <v>246</v>
      </c>
      <c r="B84" s="30" t="s">
        <v>333</v>
      </c>
      <c r="C84" s="30"/>
      <c r="D84" s="49" t="n">
        <f aca="false">IFERROR(INDEX('1549'!D:D,MATCH(A84,'1549'!A:A,0)),0)</f>
        <v>0</v>
      </c>
      <c r="E84" s="39" t="s">
        <v>334</v>
      </c>
    </row>
    <row r="85" customFormat="false" ht="13.5" hidden="false" customHeight="true" outlineLevel="0" collapsed="false">
      <c r="A85" s="46" t="s">
        <v>248</v>
      </c>
      <c r="B85" s="30" t="s">
        <v>335</v>
      </c>
      <c r="C85" s="30"/>
      <c r="D85" s="49" t="n">
        <f aca="false">IFERROR(INDEX('1549'!D:D,MATCH(A85,'1549'!A:A,0)),0)</f>
        <v>1</v>
      </c>
      <c r="E85" s="39" t="s">
        <v>336</v>
      </c>
    </row>
    <row r="86" customFormat="false" ht="13.5" hidden="false" customHeight="true" outlineLevel="0" collapsed="false">
      <c r="A86" s="46" t="s">
        <v>250</v>
      </c>
      <c r="B86" s="30" t="s">
        <v>337</v>
      </c>
      <c r="C86" s="30"/>
      <c r="D86" s="49" t="n">
        <f aca="false">IFERROR(INDEX('1549'!D:D,MATCH(A86,'1549'!A:A,0)),0)</f>
        <v>0</v>
      </c>
      <c r="E86" s="39" t="s">
        <v>338</v>
      </c>
    </row>
    <row r="87" customFormat="false" ht="14.25" hidden="false" customHeight="true" outlineLevel="0" collapsed="false"/>
    <row r="88" customFormat="false" ht="82.5" hidden="false" customHeight="true" outlineLevel="0" collapsed="false">
      <c r="A88" s="32" t="s">
        <v>296</v>
      </c>
      <c r="B88" s="33" t="s">
        <v>11</v>
      </c>
      <c r="C88" s="34" t="s">
        <v>297</v>
      </c>
      <c r="E88" s="39" t="s">
        <v>339</v>
      </c>
    </row>
    <row r="89" customFormat="false" ht="14.25" hidden="false" customHeight="true" outlineLevel="0" collapsed="false">
      <c r="A89" s="45" t="s">
        <v>340</v>
      </c>
      <c r="B89" s="36" t="n">
        <f aca="false">IFERROR(INDEX('1549'!D:D,MATCH(A92,'1549'!A:A,0)),"לא מוצא")</f>
        <v>2.292</v>
      </c>
      <c r="C89" s="37" t="s">
        <v>51</v>
      </c>
    </row>
    <row r="90" customFormat="false" ht="14.25" hidden="false" customHeight="true" outlineLevel="0" collapsed="false">
      <c r="A90" s="38" t="s">
        <v>299</v>
      </c>
      <c r="B90" s="38"/>
      <c r="C90" s="38"/>
    </row>
    <row r="91" customFormat="false" ht="15" hidden="false" customHeight="true" outlineLevel="0" collapsed="false">
      <c r="A91" s="32" t="s">
        <v>301</v>
      </c>
      <c r="B91" s="33" t="s">
        <v>302</v>
      </c>
      <c r="C91" s="33"/>
    </row>
    <row r="92" customFormat="false" ht="15" hidden="false" customHeight="true" outlineLevel="0" collapsed="false">
      <c r="A92" s="46" t="s">
        <v>256</v>
      </c>
      <c r="B92" s="30" t="s">
        <v>341</v>
      </c>
      <c r="C92" s="30"/>
    </row>
    <row r="93" customFormat="false" ht="14.25" hidden="false" customHeight="true" outlineLevel="0" collapsed="false"/>
    <row r="94" customFormat="false" ht="26.25" hidden="false" customHeight="true" outlineLevel="0" collapsed="false">
      <c r="A94" s="32" t="s">
        <v>296</v>
      </c>
      <c r="B94" s="33" t="s">
        <v>11</v>
      </c>
      <c r="C94" s="34" t="s">
        <v>297</v>
      </c>
      <c r="E94" s="39" t="s">
        <v>342</v>
      </c>
    </row>
    <row r="95" customFormat="false" ht="14.25" hidden="false" customHeight="true" outlineLevel="0" collapsed="false">
      <c r="A95" s="45" t="s">
        <v>343</v>
      </c>
      <c r="B95" s="47" t="n">
        <f aca="false">B38+B8</f>
        <v>7.85</v>
      </c>
      <c r="C95" s="37" t="s">
        <v>51</v>
      </c>
    </row>
    <row r="96" customFormat="false" ht="14.25" hidden="false" customHeight="true" outlineLevel="0" collapsed="false">
      <c r="A96" s="38" t="s">
        <v>299</v>
      </c>
      <c r="B96" s="38"/>
      <c r="C96" s="38"/>
    </row>
    <row r="97" customFormat="false" ht="15" hidden="false" customHeight="true" outlineLevel="0" collapsed="false">
      <c r="A97" s="32" t="s">
        <v>301</v>
      </c>
      <c r="B97" s="33" t="s">
        <v>302</v>
      </c>
      <c r="C97" s="33"/>
    </row>
    <row r="98" customFormat="false" ht="14.25" hidden="false" customHeight="true" outlineLevel="0" collapsed="false">
      <c r="A98" s="53" t="s">
        <v>234</v>
      </c>
      <c r="B98" s="30" t="s">
        <v>344</v>
      </c>
      <c r="C98" s="30"/>
    </row>
    <row r="99" customFormat="false" ht="15" hidden="false" customHeight="true" outlineLevel="0" collapsed="false">
      <c r="A99" s="54" t="s">
        <v>184</v>
      </c>
      <c r="B99" s="42" t="s">
        <v>345</v>
      </c>
      <c r="C99" s="42"/>
    </row>
    <row r="100" customFormat="false" ht="14.25" hidden="false" customHeight="true" outlineLevel="0" collapsed="false"/>
    <row r="101" customFormat="false" ht="15" hidden="false" customHeight="true" outlineLevel="0" collapsed="false">
      <c r="A101" s="32" t="s">
        <v>296</v>
      </c>
      <c r="B101" s="33" t="s">
        <v>11</v>
      </c>
      <c r="C101" s="34" t="s">
        <v>297</v>
      </c>
      <c r="E101" s="55" t="s">
        <v>346</v>
      </c>
    </row>
    <row r="102" customFormat="false" ht="27.75" hidden="false" customHeight="true" outlineLevel="0" collapsed="false">
      <c r="A102" s="45" t="s">
        <v>347</v>
      </c>
      <c r="B102" s="36" t="n">
        <f aca="false">IFERROR(INDEX('1549'!D:D,MATCH(A105,'1549'!A:A,0)),"לא מוצא")</f>
        <v>5</v>
      </c>
      <c r="C102" s="37" t="s">
        <v>20</v>
      </c>
    </row>
    <row r="103" customFormat="false" ht="14.25" hidden="false" customHeight="true" outlineLevel="0" collapsed="false">
      <c r="A103" s="38" t="s">
        <v>299</v>
      </c>
      <c r="B103" s="38"/>
      <c r="C103" s="38"/>
    </row>
    <row r="104" customFormat="false" ht="15" hidden="false" customHeight="true" outlineLevel="0" collapsed="false">
      <c r="A104" s="32" t="s">
        <v>301</v>
      </c>
      <c r="B104" s="33" t="s">
        <v>302</v>
      </c>
      <c r="C104" s="33"/>
    </row>
    <row r="105" customFormat="false" ht="14.25" hidden="false" customHeight="true" outlineLevel="0" collapsed="false">
      <c r="A105" s="10" t="s">
        <v>242</v>
      </c>
      <c r="B105" s="30" t="s">
        <v>243</v>
      </c>
      <c r="C105" s="30"/>
    </row>
    <row r="106" customFormat="false" ht="15" hidden="false" customHeight="true" outlineLevel="0" collapsed="false">
      <c r="A106" s="54"/>
      <c r="B106" s="42"/>
      <c r="C106" s="42"/>
    </row>
    <row r="107" customFormat="false" ht="14.25" hidden="false" customHeight="true" outlineLevel="0" collapsed="false"/>
    <row r="108" customFormat="false" ht="15" hidden="false" customHeight="true" outlineLevel="0" collapsed="false">
      <c r="A108" s="32" t="s">
        <v>296</v>
      </c>
      <c r="B108" s="33" t="s">
        <v>11</v>
      </c>
      <c r="C108" s="34" t="s">
        <v>297</v>
      </c>
    </row>
    <row r="109" customFormat="false" ht="14.25" hidden="false" customHeight="true" outlineLevel="0" collapsed="false">
      <c r="A109" s="45" t="s">
        <v>348</v>
      </c>
      <c r="B109" s="47" t="n">
        <f aca="false">IFERROR(INDEX('1549'!D:D,MATCH(A112,'1549'!A:A,0)),0)+IFERROR(INDEX('1549'!D:D,MATCH(A113,'1549'!A:A,0)),0)</f>
        <v>4</v>
      </c>
      <c r="C109" s="37" t="s">
        <v>10</v>
      </c>
    </row>
    <row r="110" customFormat="false" ht="14.25" hidden="false" customHeight="true" outlineLevel="0" collapsed="false">
      <c r="A110" s="38" t="s">
        <v>299</v>
      </c>
      <c r="B110" s="38"/>
      <c r="C110" s="38"/>
    </row>
    <row r="111" customFormat="false" ht="15" hidden="false" customHeight="true" outlineLevel="0" collapsed="false">
      <c r="A111" s="32" t="s">
        <v>301</v>
      </c>
      <c r="B111" s="33" t="s">
        <v>302</v>
      </c>
      <c r="C111" s="33"/>
      <c r="D111" s="48" t="s">
        <v>11</v>
      </c>
    </row>
    <row r="112" customFormat="false" ht="29.25" hidden="false" customHeight="true" outlineLevel="0" collapsed="false">
      <c r="A112" s="10" t="s">
        <v>258</v>
      </c>
      <c r="B112" s="30" t="s">
        <v>259</v>
      </c>
      <c r="C112" s="30"/>
      <c r="D112" s="49" t="n">
        <f aca="false">IFERROR(INDEX('1549'!D:D,MATCH(A112,'1549'!A:A,0)),0)</f>
        <v>1</v>
      </c>
    </row>
    <row r="113" customFormat="false" ht="34.5" hidden="false" customHeight="true" outlineLevel="0" collapsed="false">
      <c r="A113" s="10" t="s">
        <v>260</v>
      </c>
      <c r="B113" s="30" t="s">
        <v>261</v>
      </c>
      <c r="C113" s="30"/>
      <c r="D113" s="49" t="n">
        <f aca="false">IFERROR(INDEX('1549'!D:D,MATCH(A113,'1549'!A:A,0)),0)</f>
        <v>3</v>
      </c>
    </row>
    <row r="116" customFormat="false" ht="14.25" hidden="false" customHeight="true" outlineLevel="0" collapsed="false"/>
    <row r="117" customFormat="false" ht="15" hidden="false" customHeight="true" outlineLevel="0" collapsed="false">
      <c r="A117" s="32" t="s">
        <v>296</v>
      </c>
      <c r="B117" s="33" t="s">
        <v>11</v>
      </c>
      <c r="C117" s="34" t="s">
        <v>297</v>
      </c>
    </row>
    <row r="118" customFormat="false" ht="14.25" hidden="false" customHeight="true" outlineLevel="0" collapsed="false">
      <c r="A118" s="45" t="s">
        <v>349</v>
      </c>
      <c r="B118" s="36" t="n">
        <f aca="false">IFERROR(INDEX('1549'!D:D,MATCH(A121,'1549'!A:A,0)),"לא מוצא")</f>
        <v>60313.7103081233</v>
      </c>
      <c r="C118" s="37" t="s">
        <v>10</v>
      </c>
    </row>
    <row r="119" customFormat="false" ht="14.25" hidden="false" customHeight="true" outlineLevel="0" collapsed="false">
      <c r="A119" s="38" t="s">
        <v>299</v>
      </c>
      <c r="B119" s="38"/>
      <c r="C119" s="38"/>
    </row>
    <row r="120" customFormat="false" ht="15" hidden="false" customHeight="true" outlineLevel="0" collapsed="false">
      <c r="A120" s="32" t="s">
        <v>301</v>
      </c>
      <c r="B120" s="33" t="s">
        <v>302</v>
      </c>
      <c r="C120" s="33"/>
    </row>
    <row r="121" customFormat="false" ht="14.25" hidden="false" customHeight="true" outlineLevel="0" collapsed="false">
      <c r="A121" s="56" t="s">
        <v>262</v>
      </c>
      <c r="B121" s="30" t="s">
        <v>350</v>
      </c>
      <c r="C121" s="30"/>
    </row>
    <row r="122" customFormat="false" ht="14.25" hidden="false" customHeight="true" outlineLevel="0" collapsed="false">
      <c r="A122" s="10"/>
      <c r="B122" s="30"/>
      <c r="C122" s="30"/>
    </row>
    <row r="123" customFormat="false" ht="15" hidden="false" customHeight="true" outlineLevel="0" collapsed="false">
      <c r="A123" s="48" t="s">
        <v>351</v>
      </c>
    </row>
    <row r="124" customFormat="false" ht="27" hidden="false" customHeight="true" outlineLevel="0" collapsed="false">
      <c r="A124" s="48" t="s">
        <v>49</v>
      </c>
      <c r="B124" s="57" t="s">
        <v>352</v>
      </c>
    </row>
    <row r="125" customFormat="false" ht="27" hidden="false" customHeight="true" outlineLevel="0" collapsed="false">
      <c r="A125" s="48" t="s">
        <v>59</v>
      </c>
      <c r="B125" s="57" t="s">
        <v>352</v>
      </c>
    </row>
    <row r="126" customFormat="false" ht="27" hidden="false" customHeight="true" outlineLevel="0" collapsed="false">
      <c r="A126" s="48" t="s">
        <v>71</v>
      </c>
      <c r="B126" s="57" t="s">
        <v>353</v>
      </c>
    </row>
    <row r="127" customFormat="false" ht="27" hidden="false" customHeight="true" outlineLevel="0" collapsed="false">
      <c r="A127" s="48" t="s">
        <v>86</v>
      </c>
      <c r="B127" s="57" t="s">
        <v>354</v>
      </c>
    </row>
    <row r="128" customFormat="false" ht="27" hidden="false" customHeight="true" outlineLevel="0" collapsed="false">
      <c r="A128" s="48" t="s">
        <v>101</v>
      </c>
      <c r="B128" s="57" t="s">
        <v>355</v>
      </c>
    </row>
    <row r="129" customFormat="false" ht="27" hidden="false" customHeight="true" outlineLevel="0" collapsed="false">
      <c r="A129" s="48" t="s">
        <v>356</v>
      </c>
      <c r="B129" s="57" t="s">
        <v>355</v>
      </c>
    </row>
    <row r="130" customFormat="false" ht="27" hidden="false" customHeight="true" outlineLevel="0" collapsed="false">
      <c r="A130" s="48" t="s">
        <v>106</v>
      </c>
      <c r="B130" s="57" t="s">
        <v>357</v>
      </c>
    </row>
    <row r="131" customFormat="false" ht="27" hidden="false" customHeight="true" outlineLevel="0" collapsed="false">
      <c r="A131" s="48" t="s">
        <v>112</v>
      </c>
      <c r="B131" s="57" t="s">
        <v>358</v>
      </c>
    </row>
    <row r="132" customFormat="false" ht="27" hidden="false" customHeight="true" outlineLevel="0" collapsed="false">
      <c r="A132" s="48" t="s">
        <v>115</v>
      </c>
      <c r="B132" s="57" t="s">
        <v>358</v>
      </c>
    </row>
    <row r="133" customFormat="false" ht="27" hidden="false" customHeight="true" outlineLevel="0" collapsed="false">
      <c r="A133" s="48" t="s">
        <v>128</v>
      </c>
      <c r="B133" s="57" t="s">
        <v>359</v>
      </c>
    </row>
    <row r="134" customFormat="false" ht="27" hidden="false" customHeight="true" outlineLevel="0" collapsed="false">
      <c r="A134" s="48" t="s">
        <v>130</v>
      </c>
      <c r="B134" s="57" t="s">
        <v>359</v>
      </c>
    </row>
    <row r="135" customFormat="false" ht="27" hidden="false" customHeight="true" outlineLevel="0" collapsed="false">
      <c r="A135" s="48" t="s">
        <v>132</v>
      </c>
      <c r="B135" s="57" t="s">
        <v>359</v>
      </c>
    </row>
    <row r="136" customFormat="false" ht="27" hidden="false" customHeight="true" outlineLevel="0" collapsed="false">
      <c r="A136" s="48" t="s">
        <v>138</v>
      </c>
      <c r="B136" s="57" t="s">
        <v>360</v>
      </c>
    </row>
    <row r="137" customFormat="false" ht="27" hidden="false" customHeight="true" outlineLevel="0" collapsed="false">
      <c r="A137" s="48" t="s">
        <v>140</v>
      </c>
      <c r="B137" s="57" t="s">
        <v>360</v>
      </c>
    </row>
    <row r="138" customFormat="false" ht="41.25" hidden="false" customHeight="true" outlineLevel="0" collapsed="false">
      <c r="A138" s="48" t="s">
        <v>142</v>
      </c>
      <c r="B138" s="57" t="s">
        <v>361</v>
      </c>
    </row>
    <row r="139" customFormat="false" ht="27" hidden="false" customHeight="true" outlineLevel="0" collapsed="false">
      <c r="A139" s="48" t="s">
        <v>152</v>
      </c>
      <c r="B139" s="57" t="s">
        <v>362</v>
      </c>
    </row>
    <row r="140" customFormat="false" ht="27" hidden="false" customHeight="true" outlineLevel="0" collapsed="false">
      <c r="A140" s="48" t="s">
        <v>154</v>
      </c>
      <c r="B140" s="57" t="s">
        <v>362</v>
      </c>
    </row>
    <row r="141" customFormat="false" ht="41.25" hidden="false" customHeight="true" outlineLevel="0" collapsed="false">
      <c r="A141" s="48" t="s">
        <v>166</v>
      </c>
      <c r="B141" s="57" t="s">
        <v>363</v>
      </c>
    </row>
    <row r="142" customFormat="false" ht="41.25" hidden="false" customHeight="true" outlineLevel="0" collapsed="false">
      <c r="A142" s="48" t="s">
        <v>168</v>
      </c>
      <c r="B142" s="57" t="s">
        <v>363</v>
      </c>
    </row>
    <row r="143" customFormat="false" ht="27" hidden="false" customHeight="true" outlineLevel="0" collapsed="false">
      <c r="A143" s="48" t="s">
        <v>206</v>
      </c>
      <c r="B143" s="57" t="s">
        <v>364</v>
      </c>
    </row>
    <row r="144" customFormat="false" ht="27" hidden="false" customHeight="true" outlineLevel="0" collapsed="false">
      <c r="A144" s="48" t="s">
        <v>328</v>
      </c>
      <c r="B144" s="57" t="s">
        <v>364</v>
      </c>
    </row>
  </sheetData>
  <mergeCells count="74">
    <mergeCell ref="A2:E2"/>
    <mergeCell ref="A9:C9"/>
    <mergeCell ref="B10:C10"/>
    <mergeCell ref="B11:C11"/>
    <mergeCell ref="B12:C12"/>
    <mergeCell ref="B13:C13"/>
    <mergeCell ref="B14:C14"/>
    <mergeCell ref="B15:C15"/>
    <mergeCell ref="A18:C18"/>
    <mergeCell ref="B19:C19"/>
    <mergeCell ref="B20:C20"/>
    <mergeCell ref="B21:C21"/>
    <mergeCell ref="A25:C25"/>
    <mergeCell ref="B26:C26"/>
    <mergeCell ref="B27:C27"/>
    <mergeCell ref="B28:C28"/>
    <mergeCell ref="A32:C32"/>
    <mergeCell ref="B33:C33"/>
    <mergeCell ref="B34:C34"/>
    <mergeCell ref="B35:C35"/>
    <mergeCell ref="A39:C39"/>
    <mergeCell ref="B40:C40"/>
    <mergeCell ref="B41:C41"/>
    <mergeCell ref="B42:C42"/>
    <mergeCell ref="B43:C43"/>
    <mergeCell ref="B44:C44"/>
    <mergeCell ref="B45:C45"/>
    <mergeCell ref="B46:C46"/>
    <mergeCell ref="A50:C50"/>
    <mergeCell ref="B51:C51"/>
    <mergeCell ref="B52:C52"/>
    <mergeCell ref="B53:C53"/>
    <mergeCell ref="B54:C54"/>
    <mergeCell ref="B55:C55"/>
    <mergeCell ref="B56:C56"/>
    <mergeCell ref="B57:C57"/>
    <mergeCell ref="A61:C61"/>
    <mergeCell ref="B62:C62"/>
    <mergeCell ref="B63:C63"/>
    <mergeCell ref="B64:C64"/>
    <mergeCell ref="B65:C65"/>
    <mergeCell ref="B66:C66"/>
    <mergeCell ref="B67:C67"/>
    <mergeCell ref="B68:C68"/>
    <mergeCell ref="B69:C69"/>
    <mergeCell ref="B70:C70"/>
    <mergeCell ref="A75:C75"/>
    <mergeCell ref="B76:C76"/>
    <mergeCell ref="B77:C77"/>
    <mergeCell ref="B78:C78"/>
    <mergeCell ref="A82:C82"/>
    <mergeCell ref="B83:C83"/>
    <mergeCell ref="B84:C84"/>
    <mergeCell ref="B85:C85"/>
    <mergeCell ref="B86:C86"/>
    <mergeCell ref="A90:C90"/>
    <mergeCell ref="B91:C91"/>
    <mergeCell ref="B92:C92"/>
    <mergeCell ref="A96:C96"/>
    <mergeCell ref="B97:C97"/>
    <mergeCell ref="B98:C98"/>
    <mergeCell ref="B99:C99"/>
    <mergeCell ref="A103:C103"/>
    <mergeCell ref="B104:C104"/>
    <mergeCell ref="B105:C105"/>
    <mergeCell ref="B106:C106"/>
    <mergeCell ref="A110:C110"/>
    <mergeCell ref="B111:C111"/>
    <mergeCell ref="B112:C112"/>
    <mergeCell ref="B113:C113"/>
    <mergeCell ref="A119:C119"/>
    <mergeCell ref="B120:C120"/>
    <mergeCell ref="B121:C121"/>
    <mergeCell ref="B122:C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2026-10-06T17:03:31Z</dcterms:created>
  <dc:creator>openpyxl</dc:creator>
  <dc:description/>
  <dc:language>en-US</dc:language>
  <cp:lastModifiedBy/>
  <dcterms:modified xsi:type="dcterms:W3CDTF">2026-10-06T17:03:34Z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