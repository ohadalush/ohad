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האחסון שלי\אוהד\אלוש הנדסה\נתע\חולון\חשבונות\חשבון 4\"/>
    </mc:Choice>
  </mc:AlternateContent>
  <xr:revisionPtr revIDLastSave="0" documentId="13_ncr:1_{9BF78FA5-5E58-47C5-BD08-FFA5EFF8AB5F}" xr6:coauthVersionLast="47" xr6:coauthVersionMax="47" xr10:uidLastSave="{00000000-0000-0000-0000-000000000000}"/>
  <bookViews>
    <workbookView xWindow="-108" yWindow="-108" windowWidth="23256" windowHeight="12456" tabRatio="667" xr2:uid="{7B51C6A4-16E1-43F1-A58E-3BC8ED17E9BB}"/>
  </bookViews>
  <sheets>
    <sheet name="ריכוז" sheetId="1" r:id="rId1"/>
    <sheet name="1" sheetId="10" state="hidden" r:id="rId2"/>
    <sheet name="2" sheetId="7" state="hidden" r:id="rId3"/>
    <sheet name="3" sheetId="6" r:id="rId4"/>
    <sheet name="4" sheetId="11" r:id="rId5"/>
    <sheet name="5" sheetId="12" r:id="rId6"/>
    <sheet name="6" sheetId="13" r:id="rId7"/>
    <sheet name="7" sheetId="14" r:id="rId8"/>
    <sheet name="8" sheetId="15" r:id="rId9"/>
    <sheet name="9" sheetId="16" r:id="rId10"/>
    <sheet name="10" sheetId="17" r:id="rId11"/>
    <sheet name="11" sheetId="18" r:id="rId12"/>
    <sheet name="12" sheetId="19" r:id="rId13"/>
    <sheet name="13" sheetId="20" r:id="rId14"/>
    <sheet name="14" sheetId="21" r:id="rId15"/>
    <sheet name="השלמה לחשבון 2" sheetId="22" state="hidden" r:id="rId16"/>
  </sheets>
  <externalReferences>
    <externalReference r:id="rId17"/>
    <externalReference r:id="rId18"/>
    <externalReference r:id="rId19"/>
    <externalReference r:id="rId20"/>
    <externalReference r:id="rId2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N105" i="1" l="1"/>
  <c r="D45" i="21"/>
  <c r="D44" i="21"/>
  <c r="D68" i="20"/>
  <c r="D53" i="20"/>
  <c r="D44" i="20"/>
  <c r="D20" i="20"/>
  <c r="D18" i="20"/>
  <c r="D25" i="20"/>
  <c r="D77" i="20"/>
  <c r="D68" i="19"/>
  <c r="D63" i="19"/>
  <c r="D44" i="18"/>
  <c r="D53" i="18" s="1"/>
  <c r="D68" i="17"/>
  <c r="D18" i="17"/>
  <c r="D10" i="17"/>
  <c r="D68" i="16"/>
  <c r="D65" i="16"/>
  <c r="D53" i="16"/>
  <c r="D45" i="16"/>
  <c r="E45" i="16" s="1"/>
  <c r="D44" i="16"/>
  <c r="D45" i="14"/>
  <c r="E45" i="14" s="1"/>
  <c r="D44" i="14"/>
  <c r="D40" i="14"/>
  <c r="D18" i="14"/>
  <c r="D68" i="13"/>
  <c r="D43" i="13"/>
  <c r="D10" i="13"/>
  <c r="D63" i="12"/>
  <c r="D18" i="12"/>
  <c r="E15" i="12"/>
  <c r="D68" i="12"/>
  <c r="D68" i="11"/>
  <c r="D91" i="11"/>
  <c r="D91" i="6"/>
  <c r="D68" i="6"/>
  <c r="D53" i="6"/>
  <c r="D43" i="6"/>
  <c r="D42" i="6"/>
  <c r="D40" i="6"/>
  <c r="D34" i="6"/>
  <c r="D18" i="6"/>
  <c r="D18" i="21"/>
  <c r="D68" i="21"/>
  <c r="D68" i="15"/>
  <c r="I71" i="11"/>
  <c r="I72" i="11"/>
  <c r="I73" i="11"/>
  <c r="I74" i="11"/>
  <c r="I75" i="11"/>
  <c r="I76" i="11"/>
  <c r="I77" i="11"/>
  <c r="I78" i="11"/>
  <c r="I79" i="11"/>
  <c r="O10" i="1"/>
  <c r="D45" i="15"/>
  <c r="D44" i="15"/>
  <c r="D18" i="16"/>
  <c r="D20" i="11"/>
  <c r="I20" i="11" s="1"/>
  <c r="D18" i="11"/>
  <c r="D77" i="11" s="1"/>
  <c r="I99" i="11" s="1"/>
  <c r="F78" i="18"/>
  <c r="G78" i="18"/>
  <c r="H78" i="18"/>
  <c r="I78" i="18"/>
  <c r="AN78" i="1"/>
  <c r="AM78" i="1"/>
  <c r="AD78" i="1"/>
  <c r="E78" i="1"/>
  <c r="F78" i="1"/>
  <c r="G78" i="1"/>
  <c r="J78" i="1"/>
  <c r="L78" i="1"/>
  <c r="D44" i="1"/>
  <c r="M35" i="1"/>
  <c r="AA31" i="1"/>
  <c r="AA32" i="1"/>
  <c r="AA33" i="1"/>
  <c r="AA28" i="1"/>
  <c r="AA29" i="1"/>
  <c r="AA30" i="1"/>
  <c r="I94" i="21"/>
  <c r="I93" i="21"/>
  <c r="E92" i="21"/>
  <c r="E90" i="21"/>
  <c r="E89" i="21"/>
  <c r="E88" i="21"/>
  <c r="I87" i="21"/>
  <c r="E87" i="21"/>
  <c r="I86" i="21"/>
  <c r="E86" i="21"/>
  <c r="H85" i="21"/>
  <c r="I85" i="21" s="1"/>
  <c r="G85" i="21"/>
  <c r="F85" i="21"/>
  <c r="E84" i="21"/>
  <c r="E83" i="21"/>
  <c r="I82" i="21"/>
  <c r="E82" i="21"/>
  <c r="E81" i="21"/>
  <c r="H80" i="21"/>
  <c r="I80" i="21" s="1"/>
  <c r="G80" i="21"/>
  <c r="F80" i="21"/>
  <c r="I79" i="21"/>
  <c r="E79" i="21"/>
  <c r="I78" i="21"/>
  <c r="E78" i="21"/>
  <c r="E76" i="21"/>
  <c r="E75" i="21"/>
  <c r="I74" i="21"/>
  <c r="E74" i="21"/>
  <c r="I73" i="21"/>
  <c r="E73" i="21"/>
  <c r="E72" i="21"/>
  <c r="D71" i="21"/>
  <c r="D69" i="21"/>
  <c r="E67" i="21"/>
  <c r="I66" i="21"/>
  <c r="E66" i="21"/>
  <c r="E64" i="21"/>
  <c r="E63" i="21"/>
  <c r="I62" i="21"/>
  <c r="E62" i="21"/>
  <c r="E61" i="21"/>
  <c r="E60" i="21"/>
  <c r="E59" i="21"/>
  <c r="E58" i="21"/>
  <c r="E57" i="21"/>
  <c r="E56" i="21"/>
  <c r="E55" i="21"/>
  <c r="E54" i="21"/>
  <c r="E52" i="21"/>
  <c r="E51" i="21"/>
  <c r="E50" i="21"/>
  <c r="E49" i="21"/>
  <c r="E48" i="21"/>
  <c r="E47" i="21"/>
  <c r="E46" i="21"/>
  <c r="H44" i="21"/>
  <c r="G44" i="21"/>
  <c r="F44" i="21"/>
  <c r="E43" i="21"/>
  <c r="E42" i="21"/>
  <c r="I41" i="21"/>
  <c r="E41" i="21"/>
  <c r="I39" i="21"/>
  <c r="E39" i="21"/>
  <c r="E38" i="21"/>
  <c r="E37" i="21"/>
  <c r="E36" i="21"/>
  <c r="I35" i="21"/>
  <c r="E35" i="21"/>
  <c r="E34" i="21"/>
  <c r="E33" i="21"/>
  <c r="E32" i="21"/>
  <c r="I31" i="21"/>
  <c r="E31" i="21"/>
  <c r="E30" i="21"/>
  <c r="E29" i="21"/>
  <c r="I28" i="21"/>
  <c r="E28" i="21"/>
  <c r="E27" i="21"/>
  <c r="E26" i="21"/>
  <c r="E25" i="21"/>
  <c r="I24" i="21"/>
  <c r="E24" i="21"/>
  <c r="E23" i="21"/>
  <c r="E22" i="21"/>
  <c r="E21" i="21"/>
  <c r="E19" i="21"/>
  <c r="E17" i="21"/>
  <c r="I16" i="21"/>
  <c r="E16" i="21"/>
  <c r="I15" i="21"/>
  <c r="E15" i="21"/>
  <c r="I14" i="21"/>
  <c r="E14" i="21"/>
  <c r="E13" i="21"/>
  <c r="I12" i="21"/>
  <c r="E12" i="21"/>
  <c r="I11" i="21"/>
  <c r="E11" i="21"/>
  <c r="E10" i="21"/>
  <c r="E9" i="21"/>
  <c r="H9" i="21" s="1"/>
  <c r="E8" i="21"/>
  <c r="H8" i="21" s="1"/>
  <c r="E7" i="21"/>
  <c r="I94" i="20"/>
  <c r="I93" i="20"/>
  <c r="E92" i="20"/>
  <c r="E90" i="20"/>
  <c r="E89" i="20"/>
  <c r="E88" i="20"/>
  <c r="I87" i="20"/>
  <c r="E87" i="20"/>
  <c r="I86" i="20"/>
  <c r="E86" i="20"/>
  <c r="H85" i="20"/>
  <c r="I85" i="20" s="1"/>
  <c r="G85" i="20"/>
  <c r="F85" i="20"/>
  <c r="E84" i="20"/>
  <c r="E83" i="20"/>
  <c r="I82" i="20"/>
  <c r="E82" i="20"/>
  <c r="D81" i="20"/>
  <c r="H80" i="20"/>
  <c r="I80" i="20" s="1"/>
  <c r="G80" i="20"/>
  <c r="F80" i="20"/>
  <c r="I79" i="20"/>
  <c r="E79" i="20"/>
  <c r="I78" i="20"/>
  <c r="E78" i="20"/>
  <c r="E76" i="20"/>
  <c r="E75" i="20"/>
  <c r="I74" i="20"/>
  <c r="E74" i="20"/>
  <c r="I73" i="20"/>
  <c r="E73" i="20"/>
  <c r="E72" i="20"/>
  <c r="D71" i="20"/>
  <c r="E67" i="20"/>
  <c r="I66" i="20"/>
  <c r="E66" i="20"/>
  <c r="D65" i="20"/>
  <c r="E64" i="20"/>
  <c r="E63" i="20"/>
  <c r="I62" i="20"/>
  <c r="E62" i="20"/>
  <c r="E61" i="20"/>
  <c r="E60" i="20"/>
  <c r="E59" i="20"/>
  <c r="E58" i="20"/>
  <c r="E57" i="20"/>
  <c r="E56" i="20"/>
  <c r="E55" i="20"/>
  <c r="E54" i="20"/>
  <c r="E52" i="20"/>
  <c r="E51" i="20"/>
  <c r="E50" i="20"/>
  <c r="E49" i="20"/>
  <c r="E48" i="20"/>
  <c r="E47" i="20"/>
  <c r="E46" i="20"/>
  <c r="D45" i="20"/>
  <c r="H44" i="20"/>
  <c r="G44" i="20"/>
  <c r="F44" i="20"/>
  <c r="E43" i="20"/>
  <c r="E42" i="20"/>
  <c r="I41" i="20"/>
  <c r="E41" i="20"/>
  <c r="D40" i="20"/>
  <c r="I39" i="20"/>
  <c r="E39" i="20"/>
  <c r="E38" i="20"/>
  <c r="E37" i="20"/>
  <c r="E36" i="20"/>
  <c r="H36" i="20" s="1"/>
  <c r="I36" i="20" s="1"/>
  <c r="I35" i="20"/>
  <c r="E35" i="20"/>
  <c r="E34" i="20"/>
  <c r="E33" i="20"/>
  <c r="E32" i="20"/>
  <c r="I31" i="20"/>
  <c r="E31" i="20"/>
  <c r="E30" i="20"/>
  <c r="E29" i="20"/>
  <c r="I28" i="20"/>
  <c r="E28" i="20"/>
  <c r="E27" i="20"/>
  <c r="E26" i="20"/>
  <c r="E25" i="20"/>
  <c r="E23" i="20"/>
  <c r="E22" i="20"/>
  <c r="E21" i="20"/>
  <c r="E19" i="20"/>
  <c r="E17" i="20"/>
  <c r="I16" i="20"/>
  <c r="E16" i="20"/>
  <c r="I15" i="20"/>
  <c r="E15" i="20"/>
  <c r="I14" i="20"/>
  <c r="E14" i="20"/>
  <c r="E13" i="20"/>
  <c r="I12" i="20"/>
  <c r="E12" i="20"/>
  <c r="I11" i="20"/>
  <c r="E11" i="20"/>
  <c r="E10" i="20"/>
  <c r="E9" i="20"/>
  <c r="H9" i="20" s="1"/>
  <c r="E8" i="20"/>
  <c r="H8" i="20" s="1"/>
  <c r="E7" i="20"/>
  <c r="I94" i="19"/>
  <c r="I93" i="19"/>
  <c r="E92" i="19"/>
  <c r="E90" i="19"/>
  <c r="E89" i="19"/>
  <c r="E88" i="19"/>
  <c r="I87" i="19"/>
  <c r="E87" i="19"/>
  <c r="I86" i="19"/>
  <c r="E86" i="19"/>
  <c r="H85" i="19"/>
  <c r="I85" i="19" s="1"/>
  <c r="G85" i="19"/>
  <c r="F85" i="19"/>
  <c r="E84" i="19"/>
  <c r="E83" i="19"/>
  <c r="I82" i="19"/>
  <c r="E82" i="19"/>
  <c r="E81" i="19"/>
  <c r="H80" i="19"/>
  <c r="I80" i="19" s="1"/>
  <c r="G80" i="19"/>
  <c r="F80" i="19"/>
  <c r="I79" i="19"/>
  <c r="E79" i="19"/>
  <c r="I78" i="19"/>
  <c r="E78" i="19"/>
  <c r="D77" i="19"/>
  <c r="E76" i="19"/>
  <c r="E75" i="19"/>
  <c r="I74" i="19"/>
  <c r="E74" i="19"/>
  <c r="I73" i="19"/>
  <c r="E73" i="19"/>
  <c r="E72" i="19"/>
  <c r="D71" i="19"/>
  <c r="D69" i="19"/>
  <c r="E67" i="19"/>
  <c r="I66" i="19"/>
  <c r="E66" i="19"/>
  <c r="E64" i="19"/>
  <c r="E63" i="19"/>
  <c r="I62" i="19"/>
  <c r="E62" i="19"/>
  <c r="E61" i="19"/>
  <c r="E60" i="19"/>
  <c r="E59" i="19"/>
  <c r="E58" i="19"/>
  <c r="E57" i="19"/>
  <c r="E56" i="19"/>
  <c r="E55" i="19"/>
  <c r="E54" i="19"/>
  <c r="E52" i="19"/>
  <c r="E51" i="19"/>
  <c r="E50" i="19"/>
  <c r="E49" i="19"/>
  <c r="E48" i="19"/>
  <c r="E47" i="19"/>
  <c r="E46" i="19"/>
  <c r="D45" i="19"/>
  <c r="H44" i="19"/>
  <c r="I44" i="19" s="1"/>
  <c r="G44" i="19"/>
  <c r="F44" i="19"/>
  <c r="E43" i="19"/>
  <c r="E42" i="19"/>
  <c r="I41" i="19"/>
  <c r="E41" i="19"/>
  <c r="D40" i="19"/>
  <c r="I39" i="19"/>
  <c r="E39" i="19"/>
  <c r="E38" i="19"/>
  <c r="E37" i="19"/>
  <c r="E36" i="19"/>
  <c r="I35" i="19"/>
  <c r="E35" i="19"/>
  <c r="E34" i="19"/>
  <c r="E33" i="19"/>
  <c r="E32" i="19"/>
  <c r="I31" i="19"/>
  <c r="E31" i="19"/>
  <c r="E30" i="19"/>
  <c r="E29" i="19"/>
  <c r="I28" i="19"/>
  <c r="E28" i="19"/>
  <c r="E27" i="19"/>
  <c r="E26" i="19"/>
  <c r="E25" i="19"/>
  <c r="I24" i="19"/>
  <c r="E24" i="19"/>
  <c r="E23" i="19"/>
  <c r="E22" i="19"/>
  <c r="E21" i="19"/>
  <c r="E20" i="19"/>
  <c r="H20" i="19" s="1"/>
  <c r="I20" i="19" s="1"/>
  <c r="E19" i="19"/>
  <c r="E18" i="19"/>
  <c r="E17" i="19"/>
  <c r="I16" i="19"/>
  <c r="E16" i="19"/>
  <c r="I15" i="19"/>
  <c r="E15" i="19"/>
  <c r="I14" i="19"/>
  <c r="E14" i="19"/>
  <c r="E13" i="19"/>
  <c r="I12" i="19"/>
  <c r="E12" i="19"/>
  <c r="I11" i="19"/>
  <c r="E11" i="19"/>
  <c r="E10" i="19"/>
  <c r="E9" i="19"/>
  <c r="H9" i="19" s="1"/>
  <c r="E8" i="19"/>
  <c r="H8" i="19" s="1"/>
  <c r="E7" i="19"/>
  <c r="AB97" i="1"/>
  <c r="AB96" i="1"/>
  <c r="AA11" i="1"/>
  <c r="AA12" i="1"/>
  <c r="AA46" i="1"/>
  <c r="AA47" i="1"/>
  <c r="AA48" i="1"/>
  <c r="AA49" i="1"/>
  <c r="AA50" i="1"/>
  <c r="AA51" i="1"/>
  <c r="AA52" i="1"/>
  <c r="AA54" i="1"/>
  <c r="AA55" i="1"/>
  <c r="AA56" i="1"/>
  <c r="AA57" i="1"/>
  <c r="AA58" i="1"/>
  <c r="AA59" i="1"/>
  <c r="AA60" i="1"/>
  <c r="AA61" i="1"/>
  <c r="AA62" i="1"/>
  <c r="AA63" i="1"/>
  <c r="AA64" i="1"/>
  <c r="AA65" i="1"/>
  <c r="AA66" i="1"/>
  <c r="AA67" i="1"/>
  <c r="AA68" i="1"/>
  <c r="AA69" i="1"/>
  <c r="AA70" i="1"/>
  <c r="AA71" i="1"/>
  <c r="AA72" i="1"/>
  <c r="AA73" i="1"/>
  <c r="AA74" i="1"/>
  <c r="AA75" i="1"/>
  <c r="AA76" i="1"/>
  <c r="AA79" i="1"/>
  <c r="AA80" i="1"/>
  <c r="AA81" i="1"/>
  <c r="AA82" i="1"/>
  <c r="AA83" i="1"/>
  <c r="AA84" i="1"/>
  <c r="AA85" i="1"/>
  <c r="AA86" i="1"/>
  <c r="AA87" i="1"/>
  <c r="AA88" i="1"/>
  <c r="AA89" i="1"/>
  <c r="AA90" i="1"/>
  <c r="AA91" i="1"/>
  <c r="AA92" i="1"/>
  <c r="AA93" i="1"/>
  <c r="I94" i="17"/>
  <c r="I93" i="17"/>
  <c r="E92" i="17"/>
  <c r="E90" i="17"/>
  <c r="E89" i="17"/>
  <c r="E88" i="17"/>
  <c r="I87" i="17"/>
  <c r="E87" i="17"/>
  <c r="I86" i="17"/>
  <c r="E86" i="17"/>
  <c r="H85" i="17"/>
  <c r="I85" i="17" s="1"/>
  <c r="G85" i="17"/>
  <c r="F85" i="17"/>
  <c r="E84" i="17"/>
  <c r="E83" i="17"/>
  <c r="I82" i="17"/>
  <c r="E82" i="17"/>
  <c r="E81" i="17"/>
  <c r="H80" i="17"/>
  <c r="I80" i="17" s="1"/>
  <c r="G80" i="17"/>
  <c r="F80" i="17"/>
  <c r="I79" i="17"/>
  <c r="E79" i="17"/>
  <c r="I78" i="17"/>
  <c r="E78" i="17"/>
  <c r="D77" i="17"/>
  <c r="AA77" i="1" s="1"/>
  <c r="E76" i="17"/>
  <c r="E75" i="17"/>
  <c r="I74" i="17"/>
  <c r="E74" i="17"/>
  <c r="I73" i="17"/>
  <c r="E73" i="17"/>
  <c r="E72" i="17"/>
  <c r="D71" i="17"/>
  <c r="E67" i="17"/>
  <c r="I66" i="17"/>
  <c r="E66" i="17"/>
  <c r="D65" i="17"/>
  <c r="E64" i="17"/>
  <c r="E63" i="17"/>
  <c r="I62" i="17"/>
  <c r="E62" i="17"/>
  <c r="E61" i="17"/>
  <c r="E60" i="17"/>
  <c r="E59" i="17"/>
  <c r="E58" i="17"/>
  <c r="E57" i="17"/>
  <c r="E56" i="17"/>
  <c r="E55" i="17"/>
  <c r="E54" i="17"/>
  <c r="E52" i="17"/>
  <c r="E51" i="17"/>
  <c r="E50" i="17"/>
  <c r="E49" i="17"/>
  <c r="E48" i="17"/>
  <c r="E47" i="17"/>
  <c r="E46" i="17"/>
  <c r="D45" i="17"/>
  <c r="H44" i="17"/>
  <c r="G44" i="17"/>
  <c r="F44" i="17"/>
  <c r="D44" i="17"/>
  <c r="E43" i="17"/>
  <c r="E42" i="17"/>
  <c r="I41" i="17"/>
  <c r="E41" i="17"/>
  <c r="D40" i="17"/>
  <c r="I39" i="17"/>
  <c r="E39" i="17"/>
  <c r="E38" i="17"/>
  <c r="E37" i="17"/>
  <c r="E36" i="17"/>
  <c r="I35" i="17"/>
  <c r="E35" i="17"/>
  <c r="E34" i="17"/>
  <c r="E33" i="17"/>
  <c r="E32" i="17"/>
  <c r="I31" i="17"/>
  <c r="E31" i="17"/>
  <c r="E30" i="17"/>
  <c r="E29" i="17"/>
  <c r="I28" i="17"/>
  <c r="E28" i="17"/>
  <c r="E27" i="17"/>
  <c r="E26" i="17"/>
  <c r="E25" i="17"/>
  <c r="I24" i="17"/>
  <c r="E24" i="17"/>
  <c r="E23" i="17"/>
  <c r="E22" i="17"/>
  <c r="E21" i="17"/>
  <c r="E20" i="17"/>
  <c r="E19" i="17"/>
  <c r="E18" i="17"/>
  <c r="E17" i="17"/>
  <c r="I16" i="17"/>
  <c r="E16" i="17"/>
  <c r="I15" i="17"/>
  <c r="E15" i="17"/>
  <c r="I14" i="17"/>
  <c r="E14" i="17"/>
  <c r="E13" i="17"/>
  <c r="I12" i="17"/>
  <c r="E12" i="17"/>
  <c r="E11" i="17"/>
  <c r="E10" i="17"/>
  <c r="E9" i="17"/>
  <c r="H9" i="17" s="1"/>
  <c r="E8" i="17"/>
  <c r="H8" i="17" s="1"/>
  <c r="E7" i="17"/>
  <c r="I95" i="18"/>
  <c r="I94" i="18"/>
  <c r="E93" i="18"/>
  <c r="E91" i="18"/>
  <c r="E90" i="18"/>
  <c r="E89" i="18"/>
  <c r="I88" i="18"/>
  <c r="E88" i="18"/>
  <c r="I87" i="18"/>
  <c r="E87" i="18"/>
  <c r="H86" i="18"/>
  <c r="I86" i="18" s="1"/>
  <c r="G86" i="18"/>
  <c r="F86" i="18"/>
  <c r="E85" i="18"/>
  <c r="E84" i="18"/>
  <c r="I83" i="18"/>
  <c r="E83" i="18"/>
  <c r="D82" i="18"/>
  <c r="H81" i="18"/>
  <c r="I81" i="18" s="1"/>
  <c r="G81" i="18"/>
  <c r="F81" i="18"/>
  <c r="I80" i="18"/>
  <c r="E80" i="18"/>
  <c r="I79" i="18"/>
  <c r="E79" i="18"/>
  <c r="E76" i="18"/>
  <c r="E75" i="18"/>
  <c r="I74" i="18"/>
  <c r="E74" i="18"/>
  <c r="I73" i="18"/>
  <c r="E73" i="18"/>
  <c r="E72" i="18"/>
  <c r="D71" i="18"/>
  <c r="D69" i="18"/>
  <c r="E67" i="18"/>
  <c r="I66" i="18"/>
  <c r="E66" i="18"/>
  <c r="D65" i="18"/>
  <c r="E64" i="18"/>
  <c r="E63" i="18"/>
  <c r="I62" i="18"/>
  <c r="E62" i="18"/>
  <c r="E61" i="18"/>
  <c r="E60" i="18"/>
  <c r="E59" i="18"/>
  <c r="E58" i="18"/>
  <c r="E57" i="18"/>
  <c r="E56" i="18"/>
  <c r="E55" i="18"/>
  <c r="E54" i="18"/>
  <c r="E52" i="18"/>
  <c r="E51" i="18"/>
  <c r="E50" i="18"/>
  <c r="E49" i="18"/>
  <c r="E48" i="18"/>
  <c r="E47" i="18"/>
  <c r="E46" i="18"/>
  <c r="H44" i="18"/>
  <c r="G44" i="18"/>
  <c r="F44" i="18"/>
  <c r="E43" i="18"/>
  <c r="E42" i="18"/>
  <c r="I41" i="18"/>
  <c r="E41" i="18"/>
  <c r="I39" i="18"/>
  <c r="E39" i="18"/>
  <c r="E38" i="18"/>
  <c r="E37" i="18"/>
  <c r="E36" i="18"/>
  <c r="I35" i="18"/>
  <c r="E35" i="18"/>
  <c r="E34" i="18"/>
  <c r="E33" i="18"/>
  <c r="E32" i="18"/>
  <c r="I31" i="18"/>
  <c r="E31" i="18"/>
  <c r="E30" i="18"/>
  <c r="E29" i="18"/>
  <c r="I28" i="18"/>
  <c r="E28" i="18"/>
  <c r="E27" i="18"/>
  <c r="E26" i="18"/>
  <c r="E25" i="18"/>
  <c r="I24" i="18"/>
  <c r="E24" i="18"/>
  <c r="E23" i="18"/>
  <c r="E22" i="18"/>
  <c r="E21" i="18"/>
  <c r="E19" i="18"/>
  <c r="E17" i="18"/>
  <c r="I16" i="18"/>
  <c r="E16" i="18"/>
  <c r="I15" i="18"/>
  <c r="E15" i="18"/>
  <c r="I14" i="18"/>
  <c r="E14" i="18"/>
  <c r="E13" i="18"/>
  <c r="I12" i="18"/>
  <c r="E12" i="18"/>
  <c r="I11" i="18"/>
  <c r="E11" i="18"/>
  <c r="E10" i="18"/>
  <c r="E9" i="18"/>
  <c r="H9" i="18" s="1"/>
  <c r="E8" i="18"/>
  <c r="H8" i="18" s="1"/>
  <c r="E7" i="18"/>
  <c r="I94" i="16"/>
  <c r="I93" i="16"/>
  <c r="E92" i="16"/>
  <c r="E90" i="16"/>
  <c r="E89" i="16"/>
  <c r="E88" i="16"/>
  <c r="I87" i="16"/>
  <c r="E87" i="16"/>
  <c r="I86" i="16"/>
  <c r="E86" i="16"/>
  <c r="H85" i="16"/>
  <c r="I85" i="16" s="1"/>
  <c r="G85" i="16"/>
  <c r="F85" i="16"/>
  <c r="E84" i="16"/>
  <c r="E83" i="16"/>
  <c r="I82" i="16"/>
  <c r="E82" i="16"/>
  <c r="D81" i="16"/>
  <c r="H80" i="16"/>
  <c r="I80" i="16" s="1"/>
  <c r="G80" i="16"/>
  <c r="F80" i="16"/>
  <c r="I79" i="16"/>
  <c r="E79" i="16"/>
  <c r="I78" i="16"/>
  <c r="E78" i="16"/>
  <c r="E76" i="16"/>
  <c r="E75" i="16"/>
  <c r="I74" i="16"/>
  <c r="E74" i="16"/>
  <c r="I73" i="16"/>
  <c r="E73" i="16"/>
  <c r="E72" i="16"/>
  <c r="D71" i="16"/>
  <c r="D69" i="16"/>
  <c r="E67" i="16"/>
  <c r="I66" i="16"/>
  <c r="E66" i="16"/>
  <c r="E64" i="16"/>
  <c r="E63" i="16"/>
  <c r="I62" i="16"/>
  <c r="E62" i="16"/>
  <c r="E61" i="16"/>
  <c r="E60" i="16"/>
  <c r="E59" i="16"/>
  <c r="E58" i="16"/>
  <c r="E57" i="16"/>
  <c r="E56" i="16"/>
  <c r="E55" i="16"/>
  <c r="E54" i="16"/>
  <c r="E52" i="16"/>
  <c r="E51" i="16"/>
  <c r="E50" i="16"/>
  <c r="E49" i="16"/>
  <c r="E48" i="16"/>
  <c r="E47" i="16"/>
  <c r="E46" i="16"/>
  <c r="H44" i="16"/>
  <c r="G44" i="16"/>
  <c r="F44" i="16"/>
  <c r="E43" i="16"/>
  <c r="E42" i="16"/>
  <c r="I41" i="16"/>
  <c r="E41" i="16"/>
  <c r="D40" i="16"/>
  <c r="I39" i="16"/>
  <c r="E39" i="16"/>
  <c r="E38" i="16"/>
  <c r="E37" i="16"/>
  <c r="E36" i="16"/>
  <c r="I35" i="16"/>
  <c r="E35" i="16"/>
  <c r="E34" i="16"/>
  <c r="E33" i="16"/>
  <c r="E32" i="16"/>
  <c r="I31" i="16"/>
  <c r="E31" i="16"/>
  <c r="E30" i="16"/>
  <c r="E29" i="16"/>
  <c r="I28" i="16"/>
  <c r="E28" i="16"/>
  <c r="E27" i="16"/>
  <c r="E26" i="16"/>
  <c r="E25" i="16"/>
  <c r="I24" i="16"/>
  <c r="E24" i="16"/>
  <c r="E23" i="16"/>
  <c r="E22" i="16"/>
  <c r="E21" i="16"/>
  <c r="E19" i="16"/>
  <c r="E17" i="16"/>
  <c r="I16" i="16"/>
  <c r="E16" i="16"/>
  <c r="I15" i="16"/>
  <c r="E15" i="16"/>
  <c r="I14" i="16"/>
  <c r="E14" i="16"/>
  <c r="E13" i="16"/>
  <c r="I12" i="16"/>
  <c r="E12" i="16"/>
  <c r="I11" i="16"/>
  <c r="E11" i="16"/>
  <c r="E10" i="16"/>
  <c r="E9" i="16"/>
  <c r="H9" i="16" s="1"/>
  <c r="E8" i="16"/>
  <c r="H8" i="16" s="1"/>
  <c r="E7" i="16"/>
  <c r="W55" i="1"/>
  <c r="W56" i="1"/>
  <c r="W57" i="1"/>
  <c r="W58" i="1"/>
  <c r="W59" i="1"/>
  <c r="W60" i="1"/>
  <c r="W61" i="1"/>
  <c r="W62" i="1"/>
  <c r="W63" i="1"/>
  <c r="I94" i="15"/>
  <c r="I93" i="15"/>
  <c r="E92" i="15"/>
  <c r="E90" i="15"/>
  <c r="E89" i="15"/>
  <c r="E88" i="15"/>
  <c r="I87" i="15"/>
  <c r="E87" i="15"/>
  <c r="I86" i="15"/>
  <c r="E86" i="15"/>
  <c r="H85" i="15"/>
  <c r="I85" i="15" s="1"/>
  <c r="G85" i="15"/>
  <c r="F85" i="15"/>
  <c r="E84" i="15"/>
  <c r="E83" i="15"/>
  <c r="I82" i="15"/>
  <c r="E82" i="15"/>
  <c r="D81" i="15"/>
  <c r="H80" i="15"/>
  <c r="I80" i="15" s="1"/>
  <c r="G80" i="15"/>
  <c r="F80" i="15"/>
  <c r="I79" i="15"/>
  <c r="E79" i="15"/>
  <c r="I78" i="15"/>
  <c r="E78" i="15"/>
  <c r="D77" i="15"/>
  <c r="E76" i="15"/>
  <c r="E75" i="15"/>
  <c r="I74" i="15"/>
  <c r="E74" i="15"/>
  <c r="I73" i="15"/>
  <c r="E73" i="15"/>
  <c r="E72" i="15"/>
  <c r="D71" i="15"/>
  <c r="D69" i="15"/>
  <c r="E67" i="15"/>
  <c r="I66" i="15"/>
  <c r="E66" i="15"/>
  <c r="D65" i="15"/>
  <c r="E64" i="15"/>
  <c r="E63" i="15"/>
  <c r="I62" i="15"/>
  <c r="E62" i="15"/>
  <c r="E61" i="15"/>
  <c r="E60" i="15"/>
  <c r="E59" i="15"/>
  <c r="E58" i="15"/>
  <c r="E57" i="15"/>
  <c r="E56" i="15"/>
  <c r="E55" i="15"/>
  <c r="E54" i="15"/>
  <c r="D53" i="15"/>
  <c r="E52" i="15"/>
  <c r="E51" i="15"/>
  <c r="E50" i="15"/>
  <c r="E49" i="15"/>
  <c r="E48" i="15"/>
  <c r="E47" i="15"/>
  <c r="E46" i="15"/>
  <c r="E45" i="15"/>
  <c r="H44" i="15"/>
  <c r="I44" i="15" s="1"/>
  <c r="G44" i="15"/>
  <c r="F44" i="15"/>
  <c r="E43" i="15"/>
  <c r="E42" i="15"/>
  <c r="I41" i="15"/>
  <c r="E41" i="15"/>
  <c r="D40" i="15"/>
  <c r="I39" i="15"/>
  <c r="E39" i="15"/>
  <c r="E38" i="15"/>
  <c r="E37" i="15"/>
  <c r="E36" i="15"/>
  <c r="I35" i="15"/>
  <c r="E35" i="15"/>
  <c r="E34" i="15"/>
  <c r="E33" i="15"/>
  <c r="E32" i="15"/>
  <c r="I31" i="15"/>
  <c r="E31" i="15"/>
  <c r="E30" i="15"/>
  <c r="E29" i="15"/>
  <c r="I28" i="15"/>
  <c r="E28" i="15"/>
  <c r="E27" i="15"/>
  <c r="E26" i="15"/>
  <c r="E25" i="15"/>
  <c r="I24" i="15"/>
  <c r="E24" i="15"/>
  <c r="E23" i="15"/>
  <c r="E22" i="15"/>
  <c r="E21" i="15"/>
  <c r="E20" i="15"/>
  <c r="E19" i="15"/>
  <c r="E18" i="15"/>
  <c r="E17" i="15"/>
  <c r="I16" i="15"/>
  <c r="E16" i="15"/>
  <c r="I15" i="15"/>
  <c r="E15" i="15"/>
  <c r="I14" i="15"/>
  <c r="E14" i="15"/>
  <c r="H14" i="15" s="1"/>
  <c r="E13" i="15"/>
  <c r="I12" i="15"/>
  <c r="E12" i="15"/>
  <c r="I11" i="15"/>
  <c r="E11" i="15"/>
  <c r="E10" i="15"/>
  <c r="E9" i="15"/>
  <c r="H9" i="15" s="1"/>
  <c r="E8" i="15"/>
  <c r="H8" i="15" s="1"/>
  <c r="E7" i="15"/>
  <c r="I94" i="14"/>
  <c r="I93" i="14"/>
  <c r="E92" i="14"/>
  <c r="E90" i="14"/>
  <c r="E89" i="14"/>
  <c r="E88" i="14"/>
  <c r="I87" i="14"/>
  <c r="E87" i="14"/>
  <c r="I86" i="14"/>
  <c r="E86" i="14"/>
  <c r="H85" i="14"/>
  <c r="I85" i="14" s="1"/>
  <c r="G85" i="14"/>
  <c r="F85" i="14"/>
  <c r="E84" i="14"/>
  <c r="E83" i="14"/>
  <c r="I82" i="14"/>
  <c r="E82" i="14"/>
  <c r="D81" i="14"/>
  <c r="H80" i="14"/>
  <c r="I80" i="14" s="1"/>
  <c r="G80" i="14"/>
  <c r="F80" i="14"/>
  <c r="I79" i="14"/>
  <c r="E79" i="14"/>
  <c r="I78" i="14"/>
  <c r="E78" i="14"/>
  <c r="E76" i="14"/>
  <c r="E75" i="14"/>
  <c r="I74" i="14"/>
  <c r="E74" i="14"/>
  <c r="I73" i="14"/>
  <c r="E73" i="14"/>
  <c r="E72" i="14"/>
  <c r="D71" i="14"/>
  <c r="D69" i="14"/>
  <c r="E67" i="14"/>
  <c r="I66" i="14"/>
  <c r="E66" i="14"/>
  <c r="D65" i="14"/>
  <c r="E64" i="14"/>
  <c r="E63" i="14"/>
  <c r="I62" i="14"/>
  <c r="E62" i="14"/>
  <c r="E61" i="14"/>
  <c r="E60" i="14"/>
  <c r="E59" i="14"/>
  <c r="E58" i="14"/>
  <c r="E57" i="14"/>
  <c r="E56" i="14"/>
  <c r="E55" i="14"/>
  <c r="E54" i="14"/>
  <c r="E52" i="14"/>
  <c r="E51" i="14"/>
  <c r="E50" i="14"/>
  <c r="E49" i="14"/>
  <c r="E48" i="14"/>
  <c r="E47" i="14"/>
  <c r="E46" i="14"/>
  <c r="H44" i="14"/>
  <c r="G44" i="14"/>
  <c r="F44" i="14"/>
  <c r="E43" i="14"/>
  <c r="E42" i="14"/>
  <c r="I41" i="14"/>
  <c r="E41" i="14"/>
  <c r="I39" i="14"/>
  <c r="E39" i="14"/>
  <c r="E38" i="14"/>
  <c r="E37" i="14"/>
  <c r="E36" i="14"/>
  <c r="I35" i="14"/>
  <c r="E35" i="14"/>
  <c r="E34" i="14"/>
  <c r="E33" i="14"/>
  <c r="E32" i="14"/>
  <c r="I31" i="14"/>
  <c r="E31" i="14"/>
  <c r="E30" i="14"/>
  <c r="E29" i="14"/>
  <c r="I28" i="14"/>
  <c r="E28" i="14"/>
  <c r="E27" i="14"/>
  <c r="E26" i="14"/>
  <c r="E25" i="14"/>
  <c r="I24" i="14"/>
  <c r="E24" i="14"/>
  <c r="E23" i="14"/>
  <c r="E22" i="14"/>
  <c r="E21" i="14"/>
  <c r="E19" i="14"/>
  <c r="E17" i="14"/>
  <c r="I16" i="14"/>
  <c r="E16" i="14"/>
  <c r="I14" i="14"/>
  <c r="E14" i="14"/>
  <c r="E13" i="14"/>
  <c r="I12" i="14"/>
  <c r="E12" i="14"/>
  <c r="I11" i="14"/>
  <c r="E11" i="14"/>
  <c r="E10" i="14"/>
  <c r="E9" i="14"/>
  <c r="H9" i="14" s="1"/>
  <c r="E8" i="14"/>
  <c r="H8" i="14" s="1"/>
  <c r="E7" i="14"/>
  <c r="S11" i="1"/>
  <c r="S12" i="1"/>
  <c r="S46" i="1"/>
  <c r="S47" i="1"/>
  <c r="S48" i="1"/>
  <c r="S49" i="1"/>
  <c r="S50" i="1"/>
  <c r="S51" i="1"/>
  <c r="S52" i="1"/>
  <c r="S54" i="1"/>
  <c r="S55" i="1"/>
  <c r="S56" i="1"/>
  <c r="S57" i="1"/>
  <c r="S58" i="1"/>
  <c r="S59" i="1"/>
  <c r="S60" i="1"/>
  <c r="S61" i="1"/>
  <c r="S62" i="1"/>
  <c r="S63" i="1"/>
  <c r="S64" i="1"/>
  <c r="S65" i="1"/>
  <c r="S66" i="1"/>
  <c r="S67" i="1"/>
  <c r="S69" i="1"/>
  <c r="S71" i="1"/>
  <c r="S72" i="1"/>
  <c r="S73" i="1"/>
  <c r="S74" i="1"/>
  <c r="S75" i="1"/>
  <c r="S76" i="1"/>
  <c r="S79" i="1"/>
  <c r="S80" i="1"/>
  <c r="S81" i="1"/>
  <c r="S82" i="1"/>
  <c r="S83" i="1"/>
  <c r="S84" i="1"/>
  <c r="S85" i="1"/>
  <c r="S86" i="1"/>
  <c r="S87" i="1"/>
  <c r="S88" i="1"/>
  <c r="S89" i="1"/>
  <c r="S90" i="1"/>
  <c r="S91" i="1"/>
  <c r="S92" i="1"/>
  <c r="S93" i="1"/>
  <c r="I94" i="13"/>
  <c r="I93" i="13"/>
  <c r="E92" i="13"/>
  <c r="E90" i="13"/>
  <c r="E89" i="13"/>
  <c r="E88" i="13"/>
  <c r="I87" i="13"/>
  <c r="E87" i="13"/>
  <c r="I86" i="13"/>
  <c r="E86" i="13"/>
  <c r="H85" i="13"/>
  <c r="I85" i="13" s="1"/>
  <c r="G85" i="13"/>
  <c r="F85" i="13"/>
  <c r="E84" i="13"/>
  <c r="E83" i="13"/>
  <c r="I82" i="13"/>
  <c r="E82" i="13"/>
  <c r="D81" i="13"/>
  <c r="H80" i="13"/>
  <c r="I80" i="13" s="1"/>
  <c r="G80" i="13"/>
  <c r="F80" i="13"/>
  <c r="I79" i="13"/>
  <c r="E79" i="13"/>
  <c r="I78" i="13"/>
  <c r="E78" i="13"/>
  <c r="D77" i="13"/>
  <c r="S77" i="1" s="1"/>
  <c r="E76" i="13"/>
  <c r="E75" i="13"/>
  <c r="I74" i="13"/>
  <c r="E74" i="13"/>
  <c r="I73" i="13"/>
  <c r="E73" i="13"/>
  <c r="E72" i="13"/>
  <c r="D71" i="13"/>
  <c r="D69" i="13"/>
  <c r="E67" i="13"/>
  <c r="I66" i="13"/>
  <c r="E66" i="13"/>
  <c r="D65" i="13"/>
  <c r="E64" i="13"/>
  <c r="E63" i="13"/>
  <c r="I62" i="13"/>
  <c r="E62" i="13"/>
  <c r="E61" i="13"/>
  <c r="E60" i="13"/>
  <c r="E59" i="13"/>
  <c r="E58" i="13"/>
  <c r="E57" i="13"/>
  <c r="E56" i="13"/>
  <c r="E55" i="13"/>
  <c r="E54" i="13"/>
  <c r="E52" i="13"/>
  <c r="E51" i="13"/>
  <c r="E50" i="13"/>
  <c r="E49" i="13"/>
  <c r="E48" i="13"/>
  <c r="E47" i="13"/>
  <c r="E46" i="13"/>
  <c r="D45" i="13"/>
  <c r="H44" i="13"/>
  <c r="G44" i="13"/>
  <c r="F44" i="13"/>
  <c r="D44" i="13"/>
  <c r="I41" i="13"/>
  <c r="E41" i="13"/>
  <c r="D40" i="13"/>
  <c r="I39" i="13"/>
  <c r="E39" i="13"/>
  <c r="E38" i="13"/>
  <c r="E37" i="13"/>
  <c r="E36" i="13"/>
  <c r="I35" i="13"/>
  <c r="E35" i="13"/>
  <c r="E34" i="13"/>
  <c r="E33" i="13"/>
  <c r="E32" i="13"/>
  <c r="I31" i="13"/>
  <c r="E31" i="13"/>
  <c r="E30" i="13"/>
  <c r="E29" i="13"/>
  <c r="H29" i="13" s="1"/>
  <c r="I29" i="13" s="1"/>
  <c r="I28" i="13"/>
  <c r="E28" i="13"/>
  <c r="E27" i="13"/>
  <c r="E26" i="13"/>
  <c r="E25" i="13"/>
  <c r="I24" i="13"/>
  <c r="E24" i="13"/>
  <c r="E23" i="13"/>
  <c r="E22" i="13"/>
  <c r="E21" i="13"/>
  <c r="E19" i="13"/>
  <c r="E18" i="13"/>
  <c r="D20" i="13" s="1"/>
  <c r="E17" i="13"/>
  <c r="I16" i="13"/>
  <c r="E16" i="13"/>
  <c r="I15" i="13"/>
  <c r="E15" i="13"/>
  <c r="I14" i="13"/>
  <c r="E14" i="13"/>
  <c r="E13" i="13"/>
  <c r="I12" i="13"/>
  <c r="E12" i="13"/>
  <c r="E11" i="13"/>
  <c r="E10" i="13"/>
  <c r="E9" i="13"/>
  <c r="H9" i="13" s="1"/>
  <c r="E8" i="13"/>
  <c r="H8" i="13" s="1"/>
  <c r="E7" i="13"/>
  <c r="I94" i="12"/>
  <c r="I93" i="12"/>
  <c r="E92" i="12"/>
  <c r="E90" i="12"/>
  <c r="E89" i="12"/>
  <c r="E88" i="12"/>
  <c r="I87" i="12"/>
  <c r="E87" i="12"/>
  <c r="I86" i="12"/>
  <c r="E86" i="12"/>
  <c r="H85" i="12"/>
  <c r="I85" i="12" s="1"/>
  <c r="G85" i="12"/>
  <c r="F85" i="12"/>
  <c r="E84" i="12"/>
  <c r="E83" i="12"/>
  <c r="I82" i="12"/>
  <c r="E82" i="12"/>
  <c r="H80" i="12"/>
  <c r="I80" i="12" s="1"/>
  <c r="G80" i="12"/>
  <c r="F80" i="12"/>
  <c r="I79" i="12"/>
  <c r="E79" i="12"/>
  <c r="I78" i="12"/>
  <c r="E78" i="12"/>
  <c r="E76" i="12"/>
  <c r="E75" i="12"/>
  <c r="I74" i="12"/>
  <c r="E74" i="12"/>
  <c r="I73" i="12"/>
  <c r="E73" i="12"/>
  <c r="E72" i="12"/>
  <c r="D71" i="12"/>
  <c r="E67" i="12"/>
  <c r="I66" i="12"/>
  <c r="E66" i="12"/>
  <c r="E64" i="12"/>
  <c r="I62" i="12"/>
  <c r="E62" i="12"/>
  <c r="E61" i="12"/>
  <c r="E60" i="12"/>
  <c r="E59" i="12"/>
  <c r="E58" i="12"/>
  <c r="E57" i="12"/>
  <c r="E56" i="12"/>
  <c r="E55" i="12"/>
  <c r="E54" i="12"/>
  <c r="E52" i="12"/>
  <c r="E51" i="12"/>
  <c r="E50" i="12"/>
  <c r="E49" i="12"/>
  <c r="E48" i="12"/>
  <c r="E47" i="12"/>
  <c r="E46" i="12"/>
  <c r="D45" i="12"/>
  <c r="H44" i="12"/>
  <c r="G44" i="12"/>
  <c r="F44" i="12"/>
  <c r="D43" i="12"/>
  <c r="I41" i="12"/>
  <c r="E41" i="12"/>
  <c r="D40" i="12"/>
  <c r="I39" i="12"/>
  <c r="E39" i="12"/>
  <c r="E38" i="12"/>
  <c r="E37" i="12"/>
  <c r="E36" i="12"/>
  <c r="I35" i="12"/>
  <c r="E35" i="12"/>
  <c r="E34" i="12"/>
  <c r="E33" i="12"/>
  <c r="E32" i="12"/>
  <c r="I31" i="12"/>
  <c r="E31" i="12"/>
  <c r="E30" i="12"/>
  <c r="E29" i="12"/>
  <c r="I28" i="12"/>
  <c r="E28" i="12"/>
  <c r="E27" i="12"/>
  <c r="E26" i="12"/>
  <c r="E25" i="12"/>
  <c r="I24" i="12"/>
  <c r="E24" i="12"/>
  <c r="E23" i="12"/>
  <c r="E22" i="12"/>
  <c r="E21" i="12"/>
  <c r="E19" i="12"/>
  <c r="E17" i="12"/>
  <c r="I16" i="12"/>
  <c r="E16" i="12"/>
  <c r="I14" i="12"/>
  <c r="E14" i="12"/>
  <c r="E13" i="12"/>
  <c r="I12" i="12"/>
  <c r="E12" i="12"/>
  <c r="E10" i="12"/>
  <c r="E9" i="12"/>
  <c r="H9" i="12" s="1"/>
  <c r="E8" i="12"/>
  <c r="H8" i="12" s="1"/>
  <c r="E7" i="12"/>
  <c r="I94" i="11"/>
  <c r="I93" i="11"/>
  <c r="H92" i="11"/>
  <c r="I92" i="11" s="1"/>
  <c r="G92" i="11"/>
  <c r="F92" i="11"/>
  <c r="H91" i="11"/>
  <c r="G91" i="11"/>
  <c r="F91" i="11"/>
  <c r="H90" i="11"/>
  <c r="I90" i="11" s="1"/>
  <c r="G90" i="11"/>
  <c r="F90" i="11"/>
  <c r="I89" i="11"/>
  <c r="H89" i="11"/>
  <c r="G89" i="11"/>
  <c r="F89" i="11"/>
  <c r="H88" i="11"/>
  <c r="I88" i="11" s="1"/>
  <c r="G88" i="11"/>
  <c r="F88" i="11"/>
  <c r="I87" i="11"/>
  <c r="I101" i="11" s="1"/>
  <c r="H87" i="11"/>
  <c r="G87" i="11"/>
  <c r="F87" i="11"/>
  <c r="I86" i="11"/>
  <c r="H86" i="11"/>
  <c r="G86" i="11"/>
  <c r="F86" i="11"/>
  <c r="H85" i="11"/>
  <c r="I85" i="11" s="1"/>
  <c r="G85" i="11"/>
  <c r="F85" i="11"/>
  <c r="H84" i="11"/>
  <c r="I84" i="11" s="1"/>
  <c r="G84" i="11"/>
  <c r="F84" i="11"/>
  <c r="I83" i="11"/>
  <c r="H83" i="11"/>
  <c r="G83" i="11"/>
  <c r="F83" i="11"/>
  <c r="I82" i="11"/>
  <c r="H82" i="11"/>
  <c r="G82" i="11"/>
  <c r="F82" i="11"/>
  <c r="H81" i="11"/>
  <c r="I81" i="11" s="1"/>
  <c r="G81" i="11"/>
  <c r="F81" i="11"/>
  <c r="H80" i="11"/>
  <c r="I80" i="11" s="1"/>
  <c r="G80" i="11"/>
  <c r="F80" i="11"/>
  <c r="H79" i="11"/>
  <c r="G79" i="11"/>
  <c r="F79" i="11"/>
  <c r="H78" i="11"/>
  <c r="G78" i="11"/>
  <c r="F78" i="11"/>
  <c r="H77" i="11"/>
  <c r="G77" i="11"/>
  <c r="F77" i="11"/>
  <c r="H76" i="11"/>
  <c r="G76" i="11"/>
  <c r="F76" i="11"/>
  <c r="H75" i="11"/>
  <c r="G75" i="11"/>
  <c r="F75" i="11"/>
  <c r="I98" i="11"/>
  <c r="H74" i="11"/>
  <c r="G74" i="11"/>
  <c r="F74" i="11"/>
  <c r="H73" i="11"/>
  <c r="G73" i="11"/>
  <c r="F73" i="11"/>
  <c r="H72" i="11"/>
  <c r="G72" i="11"/>
  <c r="F72" i="11"/>
  <c r="H71" i="11"/>
  <c r="G71" i="11"/>
  <c r="F71" i="11"/>
  <c r="D71" i="11"/>
  <c r="H70" i="11"/>
  <c r="I70" i="11" s="1"/>
  <c r="G70" i="11"/>
  <c r="F70" i="11"/>
  <c r="H69" i="11"/>
  <c r="G69" i="11"/>
  <c r="F69" i="11"/>
  <c r="D69" i="11"/>
  <c r="I69" i="11" s="1"/>
  <c r="H68" i="11"/>
  <c r="G68" i="11"/>
  <c r="F68" i="11"/>
  <c r="H67" i="11"/>
  <c r="I67" i="11" s="1"/>
  <c r="G67" i="11"/>
  <c r="F67" i="11"/>
  <c r="I66" i="11"/>
  <c r="H66" i="11"/>
  <c r="G66" i="11"/>
  <c r="F66" i="11"/>
  <c r="H65" i="11"/>
  <c r="G65" i="11"/>
  <c r="F65" i="11"/>
  <c r="D65" i="11"/>
  <c r="I65" i="11" s="1"/>
  <c r="H64" i="11"/>
  <c r="I64" i="11" s="1"/>
  <c r="G64" i="11"/>
  <c r="F64" i="11"/>
  <c r="H63" i="11"/>
  <c r="I63" i="11" s="1"/>
  <c r="G63" i="11"/>
  <c r="F63" i="11"/>
  <c r="I62" i="11"/>
  <c r="H62" i="11"/>
  <c r="G62" i="11"/>
  <c r="F62" i="11"/>
  <c r="H61" i="11"/>
  <c r="I61" i="11" s="1"/>
  <c r="G61" i="11"/>
  <c r="F61" i="11"/>
  <c r="I60" i="11"/>
  <c r="H60" i="11"/>
  <c r="G60" i="11"/>
  <c r="F60" i="11"/>
  <c r="H59" i="11"/>
  <c r="I59" i="11" s="1"/>
  <c r="G59" i="11"/>
  <c r="F59" i="11"/>
  <c r="H58" i="11"/>
  <c r="I58" i="11" s="1"/>
  <c r="G58" i="11"/>
  <c r="F58" i="11"/>
  <c r="H57" i="11"/>
  <c r="I57" i="11" s="1"/>
  <c r="G57" i="11"/>
  <c r="F57" i="11"/>
  <c r="I56" i="11"/>
  <c r="H56" i="11"/>
  <c r="G56" i="11"/>
  <c r="F56" i="11"/>
  <c r="H55" i="11"/>
  <c r="I55" i="11" s="1"/>
  <c r="G55" i="11"/>
  <c r="F55" i="11"/>
  <c r="H54" i="11"/>
  <c r="I54" i="11" s="1"/>
  <c r="G54" i="11"/>
  <c r="F54" i="11"/>
  <c r="H53" i="11"/>
  <c r="G53" i="11"/>
  <c r="F53" i="11"/>
  <c r="H52" i="11"/>
  <c r="I52" i="11" s="1"/>
  <c r="G52" i="11"/>
  <c r="F52" i="11"/>
  <c r="H51" i="11"/>
  <c r="I51" i="11" s="1"/>
  <c r="G51" i="11"/>
  <c r="F51" i="11"/>
  <c r="H50" i="11"/>
  <c r="I50" i="11" s="1"/>
  <c r="G50" i="11"/>
  <c r="F50" i="11"/>
  <c r="H49" i="11"/>
  <c r="I49" i="11" s="1"/>
  <c r="G49" i="11"/>
  <c r="F49" i="11"/>
  <c r="H48" i="11"/>
  <c r="I48" i="11" s="1"/>
  <c r="G48" i="11"/>
  <c r="F48" i="11"/>
  <c r="H47" i="11"/>
  <c r="I47" i="11" s="1"/>
  <c r="G47" i="11"/>
  <c r="F47" i="11"/>
  <c r="H46" i="11"/>
  <c r="I46" i="11" s="1"/>
  <c r="G46" i="11"/>
  <c r="F46" i="11"/>
  <c r="H45" i="11"/>
  <c r="I45" i="11" s="1"/>
  <c r="G45" i="11"/>
  <c r="F45" i="11"/>
  <c r="H44" i="11"/>
  <c r="I44" i="11" s="1"/>
  <c r="G44" i="11"/>
  <c r="F44" i="11"/>
  <c r="H43" i="11"/>
  <c r="G43" i="11"/>
  <c r="F43" i="11"/>
  <c r="D43" i="11"/>
  <c r="H42" i="11"/>
  <c r="I42" i="11" s="1"/>
  <c r="G42" i="11"/>
  <c r="F42" i="11"/>
  <c r="I41" i="11"/>
  <c r="H41" i="11"/>
  <c r="G41" i="11"/>
  <c r="F41" i="11"/>
  <c r="H40" i="11"/>
  <c r="G40" i="11"/>
  <c r="F40" i="11"/>
  <c r="D40" i="11"/>
  <c r="I39" i="11"/>
  <c r="H39" i="11"/>
  <c r="G39" i="11"/>
  <c r="F39" i="11"/>
  <c r="H38" i="11"/>
  <c r="I38" i="11" s="1"/>
  <c r="G38" i="11"/>
  <c r="F38" i="11"/>
  <c r="H37" i="11"/>
  <c r="I37" i="11" s="1"/>
  <c r="G37" i="11"/>
  <c r="F37" i="11"/>
  <c r="H36" i="11"/>
  <c r="I36" i="11" s="1"/>
  <c r="G36" i="11"/>
  <c r="F36" i="11"/>
  <c r="I35" i="11"/>
  <c r="H35" i="11"/>
  <c r="G35" i="11"/>
  <c r="F35" i="11"/>
  <c r="H34" i="11"/>
  <c r="I34" i="11" s="1"/>
  <c r="G34" i="11"/>
  <c r="F34" i="11"/>
  <c r="H33" i="11"/>
  <c r="I33" i="11" s="1"/>
  <c r="G33" i="11"/>
  <c r="F33" i="11"/>
  <c r="H32" i="11"/>
  <c r="I32" i="11" s="1"/>
  <c r="G32" i="11"/>
  <c r="F32" i="11"/>
  <c r="I31" i="11"/>
  <c r="H31" i="11"/>
  <c r="G31" i="11"/>
  <c r="F31" i="11"/>
  <c r="H30" i="11"/>
  <c r="I30" i="11" s="1"/>
  <c r="G30" i="11"/>
  <c r="F30" i="11"/>
  <c r="H29" i="11"/>
  <c r="I29" i="11" s="1"/>
  <c r="G29" i="11"/>
  <c r="F29" i="11"/>
  <c r="I28" i="11"/>
  <c r="H28" i="11"/>
  <c r="G28" i="11"/>
  <c r="F28" i="11"/>
  <c r="H27" i="11"/>
  <c r="I27" i="11" s="1"/>
  <c r="G27" i="11"/>
  <c r="F27" i="11"/>
  <c r="H26" i="11"/>
  <c r="I26" i="11" s="1"/>
  <c r="G26" i="11"/>
  <c r="F26" i="11"/>
  <c r="H25" i="11"/>
  <c r="I25" i="11" s="1"/>
  <c r="G25" i="11"/>
  <c r="F25" i="11"/>
  <c r="I24" i="11"/>
  <c r="H24" i="11"/>
  <c r="G24" i="11"/>
  <c r="F24" i="11"/>
  <c r="H23" i="11"/>
  <c r="I23" i="11" s="1"/>
  <c r="G23" i="11"/>
  <c r="F23" i="11"/>
  <c r="H22" i="11"/>
  <c r="I22" i="11" s="1"/>
  <c r="G22" i="11"/>
  <c r="F22" i="11"/>
  <c r="H21" i="11"/>
  <c r="I21" i="11" s="1"/>
  <c r="G21" i="11"/>
  <c r="F21" i="11"/>
  <c r="H20" i="11"/>
  <c r="G20" i="11"/>
  <c r="F20" i="11"/>
  <c r="H19" i="11"/>
  <c r="I19" i="11" s="1"/>
  <c r="G19" i="11"/>
  <c r="F19" i="11"/>
  <c r="H18" i="11"/>
  <c r="I18" i="11" s="1"/>
  <c r="G18" i="11"/>
  <c r="F18" i="11"/>
  <c r="H17" i="11"/>
  <c r="I17" i="11" s="1"/>
  <c r="G17" i="11"/>
  <c r="F17" i="11"/>
  <c r="I16" i="11"/>
  <c r="H16" i="11"/>
  <c r="G16" i="11"/>
  <c r="F16" i="11"/>
  <c r="I15" i="11"/>
  <c r="H15" i="11"/>
  <c r="G15" i="11"/>
  <c r="F15" i="11"/>
  <c r="I14" i="11"/>
  <c r="H14" i="11"/>
  <c r="G14" i="11"/>
  <c r="F14" i="11"/>
  <c r="H13" i="11"/>
  <c r="I13" i="11" s="1"/>
  <c r="G13" i="11"/>
  <c r="F13" i="11"/>
  <c r="I12" i="11"/>
  <c r="I96" i="11" s="1"/>
  <c r="H12" i="11"/>
  <c r="G12" i="11"/>
  <c r="F12" i="11"/>
  <c r="I11" i="11"/>
  <c r="H11" i="11"/>
  <c r="G11" i="11"/>
  <c r="F11" i="11"/>
  <c r="H10" i="11"/>
  <c r="I10" i="11" s="1"/>
  <c r="I95" i="11" s="1"/>
  <c r="G10" i="11"/>
  <c r="F10" i="11"/>
  <c r="H9" i="11"/>
  <c r="H8" i="11"/>
  <c r="I7" i="11"/>
  <c r="H7" i="11"/>
  <c r="G7" i="11"/>
  <c r="F7" i="11"/>
  <c r="M11" i="1"/>
  <c r="M12" i="1"/>
  <c r="M62" i="1"/>
  <c r="M66" i="1"/>
  <c r="M73" i="1"/>
  <c r="M74" i="1"/>
  <c r="M79" i="1"/>
  <c r="M80" i="1"/>
  <c r="M85" i="1"/>
  <c r="M89" i="1"/>
  <c r="M90" i="1"/>
  <c r="I94" i="6"/>
  <c r="I93" i="6"/>
  <c r="I87" i="6"/>
  <c r="I86" i="6"/>
  <c r="H85" i="6"/>
  <c r="I85" i="6" s="1"/>
  <c r="G85" i="6"/>
  <c r="F85" i="6"/>
  <c r="I82" i="6"/>
  <c r="D81" i="6"/>
  <c r="H80" i="6"/>
  <c r="I80" i="6" s="1"/>
  <c r="G80" i="6"/>
  <c r="F80" i="6"/>
  <c r="I79" i="6"/>
  <c r="I78" i="6"/>
  <c r="D77" i="6"/>
  <c r="I74" i="6"/>
  <c r="I73" i="6"/>
  <c r="D71" i="6"/>
  <c r="D69" i="6"/>
  <c r="I66" i="6"/>
  <c r="D65" i="6"/>
  <c r="I62" i="6"/>
  <c r="D45" i="6"/>
  <c r="D44" i="6"/>
  <c r="I41" i="6"/>
  <c r="I39" i="6"/>
  <c r="I35" i="6"/>
  <c r="I31" i="6"/>
  <c r="I28" i="6"/>
  <c r="I24" i="6"/>
  <c r="I16" i="6"/>
  <c r="I15" i="6"/>
  <c r="I14" i="6"/>
  <c r="I12" i="6"/>
  <c r="I11" i="6"/>
  <c r="H9" i="6"/>
  <c r="H8" i="6"/>
  <c r="AL104" i="1"/>
  <c r="AL103" i="1"/>
  <c r="AL102" i="1"/>
  <c r="AL101" i="1"/>
  <c r="AL99" i="1"/>
  <c r="AL98" i="1"/>
  <c r="AL97" i="1"/>
  <c r="AL96" i="1"/>
  <c r="N6" i="22"/>
  <c r="M4" i="22"/>
  <c r="D4" i="22"/>
  <c r="M3" i="22"/>
  <c r="D3" i="22"/>
  <c r="AP9" i="1"/>
  <c r="AP8" i="1"/>
  <c r="AM11" i="1"/>
  <c r="AN11" i="1"/>
  <c r="AM12" i="1"/>
  <c r="AN12" i="1"/>
  <c r="AJ97" i="1"/>
  <c r="AJ96" i="1"/>
  <c r="AI11" i="1"/>
  <c r="AI12" i="1"/>
  <c r="AG11" i="1"/>
  <c r="AG12" i="1"/>
  <c r="AH97" i="1"/>
  <c r="AH96" i="1"/>
  <c r="AF96" i="1"/>
  <c r="AE11" i="1"/>
  <c r="AE12" i="1"/>
  <c r="AF97" i="1"/>
  <c r="AC11" i="1"/>
  <c r="AC12" i="1"/>
  <c r="AD97" i="1"/>
  <c r="AD96" i="1"/>
  <c r="E24" i="20" l="1"/>
  <c r="I44" i="16"/>
  <c r="I44" i="14"/>
  <c r="E15" i="14"/>
  <c r="D77" i="14"/>
  <c r="E77" i="14" s="1"/>
  <c r="E18" i="14"/>
  <c r="D65" i="12"/>
  <c r="E63" i="12"/>
  <c r="E11" i="12"/>
  <c r="I100" i="11"/>
  <c r="D77" i="18"/>
  <c r="AC44" i="1"/>
  <c r="S33" i="1"/>
  <c r="S32" i="1"/>
  <c r="S31" i="1"/>
  <c r="M31" i="1"/>
  <c r="S30" i="1"/>
  <c r="M30" i="1"/>
  <c r="S29" i="1"/>
  <c r="S28" i="1"/>
  <c r="M27" i="1"/>
  <c r="S27" i="1"/>
  <c r="AC27" i="1"/>
  <c r="AA27" i="1"/>
  <c r="AA26" i="1"/>
  <c r="S26" i="1"/>
  <c r="AC26" i="1"/>
  <c r="S25" i="1"/>
  <c r="AA25" i="1"/>
  <c r="AE24" i="1"/>
  <c r="S24" i="1"/>
  <c r="AC24" i="1"/>
  <c r="AA24" i="1"/>
  <c r="AA23" i="1"/>
  <c r="AE23" i="1"/>
  <c r="M23" i="1"/>
  <c r="AG23" i="1"/>
  <c r="AC23" i="1"/>
  <c r="S23" i="1"/>
  <c r="AC22" i="1"/>
  <c r="S22" i="1"/>
  <c r="AA22" i="1"/>
  <c r="AI22" i="1"/>
  <c r="AG22" i="1"/>
  <c r="AE22" i="1"/>
  <c r="AC21" i="1"/>
  <c r="AA21" i="1"/>
  <c r="S21" i="1"/>
  <c r="AI21" i="1"/>
  <c r="AG21" i="1"/>
  <c r="AE21" i="1"/>
  <c r="AC20" i="1"/>
  <c r="AA20" i="1"/>
  <c r="AI20" i="1"/>
  <c r="AG20" i="1"/>
  <c r="S20" i="1"/>
  <c r="AE20" i="1"/>
  <c r="AA19" i="1"/>
  <c r="S19" i="1"/>
  <c r="AE19" i="1"/>
  <c r="AC18" i="1"/>
  <c r="AA18" i="1"/>
  <c r="S18" i="1"/>
  <c r="AI18" i="1"/>
  <c r="AG18" i="1"/>
  <c r="AE18" i="1"/>
  <c r="AA34" i="1"/>
  <c r="S34" i="1"/>
  <c r="AA35" i="1"/>
  <c r="S35" i="1"/>
  <c r="AA36" i="1"/>
  <c r="S36" i="1"/>
  <c r="AA37" i="1"/>
  <c r="S37" i="1"/>
  <c r="AA38" i="1"/>
  <c r="S38" i="1"/>
  <c r="AA39" i="1"/>
  <c r="M39" i="1"/>
  <c r="S39" i="1"/>
  <c r="AA40" i="1"/>
  <c r="S40" i="1"/>
  <c r="AA41" i="1"/>
  <c r="S41" i="1"/>
  <c r="M41" i="1"/>
  <c r="AA42" i="1"/>
  <c r="S42" i="1"/>
  <c r="AA43" i="1"/>
  <c r="S43" i="1"/>
  <c r="E44" i="1"/>
  <c r="G44" i="1"/>
  <c r="AA44" i="1"/>
  <c r="AB44" i="1" s="1"/>
  <c r="S44" i="1"/>
  <c r="T44" i="1" s="1"/>
  <c r="F44" i="1"/>
  <c r="AA45" i="1"/>
  <c r="S45" i="1"/>
  <c r="S13" i="1"/>
  <c r="AA13" i="1"/>
  <c r="AA14" i="1"/>
  <c r="S14" i="1"/>
  <c r="M14" i="1"/>
  <c r="AI15" i="1"/>
  <c r="AG15" i="1"/>
  <c r="AC15" i="1"/>
  <c r="S15" i="1"/>
  <c r="AM15" i="1"/>
  <c r="AE15" i="1"/>
  <c r="AA15" i="1"/>
  <c r="M15" i="1"/>
  <c r="AN15" i="1"/>
  <c r="AI16" i="1"/>
  <c r="AG16" i="1"/>
  <c r="AA16" i="1"/>
  <c r="S16" i="1"/>
  <c r="AE16" i="1"/>
  <c r="AC16" i="1"/>
  <c r="AG17" i="1"/>
  <c r="AE17" i="1"/>
  <c r="S17" i="1"/>
  <c r="AA17" i="1"/>
  <c r="AA10" i="1"/>
  <c r="G92" i="21"/>
  <c r="F92" i="21"/>
  <c r="H92" i="21"/>
  <c r="I92" i="21" s="1"/>
  <c r="F90" i="21"/>
  <c r="G90" i="21"/>
  <c r="H90" i="21"/>
  <c r="I90" i="21" s="1"/>
  <c r="H89" i="21"/>
  <c r="I89" i="21" s="1"/>
  <c r="G89" i="21"/>
  <c r="F89" i="21"/>
  <c r="H88" i="21"/>
  <c r="I88" i="21" s="1"/>
  <c r="I101" i="21" s="1"/>
  <c r="G88" i="21"/>
  <c r="F88" i="21"/>
  <c r="G87" i="21"/>
  <c r="F87" i="21"/>
  <c r="H87" i="21"/>
  <c r="H86" i="21"/>
  <c r="G86" i="21"/>
  <c r="F86" i="21"/>
  <c r="F84" i="21"/>
  <c r="G84" i="21"/>
  <c r="H84" i="21"/>
  <c r="I84" i="21" s="1"/>
  <c r="H83" i="21"/>
  <c r="I83" i="21" s="1"/>
  <c r="G83" i="21"/>
  <c r="F83" i="21"/>
  <c r="H82" i="21"/>
  <c r="G82" i="21"/>
  <c r="F82" i="21"/>
  <c r="H81" i="21"/>
  <c r="I81" i="21" s="1"/>
  <c r="G81" i="21"/>
  <c r="F81" i="21"/>
  <c r="H79" i="21"/>
  <c r="G79" i="21"/>
  <c r="F79" i="21"/>
  <c r="H78" i="21"/>
  <c r="G78" i="21"/>
  <c r="F78" i="21"/>
  <c r="H76" i="21"/>
  <c r="I76" i="21" s="1"/>
  <c r="G76" i="21"/>
  <c r="F76" i="21"/>
  <c r="G75" i="21"/>
  <c r="F75" i="21"/>
  <c r="H75" i="21"/>
  <c r="I75" i="21" s="1"/>
  <c r="I98" i="21" s="1"/>
  <c r="H74" i="21"/>
  <c r="G74" i="21"/>
  <c r="F74" i="21"/>
  <c r="H73" i="21"/>
  <c r="F73" i="21"/>
  <c r="G73" i="21"/>
  <c r="H72" i="21"/>
  <c r="I72" i="21" s="1"/>
  <c r="F72" i="21"/>
  <c r="G72" i="21"/>
  <c r="E71" i="21"/>
  <c r="E69" i="21"/>
  <c r="G67" i="21"/>
  <c r="F67" i="21"/>
  <c r="H67" i="21"/>
  <c r="I67" i="21" s="1"/>
  <c r="F66" i="21"/>
  <c r="G66" i="21"/>
  <c r="H66" i="21"/>
  <c r="E65" i="21"/>
  <c r="H64" i="21"/>
  <c r="I64" i="21" s="1"/>
  <c r="G64" i="21"/>
  <c r="F64" i="21"/>
  <c r="H63" i="21"/>
  <c r="I63" i="21" s="1"/>
  <c r="G63" i="21"/>
  <c r="F63" i="21"/>
  <c r="F62" i="21"/>
  <c r="G62" i="21"/>
  <c r="H62" i="21"/>
  <c r="H61" i="21"/>
  <c r="I61" i="21" s="1"/>
  <c r="F61" i="21"/>
  <c r="G61" i="21"/>
  <c r="H60" i="21"/>
  <c r="I60" i="21" s="1"/>
  <c r="G60" i="21"/>
  <c r="F60" i="21"/>
  <c r="H59" i="21"/>
  <c r="I59" i="21" s="1"/>
  <c r="F59" i="21"/>
  <c r="G59" i="21"/>
  <c r="F58" i="21"/>
  <c r="G58" i="21"/>
  <c r="H58" i="21"/>
  <c r="I58" i="21" s="1"/>
  <c r="H57" i="21"/>
  <c r="I57" i="21" s="1"/>
  <c r="F57" i="21"/>
  <c r="G57" i="21"/>
  <c r="H56" i="21"/>
  <c r="I56" i="21" s="1"/>
  <c r="G56" i="21"/>
  <c r="F56" i="21"/>
  <c r="G55" i="21"/>
  <c r="F55" i="21"/>
  <c r="H55" i="21"/>
  <c r="I55" i="21" s="1"/>
  <c r="F54" i="21"/>
  <c r="H54" i="21"/>
  <c r="I54" i="21" s="1"/>
  <c r="G54" i="21"/>
  <c r="F52" i="21"/>
  <c r="H52" i="21"/>
  <c r="I52" i="21" s="1"/>
  <c r="G52" i="21"/>
  <c r="F51" i="21"/>
  <c r="G51" i="21"/>
  <c r="H51" i="21"/>
  <c r="I51" i="21" s="1"/>
  <c r="F50" i="21"/>
  <c r="G50" i="21"/>
  <c r="H50" i="21"/>
  <c r="I50" i="21" s="1"/>
  <c r="H49" i="21"/>
  <c r="I49" i="21" s="1"/>
  <c r="F49" i="21"/>
  <c r="G49" i="21"/>
  <c r="H48" i="21"/>
  <c r="I48" i="21" s="1"/>
  <c r="F48" i="21"/>
  <c r="G48" i="21"/>
  <c r="H47" i="21"/>
  <c r="I47" i="21" s="1"/>
  <c r="G47" i="21"/>
  <c r="F47" i="21"/>
  <c r="F46" i="21"/>
  <c r="H46" i="21"/>
  <c r="I46" i="21" s="1"/>
  <c r="G46" i="21"/>
  <c r="E45" i="21"/>
  <c r="G43" i="21"/>
  <c r="H43" i="21"/>
  <c r="I43" i="21" s="1"/>
  <c r="F43" i="21"/>
  <c r="F42" i="21"/>
  <c r="G42" i="21"/>
  <c r="H42" i="21"/>
  <c r="I42" i="21" s="1"/>
  <c r="H41" i="21"/>
  <c r="G41" i="21"/>
  <c r="F41" i="21"/>
  <c r="E40" i="21"/>
  <c r="F39" i="21"/>
  <c r="H39" i="21"/>
  <c r="G39" i="21"/>
  <c r="H38" i="21"/>
  <c r="I38" i="21" s="1"/>
  <c r="G38" i="21"/>
  <c r="F38" i="21"/>
  <c r="F37" i="21"/>
  <c r="G37" i="21"/>
  <c r="H37" i="21"/>
  <c r="I37" i="21" s="1"/>
  <c r="F36" i="21"/>
  <c r="G36" i="21"/>
  <c r="H36" i="21"/>
  <c r="I36" i="21" s="1"/>
  <c r="H35" i="21"/>
  <c r="G35" i="21"/>
  <c r="F35" i="21"/>
  <c r="G34" i="21"/>
  <c r="H34" i="21"/>
  <c r="I34" i="21" s="1"/>
  <c r="F34" i="21"/>
  <c r="H33" i="21"/>
  <c r="I33" i="21" s="1"/>
  <c r="G33" i="21"/>
  <c r="F33" i="21"/>
  <c r="F32" i="21"/>
  <c r="H32" i="21"/>
  <c r="I32" i="21" s="1"/>
  <c r="G32" i="21"/>
  <c r="H31" i="21"/>
  <c r="G31" i="21"/>
  <c r="F31" i="21"/>
  <c r="F30" i="21"/>
  <c r="H30" i="21"/>
  <c r="I30" i="21" s="1"/>
  <c r="G30" i="21"/>
  <c r="G29" i="21"/>
  <c r="H29" i="21"/>
  <c r="I29" i="21" s="1"/>
  <c r="F29" i="21"/>
  <c r="F28" i="21"/>
  <c r="G28" i="21"/>
  <c r="H28" i="21"/>
  <c r="G27" i="21"/>
  <c r="H27" i="21"/>
  <c r="I27" i="21" s="1"/>
  <c r="F27" i="21"/>
  <c r="H26" i="21"/>
  <c r="I26" i="21" s="1"/>
  <c r="F26" i="21"/>
  <c r="G26" i="21"/>
  <c r="F25" i="21"/>
  <c r="H25" i="21"/>
  <c r="I25" i="21" s="1"/>
  <c r="G25" i="21"/>
  <c r="G24" i="21"/>
  <c r="F24" i="21"/>
  <c r="H24" i="21"/>
  <c r="G23" i="21"/>
  <c r="H23" i="21"/>
  <c r="I23" i="21" s="1"/>
  <c r="F23" i="21"/>
  <c r="H22" i="21"/>
  <c r="I22" i="21" s="1"/>
  <c r="G22" i="21"/>
  <c r="F22" i="21"/>
  <c r="H21" i="21"/>
  <c r="I21" i="21" s="1"/>
  <c r="G21" i="21"/>
  <c r="F21" i="21"/>
  <c r="F19" i="21"/>
  <c r="G19" i="21"/>
  <c r="H19" i="21"/>
  <c r="I19" i="21" s="1"/>
  <c r="AI17" i="1"/>
  <c r="AI44" i="1"/>
  <c r="D77" i="21"/>
  <c r="AI77" i="1" s="1"/>
  <c r="E18" i="21"/>
  <c r="D20" i="21" s="1"/>
  <c r="F17" i="21"/>
  <c r="H17" i="21"/>
  <c r="I17" i="21" s="1"/>
  <c r="G17" i="21"/>
  <c r="H16" i="21"/>
  <c r="G16" i="21"/>
  <c r="F16" i="21"/>
  <c r="F15" i="21"/>
  <c r="G15" i="21"/>
  <c r="H15" i="21"/>
  <c r="F14" i="21"/>
  <c r="G14" i="21"/>
  <c r="H14" i="21"/>
  <c r="F13" i="21"/>
  <c r="H13" i="21"/>
  <c r="I13" i="21" s="1"/>
  <c r="I96" i="21" s="1"/>
  <c r="G13" i="21"/>
  <c r="F12" i="21"/>
  <c r="H12" i="21"/>
  <c r="G12" i="21"/>
  <c r="H11" i="21"/>
  <c r="F11" i="21"/>
  <c r="G11" i="21"/>
  <c r="H10" i="21"/>
  <c r="I10" i="21" s="1"/>
  <c r="I95" i="21" s="1"/>
  <c r="G10" i="21"/>
  <c r="F10" i="21"/>
  <c r="G7" i="21"/>
  <c r="H7" i="21"/>
  <c r="I7" i="21" s="1"/>
  <c r="I100" i="21" s="1"/>
  <c r="F7" i="21"/>
  <c r="H20" i="17"/>
  <c r="I20" i="17" s="1"/>
  <c r="G20" i="17"/>
  <c r="F20" i="17"/>
  <c r="H23" i="18"/>
  <c r="I23" i="18" s="1"/>
  <c r="F23" i="18"/>
  <c r="G23" i="18"/>
  <c r="H92" i="20"/>
  <c r="I92" i="20" s="1"/>
  <c r="G92" i="20"/>
  <c r="F92" i="20"/>
  <c r="H90" i="20"/>
  <c r="I90" i="20" s="1"/>
  <c r="G90" i="20"/>
  <c r="F90" i="20"/>
  <c r="H89" i="20"/>
  <c r="I89" i="20" s="1"/>
  <c r="G89" i="20"/>
  <c r="F89" i="20"/>
  <c r="G88" i="20"/>
  <c r="F88" i="20"/>
  <c r="H88" i="20"/>
  <c r="I88" i="20" s="1"/>
  <c r="I101" i="20" s="1"/>
  <c r="H87" i="20"/>
  <c r="G87" i="20"/>
  <c r="F87" i="20"/>
  <c r="G86" i="20"/>
  <c r="F86" i="20"/>
  <c r="H86" i="20"/>
  <c r="H84" i="20"/>
  <c r="I84" i="20" s="1"/>
  <c r="G84" i="20"/>
  <c r="F84" i="20"/>
  <c r="F83" i="20"/>
  <c r="G83" i="20"/>
  <c r="H83" i="20"/>
  <c r="I83" i="20" s="1"/>
  <c r="H82" i="20"/>
  <c r="G82" i="20"/>
  <c r="F82" i="20"/>
  <c r="E81" i="20"/>
  <c r="H79" i="20"/>
  <c r="F79" i="20"/>
  <c r="G79" i="20"/>
  <c r="G78" i="20"/>
  <c r="F78" i="20"/>
  <c r="H78" i="20"/>
  <c r="E77" i="20"/>
  <c r="F76" i="20"/>
  <c r="G76" i="20"/>
  <c r="H76" i="20"/>
  <c r="I76" i="20" s="1"/>
  <c r="G75" i="20"/>
  <c r="H75" i="20"/>
  <c r="I75" i="20" s="1"/>
  <c r="I98" i="20" s="1"/>
  <c r="F75" i="20"/>
  <c r="F74" i="20"/>
  <c r="G74" i="20"/>
  <c r="H74" i="20"/>
  <c r="G73" i="20"/>
  <c r="F73" i="20"/>
  <c r="H73" i="20"/>
  <c r="F72" i="20"/>
  <c r="H72" i="20"/>
  <c r="I72" i="20" s="1"/>
  <c r="G72" i="20"/>
  <c r="E71" i="20"/>
  <c r="E69" i="20"/>
  <c r="F67" i="20"/>
  <c r="H67" i="20"/>
  <c r="I67" i="20" s="1"/>
  <c r="G67" i="20"/>
  <c r="F66" i="20"/>
  <c r="H66" i="20"/>
  <c r="G66" i="20"/>
  <c r="E65" i="20"/>
  <c r="F64" i="20"/>
  <c r="G64" i="20"/>
  <c r="H64" i="20"/>
  <c r="I64" i="20" s="1"/>
  <c r="G63" i="20"/>
  <c r="H63" i="20"/>
  <c r="I63" i="20" s="1"/>
  <c r="F63" i="20"/>
  <c r="F62" i="20"/>
  <c r="G62" i="20"/>
  <c r="H62" i="20"/>
  <c r="F61" i="20"/>
  <c r="H61" i="20"/>
  <c r="I61" i="20" s="1"/>
  <c r="G61" i="20"/>
  <c r="F60" i="20"/>
  <c r="H60" i="20"/>
  <c r="I60" i="20" s="1"/>
  <c r="G60" i="20"/>
  <c r="F59" i="20"/>
  <c r="G59" i="20"/>
  <c r="H59" i="20"/>
  <c r="I59" i="20" s="1"/>
  <c r="F58" i="20"/>
  <c r="G58" i="20"/>
  <c r="H58" i="20"/>
  <c r="I58" i="20" s="1"/>
  <c r="F57" i="20"/>
  <c r="G57" i="20"/>
  <c r="H57" i="20"/>
  <c r="I57" i="20" s="1"/>
  <c r="F56" i="20"/>
  <c r="G56" i="20"/>
  <c r="H56" i="20"/>
  <c r="I56" i="20" s="1"/>
  <c r="G55" i="20"/>
  <c r="F55" i="20"/>
  <c r="H55" i="20"/>
  <c r="I55" i="20" s="1"/>
  <c r="F54" i="20"/>
  <c r="G54" i="20"/>
  <c r="H54" i="20"/>
  <c r="I54" i="20" s="1"/>
  <c r="H52" i="20"/>
  <c r="I52" i="20" s="1"/>
  <c r="G52" i="20"/>
  <c r="F52" i="20"/>
  <c r="F51" i="20"/>
  <c r="G51" i="20"/>
  <c r="H51" i="20"/>
  <c r="I51" i="20" s="1"/>
  <c r="H50" i="20"/>
  <c r="I50" i="20" s="1"/>
  <c r="F50" i="20"/>
  <c r="G50" i="20"/>
  <c r="G49" i="20"/>
  <c r="F49" i="20"/>
  <c r="H49" i="20"/>
  <c r="I49" i="20" s="1"/>
  <c r="G48" i="20"/>
  <c r="F48" i="20"/>
  <c r="H48" i="20"/>
  <c r="I48" i="20" s="1"/>
  <c r="H47" i="20"/>
  <c r="I47" i="20" s="1"/>
  <c r="G47" i="20"/>
  <c r="F47" i="20"/>
  <c r="F46" i="20"/>
  <c r="G46" i="20"/>
  <c r="H46" i="20"/>
  <c r="I46" i="20" s="1"/>
  <c r="E45" i="20"/>
  <c r="I44" i="20"/>
  <c r="G43" i="20"/>
  <c r="F43" i="20"/>
  <c r="H43" i="20"/>
  <c r="I43" i="20" s="1"/>
  <c r="H42" i="20"/>
  <c r="I42" i="20" s="1"/>
  <c r="G42" i="20"/>
  <c r="F42" i="20"/>
  <c r="H41" i="20"/>
  <c r="F41" i="20"/>
  <c r="G41" i="20"/>
  <c r="D70" i="20"/>
  <c r="E40" i="20"/>
  <c r="H39" i="20"/>
  <c r="G39" i="20"/>
  <c r="F39" i="20"/>
  <c r="F38" i="20"/>
  <c r="G38" i="20"/>
  <c r="H38" i="20"/>
  <c r="I38" i="20" s="1"/>
  <c r="G37" i="20"/>
  <c r="H37" i="20"/>
  <c r="I37" i="20" s="1"/>
  <c r="F37" i="20"/>
  <c r="F36" i="20"/>
  <c r="G36" i="20"/>
  <c r="G35" i="20"/>
  <c r="H35" i="20"/>
  <c r="F35" i="20"/>
  <c r="F34" i="20"/>
  <c r="G34" i="20"/>
  <c r="H34" i="20"/>
  <c r="I34" i="20" s="1"/>
  <c r="H33" i="20"/>
  <c r="I33" i="20" s="1"/>
  <c r="G33" i="20"/>
  <c r="F33" i="20"/>
  <c r="H32" i="20"/>
  <c r="I32" i="20" s="1"/>
  <c r="F32" i="20"/>
  <c r="G32" i="20"/>
  <c r="F31" i="20"/>
  <c r="G31" i="20"/>
  <c r="H31" i="20"/>
  <c r="G30" i="20"/>
  <c r="F30" i="20"/>
  <c r="H30" i="20"/>
  <c r="I30" i="20" s="1"/>
  <c r="G29" i="20"/>
  <c r="H29" i="20"/>
  <c r="I29" i="20" s="1"/>
  <c r="F29" i="20"/>
  <c r="F28" i="20"/>
  <c r="H28" i="20"/>
  <c r="G28" i="20"/>
  <c r="F27" i="20"/>
  <c r="G27" i="20"/>
  <c r="H27" i="20"/>
  <c r="I27" i="20" s="1"/>
  <c r="H26" i="20"/>
  <c r="I26" i="20" s="1"/>
  <c r="G26" i="20"/>
  <c r="F26" i="20"/>
  <c r="F25" i="20"/>
  <c r="G25" i="20"/>
  <c r="H25" i="20"/>
  <c r="I25" i="20" s="1"/>
  <c r="F23" i="20"/>
  <c r="G23" i="20"/>
  <c r="H23" i="20"/>
  <c r="I23" i="20" s="1"/>
  <c r="G22" i="20"/>
  <c r="H22" i="20"/>
  <c r="I22" i="20" s="1"/>
  <c r="F22" i="20"/>
  <c r="F21" i="20"/>
  <c r="G21" i="20"/>
  <c r="H21" i="20"/>
  <c r="I21" i="20" s="1"/>
  <c r="H19" i="20"/>
  <c r="I19" i="20" s="1"/>
  <c r="G19" i="20"/>
  <c r="F19" i="20"/>
  <c r="E18" i="20"/>
  <c r="H17" i="20"/>
  <c r="I17" i="20" s="1"/>
  <c r="G17" i="20"/>
  <c r="F17" i="20"/>
  <c r="F16" i="20"/>
  <c r="H16" i="20"/>
  <c r="G16" i="20"/>
  <c r="F15" i="20"/>
  <c r="G15" i="20"/>
  <c r="H15" i="20"/>
  <c r="H14" i="20"/>
  <c r="G14" i="20"/>
  <c r="F14" i="20"/>
  <c r="G13" i="20"/>
  <c r="H13" i="20"/>
  <c r="I13" i="20" s="1"/>
  <c r="I96" i="20" s="1"/>
  <c r="F13" i="20"/>
  <c r="H12" i="20"/>
  <c r="G12" i="20"/>
  <c r="F12" i="20"/>
  <c r="G11" i="20"/>
  <c r="F11" i="20"/>
  <c r="H11" i="20"/>
  <c r="H10" i="20"/>
  <c r="I10" i="20" s="1"/>
  <c r="I95" i="20" s="1"/>
  <c r="G10" i="20"/>
  <c r="F10" i="20"/>
  <c r="G7" i="20"/>
  <c r="F7" i="20"/>
  <c r="H7" i="20"/>
  <c r="I7" i="20" s="1"/>
  <c r="H92" i="19"/>
  <c r="I92" i="19" s="1"/>
  <c r="G92" i="19"/>
  <c r="F92" i="19"/>
  <c r="H90" i="19"/>
  <c r="I90" i="19" s="1"/>
  <c r="G90" i="19"/>
  <c r="F90" i="19"/>
  <c r="H89" i="19"/>
  <c r="I89" i="19" s="1"/>
  <c r="G89" i="19"/>
  <c r="F89" i="19"/>
  <c r="F88" i="19"/>
  <c r="G88" i="19"/>
  <c r="H88" i="19"/>
  <c r="I88" i="19" s="1"/>
  <c r="I101" i="19" s="1"/>
  <c r="G87" i="19"/>
  <c r="F87" i="19"/>
  <c r="H87" i="19"/>
  <c r="H86" i="19"/>
  <c r="G86" i="19"/>
  <c r="F86" i="19"/>
  <c r="H84" i="19"/>
  <c r="I84" i="19" s="1"/>
  <c r="F84" i="19"/>
  <c r="G84" i="19"/>
  <c r="F83" i="19"/>
  <c r="G83" i="19"/>
  <c r="H83" i="19"/>
  <c r="I83" i="19" s="1"/>
  <c r="F82" i="19"/>
  <c r="G82" i="19"/>
  <c r="H82" i="19"/>
  <c r="G81" i="19"/>
  <c r="F81" i="19"/>
  <c r="H81" i="19"/>
  <c r="I81" i="19" s="1"/>
  <c r="G79" i="19"/>
  <c r="H79" i="19"/>
  <c r="F79" i="19"/>
  <c r="F78" i="19"/>
  <c r="G78" i="19"/>
  <c r="H78" i="19"/>
  <c r="E77" i="19"/>
  <c r="F76" i="19"/>
  <c r="G76" i="19"/>
  <c r="H76" i="19"/>
  <c r="I76" i="19" s="1"/>
  <c r="G75" i="19"/>
  <c r="H75" i="19"/>
  <c r="I75" i="19" s="1"/>
  <c r="I98" i="19" s="1"/>
  <c r="F75" i="19"/>
  <c r="F74" i="19"/>
  <c r="G74" i="19"/>
  <c r="H74" i="19"/>
  <c r="F73" i="19"/>
  <c r="G73" i="19"/>
  <c r="H73" i="19"/>
  <c r="F72" i="19"/>
  <c r="H72" i="19"/>
  <c r="I72" i="19" s="1"/>
  <c r="G72" i="19"/>
  <c r="E71" i="19"/>
  <c r="E69" i="19"/>
  <c r="H67" i="19"/>
  <c r="I67" i="19" s="1"/>
  <c r="G67" i="19"/>
  <c r="F67" i="19"/>
  <c r="H66" i="19"/>
  <c r="G66" i="19"/>
  <c r="F66" i="19"/>
  <c r="E65" i="19"/>
  <c r="G64" i="19"/>
  <c r="F64" i="19"/>
  <c r="H64" i="19"/>
  <c r="I64" i="19" s="1"/>
  <c r="H63" i="19"/>
  <c r="I63" i="19" s="1"/>
  <c r="F63" i="19"/>
  <c r="G63" i="19"/>
  <c r="F62" i="19"/>
  <c r="G62" i="19"/>
  <c r="H62" i="19"/>
  <c r="H61" i="19"/>
  <c r="I61" i="19" s="1"/>
  <c r="F61" i="19"/>
  <c r="G61" i="19"/>
  <c r="G60" i="19"/>
  <c r="H60" i="19"/>
  <c r="I60" i="19" s="1"/>
  <c r="F60" i="19"/>
  <c r="H59" i="19"/>
  <c r="I59" i="19" s="1"/>
  <c r="G59" i="19"/>
  <c r="F59" i="19"/>
  <c r="G58" i="19"/>
  <c r="F58" i="19"/>
  <c r="H58" i="19"/>
  <c r="I58" i="19" s="1"/>
  <c r="H57" i="19"/>
  <c r="I57" i="19" s="1"/>
  <c r="G57" i="19"/>
  <c r="F57" i="19"/>
  <c r="F56" i="19"/>
  <c r="H56" i="19"/>
  <c r="I56" i="19" s="1"/>
  <c r="G56" i="19"/>
  <c r="G55" i="19"/>
  <c r="H55" i="19"/>
  <c r="I55" i="19" s="1"/>
  <c r="F55" i="19"/>
  <c r="F54" i="19"/>
  <c r="H54" i="19"/>
  <c r="I54" i="19" s="1"/>
  <c r="G54" i="19"/>
  <c r="H52" i="19"/>
  <c r="I52" i="19" s="1"/>
  <c r="F52" i="19"/>
  <c r="G52" i="19"/>
  <c r="G51" i="19"/>
  <c r="H51" i="19"/>
  <c r="I51" i="19" s="1"/>
  <c r="F51" i="19"/>
  <c r="F50" i="19"/>
  <c r="H50" i="19"/>
  <c r="I50" i="19" s="1"/>
  <c r="G50" i="19"/>
  <c r="G49" i="19"/>
  <c r="F49" i="19"/>
  <c r="H49" i="19"/>
  <c r="I49" i="19" s="1"/>
  <c r="F48" i="19"/>
  <c r="G48" i="19"/>
  <c r="H48" i="19"/>
  <c r="I48" i="19" s="1"/>
  <c r="H47" i="19"/>
  <c r="I47" i="19" s="1"/>
  <c r="F47" i="19"/>
  <c r="G47" i="19"/>
  <c r="H46" i="19"/>
  <c r="I46" i="19" s="1"/>
  <c r="G46" i="19"/>
  <c r="F46" i="19"/>
  <c r="D53" i="19"/>
  <c r="E45" i="19"/>
  <c r="G43" i="19"/>
  <c r="F43" i="19"/>
  <c r="H43" i="19"/>
  <c r="I43" i="19" s="1"/>
  <c r="F42" i="19"/>
  <c r="H42" i="19"/>
  <c r="I42" i="19" s="1"/>
  <c r="G42" i="19"/>
  <c r="G41" i="19"/>
  <c r="H41" i="19"/>
  <c r="F41" i="19"/>
  <c r="E40" i="19"/>
  <c r="F39" i="19"/>
  <c r="H39" i="19"/>
  <c r="G39" i="19"/>
  <c r="H38" i="19"/>
  <c r="I38" i="19" s="1"/>
  <c r="F38" i="19"/>
  <c r="G38" i="19"/>
  <c r="H37" i="19"/>
  <c r="I37" i="19" s="1"/>
  <c r="G37" i="19"/>
  <c r="F37" i="19"/>
  <c r="G36" i="19"/>
  <c r="F36" i="19"/>
  <c r="H36" i="19"/>
  <c r="I36" i="19" s="1"/>
  <c r="F35" i="19"/>
  <c r="G35" i="19"/>
  <c r="H35" i="19"/>
  <c r="H34" i="19"/>
  <c r="I34" i="19" s="1"/>
  <c r="G34" i="19"/>
  <c r="F34" i="19"/>
  <c r="G33" i="19"/>
  <c r="H33" i="19"/>
  <c r="I33" i="19" s="1"/>
  <c r="F33" i="19"/>
  <c r="G32" i="19"/>
  <c r="F32" i="19"/>
  <c r="H32" i="19"/>
  <c r="I32" i="19" s="1"/>
  <c r="F31" i="19"/>
  <c r="G31" i="19"/>
  <c r="H31" i="19"/>
  <c r="F30" i="19"/>
  <c r="G30" i="19"/>
  <c r="H30" i="19"/>
  <c r="I30" i="19" s="1"/>
  <c r="F29" i="19"/>
  <c r="H29" i="19"/>
  <c r="I29" i="19" s="1"/>
  <c r="G29" i="19"/>
  <c r="H28" i="19"/>
  <c r="G28" i="19"/>
  <c r="F28" i="19"/>
  <c r="G27" i="19"/>
  <c r="H27" i="19"/>
  <c r="I27" i="19" s="1"/>
  <c r="F27" i="19"/>
  <c r="G26" i="19"/>
  <c r="H26" i="19"/>
  <c r="I26" i="19" s="1"/>
  <c r="F26" i="19"/>
  <c r="G25" i="19"/>
  <c r="F25" i="19"/>
  <c r="H25" i="19"/>
  <c r="I25" i="19" s="1"/>
  <c r="G24" i="19"/>
  <c r="H24" i="19"/>
  <c r="F24" i="19"/>
  <c r="G23" i="19"/>
  <c r="F23" i="19"/>
  <c r="H23" i="19"/>
  <c r="I23" i="19" s="1"/>
  <c r="H22" i="19"/>
  <c r="I22" i="19" s="1"/>
  <c r="G22" i="19"/>
  <c r="F22" i="19"/>
  <c r="G21" i="19"/>
  <c r="H21" i="19"/>
  <c r="I21" i="19" s="1"/>
  <c r="F21" i="19"/>
  <c r="F20" i="19"/>
  <c r="G20" i="19"/>
  <c r="G19" i="19"/>
  <c r="F19" i="19"/>
  <c r="H19" i="19"/>
  <c r="I19" i="19" s="1"/>
  <c r="H18" i="19"/>
  <c r="I18" i="19" s="1"/>
  <c r="G18" i="19"/>
  <c r="F18" i="19"/>
  <c r="H17" i="19"/>
  <c r="I17" i="19" s="1"/>
  <c r="G17" i="19"/>
  <c r="F17" i="19"/>
  <c r="H16" i="19"/>
  <c r="G16" i="19"/>
  <c r="F16" i="19"/>
  <c r="H15" i="19"/>
  <c r="F15" i="19"/>
  <c r="G15" i="19"/>
  <c r="F14" i="19"/>
  <c r="H14" i="19"/>
  <c r="G14" i="19"/>
  <c r="F13" i="19"/>
  <c r="H13" i="19"/>
  <c r="I13" i="19" s="1"/>
  <c r="I96" i="19" s="1"/>
  <c r="G13" i="19"/>
  <c r="H12" i="19"/>
  <c r="G12" i="19"/>
  <c r="F12" i="19"/>
  <c r="H11" i="19"/>
  <c r="F11" i="19"/>
  <c r="G11" i="19"/>
  <c r="H10" i="19"/>
  <c r="I10" i="19" s="1"/>
  <c r="I95" i="19" s="1"/>
  <c r="G10" i="19"/>
  <c r="F10" i="19"/>
  <c r="F7" i="19"/>
  <c r="G7" i="19"/>
  <c r="H7" i="19"/>
  <c r="I7" i="19" s="1"/>
  <c r="H92" i="17"/>
  <c r="I92" i="17" s="1"/>
  <c r="G92" i="17"/>
  <c r="F92" i="17"/>
  <c r="G90" i="17"/>
  <c r="F90" i="17"/>
  <c r="H90" i="17"/>
  <c r="I90" i="17" s="1"/>
  <c r="F89" i="17"/>
  <c r="G89" i="17"/>
  <c r="H89" i="17"/>
  <c r="I89" i="17" s="1"/>
  <c r="G88" i="17"/>
  <c r="H88" i="17"/>
  <c r="I88" i="17" s="1"/>
  <c r="I101" i="17" s="1"/>
  <c r="F88" i="17"/>
  <c r="H87" i="17"/>
  <c r="G87" i="17"/>
  <c r="F87" i="17"/>
  <c r="H86" i="17"/>
  <c r="F86" i="17"/>
  <c r="G86" i="17"/>
  <c r="G84" i="17"/>
  <c r="H84" i="17"/>
  <c r="I84" i="17" s="1"/>
  <c r="F84" i="17"/>
  <c r="F83" i="17"/>
  <c r="G83" i="17"/>
  <c r="H83" i="17"/>
  <c r="I83" i="17" s="1"/>
  <c r="G82" i="17"/>
  <c r="F82" i="17"/>
  <c r="H82" i="17"/>
  <c r="G81" i="17"/>
  <c r="H81" i="17"/>
  <c r="I81" i="17" s="1"/>
  <c r="F81" i="17"/>
  <c r="F79" i="17"/>
  <c r="G79" i="17"/>
  <c r="H79" i="17"/>
  <c r="F78" i="17"/>
  <c r="H78" i="17"/>
  <c r="G78" i="17"/>
  <c r="E77" i="17"/>
  <c r="H76" i="17"/>
  <c r="I76" i="17" s="1"/>
  <c r="F76" i="17"/>
  <c r="G76" i="17"/>
  <c r="H75" i="17"/>
  <c r="I75" i="17" s="1"/>
  <c r="I98" i="17" s="1"/>
  <c r="G75" i="17"/>
  <c r="F75" i="17"/>
  <c r="G74" i="17"/>
  <c r="F74" i="17"/>
  <c r="H74" i="17"/>
  <c r="F73" i="17"/>
  <c r="H73" i="17"/>
  <c r="G73" i="17"/>
  <c r="H72" i="17"/>
  <c r="I72" i="17" s="1"/>
  <c r="G72" i="17"/>
  <c r="F72" i="17"/>
  <c r="E71" i="17"/>
  <c r="E69" i="17"/>
  <c r="F67" i="17"/>
  <c r="H67" i="17"/>
  <c r="I67" i="17" s="1"/>
  <c r="G67" i="17"/>
  <c r="F66" i="17"/>
  <c r="G66" i="17"/>
  <c r="H66" i="17"/>
  <c r="E65" i="17"/>
  <c r="F64" i="17"/>
  <c r="H64" i="17"/>
  <c r="I64" i="17" s="1"/>
  <c r="G64" i="17"/>
  <c r="H63" i="17"/>
  <c r="I63" i="17" s="1"/>
  <c r="G63" i="17"/>
  <c r="F63" i="17"/>
  <c r="F62" i="17"/>
  <c r="G62" i="17"/>
  <c r="H62" i="17"/>
  <c r="G61" i="17"/>
  <c r="H61" i="17"/>
  <c r="I61" i="17" s="1"/>
  <c r="F61" i="17"/>
  <c r="H60" i="17"/>
  <c r="I60" i="17" s="1"/>
  <c r="G60" i="17"/>
  <c r="F60" i="17"/>
  <c r="F59" i="17"/>
  <c r="H59" i="17"/>
  <c r="I59" i="17" s="1"/>
  <c r="G59" i="17"/>
  <c r="G58" i="17"/>
  <c r="H58" i="17"/>
  <c r="I58" i="17" s="1"/>
  <c r="F58" i="17"/>
  <c r="G57" i="17"/>
  <c r="H57" i="17"/>
  <c r="I57" i="17" s="1"/>
  <c r="F57" i="17"/>
  <c r="H56" i="17"/>
  <c r="I56" i="17" s="1"/>
  <c r="G56" i="17"/>
  <c r="F56" i="17"/>
  <c r="H55" i="17"/>
  <c r="I55" i="17" s="1"/>
  <c r="G55" i="17"/>
  <c r="F55" i="17"/>
  <c r="G54" i="17"/>
  <c r="H54" i="17"/>
  <c r="I54" i="17" s="1"/>
  <c r="F54" i="17"/>
  <c r="F52" i="17"/>
  <c r="H52" i="17"/>
  <c r="I52" i="17" s="1"/>
  <c r="G52" i="17"/>
  <c r="F51" i="17"/>
  <c r="G51" i="17"/>
  <c r="H51" i="17"/>
  <c r="I51" i="17" s="1"/>
  <c r="F50" i="17"/>
  <c r="G50" i="17"/>
  <c r="H50" i="17"/>
  <c r="I50" i="17" s="1"/>
  <c r="G49" i="17"/>
  <c r="H49" i="17"/>
  <c r="I49" i="17" s="1"/>
  <c r="F49" i="17"/>
  <c r="H48" i="17"/>
  <c r="I48" i="17" s="1"/>
  <c r="G48" i="17"/>
  <c r="F48" i="17"/>
  <c r="H47" i="17"/>
  <c r="I47" i="17" s="1"/>
  <c r="G47" i="17"/>
  <c r="F47" i="17"/>
  <c r="F46" i="17"/>
  <c r="G46" i="17"/>
  <c r="H46" i="17"/>
  <c r="I46" i="17" s="1"/>
  <c r="E45" i="17"/>
  <c r="D53" i="17"/>
  <c r="AA53" i="1" s="1"/>
  <c r="I44" i="17"/>
  <c r="F43" i="17"/>
  <c r="H43" i="17"/>
  <c r="I43" i="17" s="1"/>
  <c r="G43" i="17"/>
  <c r="H42" i="17"/>
  <c r="I42" i="17" s="1"/>
  <c r="G42" i="17"/>
  <c r="F42" i="17"/>
  <c r="F41" i="17"/>
  <c r="H41" i="17"/>
  <c r="G41" i="17"/>
  <c r="E40" i="17"/>
  <c r="F39" i="17"/>
  <c r="H39" i="17"/>
  <c r="G39" i="17"/>
  <c r="G38" i="17"/>
  <c r="H38" i="17"/>
  <c r="I38" i="17" s="1"/>
  <c r="F38" i="17"/>
  <c r="G37" i="17"/>
  <c r="H37" i="17"/>
  <c r="I37" i="17" s="1"/>
  <c r="F37" i="17"/>
  <c r="H36" i="17"/>
  <c r="I36" i="17" s="1"/>
  <c r="F36" i="17"/>
  <c r="G36" i="17"/>
  <c r="H35" i="17"/>
  <c r="F35" i="17"/>
  <c r="G35" i="17"/>
  <c r="G34" i="17"/>
  <c r="H34" i="17"/>
  <c r="I34" i="17" s="1"/>
  <c r="F34" i="17"/>
  <c r="H33" i="17"/>
  <c r="I33" i="17" s="1"/>
  <c r="G33" i="17"/>
  <c r="F33" i="17"/>
  <c r="F32" i="17"/>
  <c r="H32" i="17"/>
  <c r="I32" i="17" s="1"/>
  <c r="G32" i="17"/>
  <c r="H31" i="17"/>
  <c r="G31" i="17"/>
  <c r="F31" i="17"/>
  <c r="F30" i="17"/>
  <c r="H30" i="17"/>
  <c r="I30" i="17" s="1"/>
  <c r="G30" i="17"/>
  <c r="F29" i="17"/>
  <c r="G29" i="17"/>
  <c r="H29" i="17"/>
  <c r="I29" i="17" s="1"/>
  <c r="G28" i="17"/>
  <c r="F28" i="17"/>
  <c r="H28" i="17"/>
  <c r="H27" i="17"/>
  <c r="I27" i="17" s="1"/>
  <c r="F27" i="17"/>
  <c r="G27" i="17"/>
  <c r="F26" i="17"/>
  <c r="G26" i="17"/>
  <c r="H26" i="17"/>
  <c r="I26" i="17" s="1"/>
  <c r="G25" i="17"/>
  <c r="H25" i="17"/>
  <c r="I25" i="17" s="1"/>
  <c r="F25" i="17"/>
  <c r="H24" i="17"/>
  <c r="F24" i="17"/>
  <c r="G24" i="17"/>
  <c r="G23" i="17"/>
  <c r="H23" i="17"/>
  <c r="I23" i="17" s="1"/>
  <c r="F23" i="17"/>
  <c r="G22" i="17"/>
  <c r="F22" i="17"/>
  <c r="H22" i="17"/>
  <c r="I22" i="17" s="1"/>
  <c r="G21" i="17"/>
  <c r="F21" i="17"/>
  <c r="H21" i="17"/>
  <c r="I21" i="17" s="1"/>
  <c r="F19" i="17"/>
  <c r="G19" i="17"/>
  <c r="H19" i="17"/>
  <c r="I19" i="17" s="1"/>
  <c r="H18" i="17"/>
  <c r="I18" i="17" s="1"/>
  <c r="G18" i="17"/>
  <c r="F18" i="17"/>
  <c r="H17" i="17"/>
  <c r="I17" i="17" s="1"/>
  <c r="F17" i="17"/>
  <c r="G17" i="17"/>
  <c r="F16" i="17"/>
  <c r="G16" i="17"/>
  <c r="H16" i="17"/>
  <c r="H15" i="17"/>
  <c r="G15" i="17"/>
  <c r="F15" i="17"/>
  <c r="H14" i="17"/>
  <c r="G14" i="17"/>
  <c r="F14" i="17"/>
  <c r="H13" i="17"/>
  <c r="I13" i="17" s="1"/>
  <c r="I96" i="17" s="1"/>
  <c r="G13" i="17"/>
  <c r="F13" i="17"/>
  <c r="H12" i="17"/>
  <c r="G12" i="17"/>
  <c r="F12" i="17"/>
  <c r="G11" i="17"/>
  <c r="F11" i="17"/>
  <c r="H11" i="17"/>
  <c r="I11" i="17" s="1"/>
  <c r="H10" i="17"/>
  <c r="I10" i="17" s="1"/>
  <c r="I95" i="17" s="1"/>
  <c r="G10" i="17"/>
  <c r="F10" i="17"/>
  <c r="H7" i="17"/>
  <c r="I7" i="17" s="1"/>
  <c r="I100" i="17" s="1"/>
  <c r="G7" i="17"/>
  <c r="F7" i="17"/>
  <c r="F93" i="18"/>
  <c r="H93" i="18"/>
  <c r="I93" i="18" s="1"/>
  <c r="G93" i="18"/>
  <c r="G91" i="18"/>
  <c r="H91" i="18"/>
  <c r="I91" i="18" s="1"/>
  <c r="F91" i="18"/>
  <c r="H90" i="18"/>
  <c r="I90" i="18" s="1"/>
  <c r="G90" i="18"/>
  <c r="F90" i="18"/>
  <c r="F89" i="18"/>
  <c r="G89" i="18"/>
  <c r="H89" i="18"/>
  <c r="I89" i="18" s="1"/>
  <c r="I102" i="18" s="1"/>
  <c r="F88" i="18"/>
  <c r="G88" i="18"/>
  <c r="H88" i="18"/>
  <c r="F87" i="18"/>
  <c r="G87" i="18"/>
  <c r="H87" i="18"/>
  <c r="F85" i="18"/>
  <c r="H85" i="18"/>
  <c r="I85" i="18" s="1"/>
  <c r="G85" i="18"/>
  <c r="H84" i="18"/>
  <c r="I84" i="18" s="1"/>
  <c r="G84" i="18"/>
  <c r="F84" i="18"/>
  <c r="G83" i="18"/>
  <c r="F83" i="18"/>
  <c r="H83" i="18"/>
  <c r="E82" i="18"/>
  <c r="H80" i="18"/>
  <c r="G80" i="18"/>
  <c r="F80" i="18"/>
  <c r="H79" i="18"/>
  <c r="F79" i="18"/>
  <c r="G79" i="18"/>
  <c r="H76" i="18"/>
  <c r="I76" i="18" s="1"/>
  <c r="G76" i="18"/>
  <c r="F76" i="18"/>
  <c r="G75" i="18"/>
  <c r="F75" i="18"/>
  <c r="H75" i="18"/>
  <c r="I75" i="18" s="1"/>
  <c r="I99" i="18" s="1"/>
  <c r="G74" i="18"/>
  <c r="H74" i="18"/>
  <c r="F74" i="18"/>
  <c r="F73" i="18"/>
  <c r="G73" i="18"/>
  <c r="H73" i="18"/>
  <c r="F72" i="18"/>
  <c r="H72" i="18"/>
  <c r="I72" i="18" s="1"/>
  <c r="G72" i="18"/>
  <c r="E71" i="18"/>
  <c r="E69" i="18"/>
  <c r="H67" i="18"/>
  <c r="I67" i="18" s="1"/>
  <c r="F67" i="18"/>
  <c r="G67" i="18"/>
  <c r="H66" i="18"/>
  <c r="G66" i="18"/>
  <c r="F66" i="18"/>
  <c r="E65" i="18"/>
  <c r="F64" i="18"/>
  <c r="G64" i="18"/>
  <c r="H64" i="18"/>
  <c r="I64" i="18" s="1"/>
  <c r="H63" i="18"/>
  <c r="I63" i="18" s="1"/>
  <c r="F63" i="18"/>
  <c r="G63" i="18"/>
  <c r="H62" i="18"/>
  <c r="G62" i="18"/>
  <c r="F62" i="18"/>
  <c r="G61" i="18"/>
  <c r="H61" i="18"/>
  <c r="I61" i="18" s="1"/>
  <c r="F61" i="18"/>
  <c r="G60" i="18"/>
  <c r="F60" i="18"/>
  <c r="H60" i="18"/>
  <c r="I60" i="18" s="1"/>
  <c r="H59" i="18"/>
  <c r="I59" i="18" s="1"/>
  <c r="G59" i="18"/>
  <c r="F59" i="18"/>
  <c r="F58" i="18"/>
  <c r="H58" i="18"/>
  <c r="I58" i="18" s="1"/>
  <c r="G58" i="18"/>
  <c r="F57" i="18"/>
  <c r="H57" i="18"/>
  <c r="I57" i="18" s="1"/>
  <c r="G57" i="18"/>
  <c r="F56" i="18"/>
  <c r="G56" i="18"/>
  <c r="H56" i="18"/>
  <c r="I56" i="18" s="1"/>
  <c r="F55" i="18"/>
  <c r="H55" i="18"/>
  <c r="I55" i="18" s="1"/>
  <c r="G55" i="18"/>
  <c r="F54" i="18"/>
  <c r="H54" i="18"/>
  <c r="I54" i="18" s="1"/>
  <c r="G54" i="18"/>
  <c r="H52" i="18"/>
  <c r="I52" i="18" s="1"/>
  <c r="G52" i="18"/>
  <c r="F52" i="18"/>
  <c r="F51" i="18"/>
  <c r="H51" i="18"/>
  <c r="I51" i="18" s="1"/>
  <c r="G51" i="18"/>
  <c r="H50" i="18"/>
  <c r="I50" i="18" s="1"/>
  <c r="G50" i="18"/>
  <c r="F50" i="18"/>
  <c r="H49" i="18"/>
  <c r="I49" i="18" s="1"/>
  <c r="G49" i="18"/>
  <c r="F49" i="18"/>
  <c r="G48" i="18"/>
  <c r="H48" i="18"/>
  <c r="I48" i="18" s="1"/>
  <c r="F48" i="18"/>
  <c r="H47" i="18"/>
  <c r="I47" i="18" s="1"/>
  <c r="F47" i="18"/>
  <c r="G47" i="18"/>
  <c r="F46" i="18"/>
  <c r="G46" i="18"/>
  <c r="H46" i="18"/>
  <c r="I46" i="18" s="1"/>
  <c r="E45" i="18"/>
  <c r="G43" i="18"/>
  <c r="H43" i="18"/>
  <c r="I43" i="18" s="1"/>
  <c r="F43" i="18"/>
  <c r="F42" i="18"/>
  <c r="H42" i="18"/>
  <c r="I42" i="18" s="1"/>
  <c r="G42" i="18"/>
  <c r="H41" i="18"/>
  <c r="G41" i="18"/>
  <c r="F41" i="18"/>
  <c r="D68" i="18"/>
  <c r="D70" i="18"/>
  <c r="E40" i="18"/>
  <c r="H39" i="18"/>
  <c r="G39" i="18"/>
  <c r="F39" i="18"/>
  <c r="F38" i="18"/>
  <c r="H38" i="18"/>
  <c r="I38" i="18" s="1"/>
  <c r="G38" i="18"/>
  <c r="H37" i="18"/>
  <c r="I37" i="18" s="1"/>
  <c r="G37" i="18"/>
  <c r="F37" i="18"/>
  <c r="F36" i="18"/>
  <c r="G36" i="18"/>
  <c r="H36" i="18"/>
  <c r="I36" i="18" s="1"/>
  <c r="H35" i="18"/>
  <c r="G35" i="18"/>
  <c r="F35" i="18"/>
  <c r="F34" i="18"/>
  <c r="H34" i="18"/>
  <c r="I34" i="18" s="1"/>
  <c r="G34" i="18"/>
  <c r="G33" i="18"/>
  <c r="F33" i="18"/>
  <c r="H33" i="18"/>
  <c r="I33" i="18" s="1"/>
  <c r="G32" i="18"/>
  <c r="F32" i="18"/>
  <c r="H32" i="18"/>
  <c r="I32" i="18" s="1"/>
  <c r="G31" i="18"/>
  <c r="H31" i="18"/>
  <c r="F31" i="18"/>
  <c r="F30" i="18"/>
  <c r="H30" i="18"/>
  <c r="I30" i="18" s="1"/>
  <c r="G30" i="18"/>
  <c r="F29" i="18"/>
  <c r="G29" i="18"/>
  <c r="H29" i="18"/>
  <c r="I29" i="18" s="1"/>
  <c r="H28" i="18"/>
  <c r="G28" i="18"/>
  <c r="F28" i="18"/>
  <c r="H27" i="18"/>
  <c r="I27" i="18" s="1"/>
  <c r="G27" i="18"/>
  <c r="F27" i="18"/>
  <c r="H26" i="18"/>
  <c r="I26" i="18" s="1"/>
  <c r="F26" i="18"/>
  <c r="G26" i="18"/>
  <c r="H25" i="18"/>
  <c r="I25" i="18" s="1"/>
  <c r="F25" i="18"/>
  <c r="G25" i="18"/>
  <c r="F24" i="18"/>
  <c r="G24" i="18"/>
  <c r="H24" i="18"/>
  <c r="F22" i="18"/>
  <c r="H22" i="18"/>
  <c r="I22" i="18" s="1"/>
  <c r="G22" i="18"/>
  <c r="F21" i="18"/>
  <c r="G21" i="18"/>
  <c r="H21" i="18"/>
  <c r="I21" i="18" s="1"/>
  <c r="G19" i="18"/>
  <c r="H19" i="18"/>
  <c r="I19" i="18" s="1"/>
  <c r="F19" i="18"/>
  <c r="E18" i="18"/>
  <c r="D20" i="18" s="1"/>
  <c r="AC17" i="1"/>
  <c r="H17" i="18"/>
  <c r="I17" i="18" s="1"/>
  <c r="G17" i="18"/>
  <c r="F17" i="18"/>
  <c r="G16" i="18"/>
  <c r="H16" i="18"/>
  <c r="F16" i="18"/>
  <c r="F15" i="18"/>
  <c r="H15" i="18"/>
  <c r="G15" i="18"/>
  <c r="H14" i="18"/>
  <c r="G14" i="18"/>
  <c r="F14" i="18"/>
  <c r="G13" i="18"/>
  <c r="F13" i="18"/>
  <c r="H13" i="18"/>
  <c r="I13" i="18" s="1"/>
  <c r="I97" i="18" s="1"/>
  <c r="H12" i="18"/>
  <c r="G12" i="18"/>
  <c r="F12" i="18"/>
  <c r="H11" i="18"/>
  <c r="G11" i="18"/>
  <c r="F11" i="18"/>
  <c r="H10" i="18"/>
  <c r="I10" i="18" s="1"/>
  <c r="I96" i="18" s="1"/>
  <c r="G10" i="18"/>
  <c r="F10" i="18"/>
  <c r="H7" i="18"/>
  <c r="I7" i="18" s="1"/>
  <c r="G7" i="18"/>
  <c r="F7" i="18"/>
  <c r="G92" i="16"/>
  <c r="H92" i="16"/>
  <c r="I92" i="16" s="1"/>
  <c r="F92" i="16"/>
  <c r="F90" i="16"/>
  <c r="H90" i="16"/>
  <c r="I90" i="16" s="1"/>
  <c r="G90" i="16"/>
  <c r="F89" i="16"/>
  <c r="H89" i="16"/>
  <c r="I89" i="16" s="1"/>
  <c r="G89" i="16"/>
  <c r="G88" i="16"/>
  <c r="F88" i="16"/>
  <c r="H88" i="16"/>
  <c r="I88" i="16" s="1"/>
  <c r="I101" i="16" s="1"/>
  <c r="H87" i="16"/>
  <c r="G87" i="16"/>
  <c r="F87" i="16"/>
  <c r="G86" i="16"/>
  <c r="H86" i="16"/>
  <c r="F86" i="16"/>
  <c r="F84" i="16"/>
  <c r="G84" i="16"/>
  <c r="H84" i="16"/>
  <c r="I84" i="16" s="1"/>
  <c r="F83" i="16"/>
  <c r="G83" i="16"/>
  <c r="H83" i="16"/>
  <c r="I83" i="16" s="1"/>
  <c r="G82" i="16"/>
  <c r="H82" i="16"/>
  <c r="F82" i="16"/>
  <c r="E81" i="16"/>
  <c r="H79" i="16"/>
  <c r="F79" i="16"/>
  <c r="G79" i="16"/>
  <c r="G78" i="16"/>
  <c r="H78" i="16"/>
  <c r="F78" i="16"/>
  <c r="G76" i="16"/>
  <c r="H76" i="16"/>
  <c r="I76" i="16" s="1"/>
  <c r="F76" i="16"/>
  <c r="F75" i="16"/>
  <c r="H75" i="16"/>
  <c r="I75" i="16" s="1"/>
  <c r="I98" i="16" s="1"/>
  <c r="G75" i="16"/>
  <c r="H74" i="16"/>
  <c r="G74" i="16"/>
  <c r="F74" i="16"/>
  <c r="G73" i="16"/>
  <c r="H73" i="16"/>
  <c r="F73" i="16"/>
  <c r="G72" i="16"/>
  <c r="H72" i="16"/>
  <c r="I72" i="16" s="1"/>
  <c r="F72" i="16"/>
  <c r="E71" i="16"/>
  <c r="E69" i="16"/>
  <c r="G67" i="16"/>
  <c r="H67" i="16"/>
  <c r="I67" i="16" s="1"/>
  <c r="F67" i="16"/>
  <c r="H66" i="16"/>
  <c r="G66" i="16"/>
  <c r="F66" i="16"/>
  <c r="E65" i="16"/>
  <c r="H64" i="16"/>
  <c r="I64" i="16" s="1"/>
  <c r="F64" i="16"/>
  <c r="G64" i="16"/>
  <c r="H63" i="16"/>
  <c r="I63" i="16" s="1"/>
  <c r="F63" i="16"/>
  <c r="G63" i="16"/>
  <c r="G62" i="16"/>
  <c r="F62" i="16"/>
  <c r="H62" i="16"/>
  <c r="H61" i="16"/>
  <c r="I61" i="16" s="1"/>
  <c r="F61" i="16"/>
  <c r="G61" i="16"/>
  <c r="H60" i="16"/>
  <c r="I60" i="16" s="1"/>
  <c r="G60" i="16"/>
  <c r="F60" i="16"/>
  <c r="F59" i="16"/>
  <c r="H59" i="16"/>
  <c r="I59" i="16" s="1"/>
  <c r="G59" i="16"/>
  <c r="F58" i="16"/>
  <c r="G58" i="16"/>
  <c r="H58" i="16"/>
  <c r="I58" i="16" s="1"/>
  <c r="F57" i="16"/>
  <c r="H57" i="16"/>
  <c r="I57" i="16" s="1"/>
  <c r="G57" i="16"/>
  <c r="H56" i="16"/>
  <c r="I56" i="16" s="1"/>
  <c r="G56" i="16"/>
  <c r="F56" i="16"/>
  <c r="G55" i="16"/>
  <c r="H55" i="16"/>
  <c r="I55" i="16" s="1"/>
  <c r="F55" i="16"/>
  <c r="F54" i="16"/>
  <c r="G54" i="16"/>
  <c r="H54" i="16"/>
  <c r="I54" i="16" s="1"/>
  <c r="E53" i="16"/>
  <c r="G52" i="16"/>
  <c r="F52" i="16"/>
  <c r="H52" i="16"/>
  <c r="I52" i="16" s="1"/>
  <c r="G51" i="16"/>
  <c r="H51" i="16"/>
  <c r="I51" i="16" s="1"/>
  <c r="F51" i="16"/>
  <c r="F50" i="16"/>
  <c r="G50" i="16"/>
  <c r="H50" i="16"/>
  <c r="I50" i="16" s="1"/>
  <c r="G49" i="16"/>
  <c r="F49" i="16"/>
  <c r="H49" i="16"/>
  <c r="I49" i="16" s="1"/>
  <c r="H48" i="16"/>
  <c r="I48" i="16" s="1"/>
  <c r="G48" i="16"/>
  <c r="F48" i="16"/>
  <c r="G47" i="16"/>
  <c r="F47" i="16"/>
  <c r="H47" i="16"/>
  <c r="I47" i="16" s="1"/>
  <c r="G46" i="16"/>
  <c r="F46" i="16"/>
  <c r="H46" i="16"/>
  <c r="I46" i="16" s="1"/>
  <c r="G45" i="16"/>
  <c r="H45" i="16"/>
  <c r="I45" i="16" s="1"/>
  <c r="F45" i="16"/>
  <c r="F43" i="16"/>
  <c r="H43" i="16"/>
  <c r="I43" i="16" s="1"/>
  <c r="G43" i="16"/>
  <c r="G42" i="16"/>
  <c r="H42" i="16"/>
  <c r="I42" i="16" s="1"/>
  <c r="F42" i="16"/>
  <c r="F41" i="16"/>
  <c r="H41" i="16"/>
  <c r="G41" i="16"/>
  <c r="E40" i="16"/>
  <c r="F39" i="16"/>
  <c r="G39" i="16"/>
  <c r="H39" i="16"/>
  <c r="H38" i="16"/>
  <c r="I38" i="16" s="1"/>
  <c r="G38" i="16"/>
  <c r="F38" i="16"/>
  <c r="G37" i="16"/>
  <c r="H37" i="16"/>
  <c r="I37" i="16" s="1"/>
  <c r="F37" i="16"/>
  <c r="H36" i="16"/>
  <c r="I36" i="16" s="1"/>
  <c r="G36" i="16"/>
  <c r="F36" i="16"/>
  <c r="H35" i="16"/>
  <c r="G35" i="16"/>
  <c r="F35" i="16"/>
  <c r="F34" i="16"/>
  <c r="G34" i="16"/>
  <c r="H34" i="16"/>
  <c r="I34" i="16" s="1"/>
  <c r="H33" i="16"/>
  <c r="I33" i="16" s="1"/>
  <c r="F33" i="16"/>
  <c r="G33" i="16"/>
  <c r="F32" i="16"/>
  <c r="G32" i="16"/>
  <c r="H32" i="16"/>
  <c r="I32" i="16" s="1"/>
  <c r="F31" i="16"/>
  <c r="G31" i="16"/>
  <c r="H31" i="16"/>
  <c r="G30" i="16"/>
  <c r="H30" i="16"/>
  <c r="I30" i="16" s="1"/>
  <c r="F30" i="16"/>
  <c r="G29" i="16"/>
  <c r="H29" i="16"/>
  <c r="I29" i="16" s="1"/>
  <c r="F29" i="16"/>
  <c r="F28" i="16"/>
  <c r="H28" i="16"/>
  <c r="G28" i="16"/>
  <c r="F27" i="16"/>
  <c r="G27" i="16"/>
  <c r="H27" i="16"/>
  <c r="I27" i="16" s="1"/>
  <c r="F26" i="16"/>
  <c r="H26" i="16"/>
  <c r="I26" i="16" s="1"/>
  <c r="G26" i="16"/>
  <c r="H25" i="16"/>
  <c r="I25" i="16" s="1"/>
  <c r="G25" i="16"/>
  <c r="F25" i="16"/>
  <c r="F24" i="16"/>
  <c r="G24" i="16"/>
  <c r="H24" i="16"/>
  <c r="H23" i="16"/>
  <c r="I23" i="16" s="1"/>
  <c r="G23" i="16"/>
  <c r="F23" i="16"/>
  <c r="H22" i="16"/>
  <c r="I22" i="16" s="1"/>
  <c r="G22" i="16"/>
  <c r="F22" i="16"/>
  <c r="G21" i="16"/>
  <c r="F21" i="16"/>
  <c r="H21" i="16"/>
  <c r="I21" i="16" s="1"/>
  <c r="G19" i="16"/>
  <c r="H19" i="16"/>
  <c r="I19" i="16" s="1"/>
  <c r="F19" i="16"/>
  <c r="E18" i="16"/>
  <c r="D20" i="16" s="1"/>
  <c r="D77" i="16"/>
  <c r="H17" i="16"/>
  <c r="I17" i="16" s="1"/>
  <c r="F17" i="16"/>
  <c r="G17" i="16"/>
  <c r="G16" i="16"/>
  <c r="F16" i="16"/>
  <c r="H16" i="16"/>
  <c r="F15" i="16"/>
  <c r="G15" i="16"/>
  <c r="H15" i="16"/>
  <c r="F14" i="16"/>
  <c r="G14" i="16"/>
  <c r="H14" i="16"/>
  <c r="G13" i="16"/>
  <c r="H13" i="16"/>
  <c r="I13" i="16" s="1"/>
  <c r="I96" i="16" s="1"/>
  <c r="F13" i="16"/>
  <c r="H12" i="16"/>
  <c r="F12" i="16"/>
  <c r="G12" i="16"/>
  <c r="G11" i="16"/>
  <c r="H11" i="16"/>
  <c r="F11" i="16"/>
  <c r="F10" i="16"/>
  <c r="G10" i="16"/>
  <c r="H10" i="16"/>
  <c r="I10" i="16" s="1"/>
  <c r="I95" i="16" s="1"/>
  <c r="F7" i="16"/>
  <c r="H7" i="16"/>
  <c r="I7" i="16" s="1"/>
  <c r="G7" i="16"/>
  <c r="H92" i="15"/>
  <c r="I92" i="15" s="1"/>
  <c r="G92" i="15"/>
  <c r="F92" i="15"/>
  <c r="H90" i="15"/>
  <c r="I90" i="15" s="1"/>
  <c r="G90" i="15"/>
  <c r="F90" i="15"/>
  <c r="H89" i="15"/>
  <c r="I89" i="15" s="1"/>
  <c r="G89" i="15"/>
  <c r="F89" i="15"/>
  <c r="G88" i="15"/>
  <c r="F88" i="15"/>
  <c r="H88" i="15"/>
  <c r="I88" i="15" s="1"/>
  <c r="I101" i="15" s="1"/>
  <c r="H87" i="15"/>
  <c r="G87" i="15"/>
  <c r="F87" i="15"/>
  <c r="H86" i="15"/>
  <c r="G86" i="15"/>
  <c r="F86" i="15"/>
  <c r="H84" i="15"/>
  <c r="I84" i="15" s="1"/>
  <c r="G84" i="15"/>
  <c r="F84" i="15"/>
  <c r="H83" i="15"/>
  <c r="I83" i="15" s="1"/>
  <c r="G83" i="15"/>
  <c r="F83" i="15"/>
  <c r="F82" i="15"/>
  <c r="G82" i="15"/>
  <c r="H82" i="15"/>
  <c r="E81" i="15"/>
  <c r="F79" i="15"/>
  <c r="G79" i="15"/>
  <c r="H79" i="15"/>
  <c r="F78" i="15"/>
  <c r="G78" i="15"/>
  <c r="H78" i="15"/>
  <c r="E77" i="15"/>
  <c r="F76" i="15"/>
  <c r="G76" i="15"/>
  <c r="H76" i="15"/>
  <c r="I76" i="15" s="1"/>
  <c r="F75" i="15"/>
  <c r="G75" i="15"/>
  <c r="H75" i="15"/>
  <c r="I75" i="15" s="1"/>
  <c r="I98" i="15" s="1"/>
  <c r="H74" i="15"/>
  <c r="G74" i="15"/>
  <c r="F74" i="15"/>
  <c r="G73" i="15"/>
  <c r="H73" i="15"/>
  <c r="F73" i="15"/>
  <c r="G72" i="15"/>
  <c r="F72" i="15"/>
  <c r="H72" i="15"/>
  <c r="I72" i="15" s="1"/>
  <c r="E71" i="15"/>
  <c r="E69" i="15"/>
  <c r="F67" i="15"/>
  <c r="H67" i="15"/>
  <c r="I67" i="15" s="1"/>
  <c r="G67" i="15"/>
  <c r="F66" i="15"/>
  <c r="G66" i="15"/>
  <c r="H66" i="15"/>
  <c r="E65" i="15"/>
  <c r="F64" i="15"/>
  <c r="G64" i="15"/>
  <c r="H64" i="15"/>
  <c r="I64" i="15" s="1"/>
  <c r="F63" i="15"/>
  <c r="G63" i="15"/>
  <c r="H63" i="15"/>
  <c r="I63" i="15" s="1"/>
  <c r="F62" i="15"/>
  <c r="H62" i="15"/>
  <c r="G62" i="15"/>
  <c r="H61" i="15"/>
  <c r="I61" i="15" s="1"/>
  <c r="G61" i="15"/>
  <c r="F61" i="15"/>
  <c r="G60" i="15"/>
  <c r="H60" i="15"/>
  <c r="I60" i="15" s="1"/>
  <c r="F60" i="15"/>
  <c r="F59" i="15"/>
  <c r="G59" i="15"/>
  <c r="H59" i="15"/>
  <c r="I59" i="15" s="1"/>
  <c r="F58" i="15"/>
  <c r="G58" i="15"/>
  <c r="H58" i="15"/>
  <c r="I58" i="15" s="1"/>
  <c r="H57" i="15"/>
  <c r="I57" i="15" s="1"/>
  <c r="G57" i="15"/>
  <c r="F57" i="15"/>
  <c r="F56" i="15"/>
  <c r="G56" i="15"/>
  <c r="H56" i="15"/>
  <c r="I56" i="15" s="1"/>
  <c r="F55" i="15"/>
  <c r="H55" i="15"/>
  <c r="I55" i="15" s="1"/>
  <c r="G55" i="15"/>
  <c r="G54" i="15"/>
  <c r="F54" i="15"/>
  <c r="H54" i="15"/>
  <c r="I54" i="15" s="1"/>
  <c r="E53" i="15"/>
  <c r="F52" i="15"/>
  <c r="H52" i="15"/>
  <c r="I52" i="15" s="1"/>
  <c r="G52" i="15"/>
  <c r="G51" i="15"/>
  <c r="F51" i="15"/>
  <c r="H51" i="15"/>
  <c r="I51" i="15" s="1"/>
  <c r="F50" i="15"/>
  <c r="G50" i="15"/>
  <c r="H50" i="15"/>
  <c r="I50" i="15" s="1"/>
  <c r="H49" i="15"/>
  <c r="I49" i="15" s="1"/>
  <c r="G49" i="15"/>
  <c r="F49" i="15"/>
  <c r="G48" i="15"/>
  <c r="F48" i="15"/>
  <c r="H48" i="15"/>
  <c r="I48" i="15" s="1"/>
  <c r="G47" i="15"/>
  <c r="H47" i="15"/>
  <c r="I47" i="15" s="1"/>
  <c r="F47" i="15"/>
  <c r="G46" i="15"/>
  <c r="F46" i="15"/>
  <c r="H46" i="15"/>
  <c r="I46" i="15" s="1"/>
  <c r="G45" i="15"/>
  <c r="H45" i="15"/>
  <c r="I45" i="15" s="1"/>
  <c r="F45" i="15"/>
  <c r="F43" i="15"/>
  <c r="H43" i="15"/>
  <c r="I43" i="15" s="1"/>
  <c r="G43" i="15"/>
  <c r="H42" i="15"/>
  <c r="I42" i="15" s="1"/>
  <c r="G42" i="15"/>
  <c r="F42" i="15"/>
  <c r="F41" i="15"/>
  <c r="G41" i="15"/>
  <c r="H41" i="15"/>
  <c r="E40" i="15"/>
  <c r="D70" i="15"/>
  <c r="H39" i="15"/>
  <c r="G39" i="15"/>
  <c r="F39" i="15"/>
  <c r="F38" i="15"/>
  <c r="H38" i="15"/>
  <c r="I38" i="15" s="1"/>
  <c r="G38" i="15"/>
  <c r="F37" i="15"/>
  <c r="H37" i="15"/>
  <c r="I37" i="15" s="1"/>
  <c r="G37" i="15"/>
  <c r="F36" i="15"/>
  <c r="H36" i="15"/>
  <c r="I36" i="15" s="1"/>
  <c r="G36" i="15"/>
  <c r="G35" i="15"/>
  <c r="H35" i="15"/>
  <c r="F35" i="15"/>
  <c r="H34" i="15"/>
  <c r="I34" i="15" s="1"/>
  <c r="F34" i="15"/>
  <c r="G34" i="15"/>
  <c r="G33" i="15"/>
  <c r="F33" i="15"/>
  <c r="H33" i="15"/>
  <c r="I33" i="15" s="1"/>
  <c r="F32" i="15"/>
  <c r="H32" i="15"/>
  <c r="I32" i="15" s="1"/>
  <c r="G32" i="15"/>
  <c r="G31" i="15"/>
  <c r="H31" i="15"/>
  <c r="F31" i="15"/>
  <c r="G30" i="15"/>
  <c r="F30" i="15"/>
  <c r="H30" i="15"/>
  <c r="I30" i="15" s="1"/>
  <c r="H29" i="15"/>
  <c r="I29" i="15" s="1"/>
  <c r="G29" i="15"/>
  <c r="F29" i="15"/>
  <c r="F28" i="15"/>
  <c r="H28" i="15"/>
  <c r="G28" i="15"/>
  <c r="H27" i="15"/>
  <c r="I27" i="15" s="1"/>
  <c r="G27" i="15"/>
  <c r="F27" i="15"/>
  <c r="F26" i="15"/>
  <c r="G26" i="15"/>
  <c r="H26" i="15"/>
  <c r="I26" i="15" s="1"/>
  <c r="G25" i="15"/>
  <c r="H25" i="15"/>
  <c r="I25" i="15" s="1"/>
  <c r="F25" i="15"/>
  <c r="F24" i="15"/>
  <c r="G24" i="15"/>
  <c r="H24" i="15"/>
  <c r="H23" i="15"/>
  <c r="I23" i="15" s="1"/>
  <c r="G23" i="15"/>
  <c r="F23" i="15"/>
  <c r="G22" i="15"/>
  <c r="H22" i="15"/>
  <c r="I22" i="15" s="1"/>
  <c r="F22" i="15"/>
  <c r="G21" i="15"/>
  <c r="F21" i="15"/>
  <c r="H21" i="15"/>
  <c r="I21" i="15" s="1"/>
  <c r="F20" i="15"/>
  <c r="G20" i="15"/>
  <c r="H20" i="15"/>
  <c r="I20" i="15" s="1"/>
  <c r="H19" i="15"/>
  <c r="I19" i="15" s="1"/>
  <c r="F19" i="15"/>
  <c r="G19" i="15"/>
  <c r="F18" i="15"/>
  <c r="G18" i="15"/>
  <c r="H18" i="15"/>
  <c r="I18" i="15" s="1"/>
  <c r="G17" i="15"/>
  <c r="F17" i="15"/>
  <c r="H17" i="15"/>
  <c r="I17" i="15" s="1"/>
  <c r="H16" i="15"/>
  <c r="G16" i="15"/>
  <c r="F16" i="15"/>
  <c r="F15" i="15"/>
  <c r="G15" i="15"/>
  <c r="H15" i="15"/>
  <c r="G14" i="15"/>
  <c r="F14" i="15"/>
  <c r="F13" i="15"/>
  <c r="G13" i="15"/>
  <c r="H13" i="15"/>
  <c r="I13" i="15" s="1"/>
  <c r="I96" i="15" s="1"/>
  <c r="F12" i="15"/>
  <c r="G12" i="15"/>
  <c r="H12" i="15"/>
  <c r="F11" i="15"/>
  <c r="G11" i="15"/>
  <c r="H11" i="15"/>
  <c r="H10" i="15"/>
  <c r="I10" i="15" s="1"/>
  <c r="I95" i="15" s="1"/>
  <c r="G10" i="15"/>
  <c r="F10" i="15"/>
  <c r="F7" i="15"/>
  <c r="G7" i="15"/>
  <c r="H7" i="15"/>
  <c r="I7" i="15" s="1"/>
  <c r="H92" i="14"/>
  <c r="I92" i="14" s="1"/>
  <c r="G92" i="14"/>
  <c r="F92" i="14"/>
  <c r="G90" i="14"/>
  <c r="H90" i="14"/>
  <c r="I90" i="14" s="1"/>
  <c r="F90" i="14"/>
  <c r="H89" i="14"/>
  <c r="I89" i="14" s="1"/>
  <c r="G89" i="14"/>
  <c r="F89" i="14"/>
  <c r="G88" i="14"/>
  <c r="H88" i="14"/>
  <c r="I88" i="14" s="1"/>
  <c r="I101" i="14" s="1"/>
  <c r="F88" i="14"/>
  <c r="H87" i="14"/>
  <c r="G87" i="14"/>
  <c r="F87" i="14"/>
  <c r="H86" i="14"/>
  <c r="G86" i="14"/>
  <c r="F86" i="14"/>
  <c r="H84" i="14"/>
  <c r="I84" i="14" s="1"/>
  <c r="G84" i="14"/>
  <c r="F84" i="14"/>
  <c r="H83" i="14"/>
  <c r="I83" i="14" s="1"/>
  <c r="G83" i="14"/>
  <c r="F83" i="14"/>
  <c r="G82" i="14"/>
  <c r="F82" i="14"/>
  <c r="H82" i="14"/>
  <c r="E81" i="14"/>
  <c r="G79" i="14"/>
  <c r="F79" i="14"/>
  <c r="H79" i="14"/>
  <c r="H78" i="14"/>
  <c r="G78" i="14"/>
  <c r="F78" i="14"/>
  <c r="H76" i="14"/>
  <c r="I76" i="14" s="1"/>
  <c r="G76" i="14"/>
  <c r="F76" i="14"/>
  <c r="H75" i="14"/>
  <c r="I75" i="14" s="1"/>
  <c r="I98" i="14" s="1"/>
  <c r="G75" i="14"/>
  <c r="F75" i="14"/>
  <c r="H74" i="14"/>
  <c r="G74" i="14"/>
  <c r="F74" i="14"/>
  <c r="H73" i="14"/>
  <c r="G73" i="14"/>
  <c r="F73" i="14"/>
  <c r="G72" i="14"/>
  <c r="F72" i="14"/>
  <c r="H72" i="14"/>
  <c r="I72" i="14" s="1"/>
  <c r="E71" i="14"/>
  <c r="E69" i="14"/>
  <c r="H67" i="14"/>
  <c r="I67" i="14" s="1"/>
  <c r="G67" i="14"/>
  <c r="F67" i="14"/>
  <c r="F66" i="14"/>
  <c r="G66" i="14"/>
  <c r="H66" i="14"/>
  <c r="E65" i="14"/>
  <c r="G64" i="14"/>
  <c r="F64" i="14"/>
  <c r="H64" i="14"/>
  <c r="I64" i="14" s="1"/>
  <c r="G63" i="14"/>
  <c r="H63" i="14"/>
  <c r="I63" i="14" s="1"/>
  <c r="F63" i="14"/>
  <c r="H62" i="14"/>
  <c r="G62" i="14"/>
  <c r="F62" i="14"/>
  <c r="G61" i="14"/>
  <c r="F61" i="14"/>
  <c r="H61" i="14"/>
  <c r="I61" i="14" s="1"/>
  <c r="F60" i="14"/>
  <c r="G60" i="14"/>
  <c r="H60" i="14"/>
  <c r="I60" i="14" s="1"/>
  <c r="G59" i="14"/>
  <c r="F59" i="14"/>
  <c r="H59" i="14"/>
  <c r="I59" i="14" s="1"/>
  <c r="F58" i="14"/>
  <c r="G58" i="14"/>
  <c r="H58" i="14"/>
  <c r="I58" i="14" s="1"/>
  <c r="F57" i="14"/>
  <c r="G57" i="14"/>
  <c r="H57" i="14"/>
  <c r="I57" i="14" s="1"/>
  <c r="F56" i="14"/>
  <c r="G56" i="14"/>
  <c r="H56" i="14"/>
  <c r="I56" i="14" s="1"/>
  <c r="F55" i="14"/>
  <c r="G55" i="14"/>
  <c r="H55" i="14"/>
  <c r="I55" i="14" s="1"/>
  <c r="F54" i="14"/>
  <c r="G54" i="14"/>
  <c r="H54" i="14"/>
  <c r="I54" i="14" s="1"/>
  <c r="E53" i="14"/>
  <c r="H52" i="14"/>
  <c r="I52" i="14" s="1"/>
  <c r="G52" i="14"/>
  <c r="F52" i="14"/>
  <c r="G51" i="14"/>
  <c r="F51" i="14"/>
  <c r="H51" i="14"/>
  <c r="I51" i="14" s="1"/>
  <c r="H50" i="14"/>
  <c r="I50" i="14" s="1"/>
  <c r="G50" i="14"/>
  <c r="F50" i="14"/>
  <c r="H49" i="14"/>
  <c r="I49" i="14" s="1"/>
  <c r="G49" i="14"/>
  <c r="F49" i="14"/>
  <c r="F48" i="14"/>
  <c r="G48" i="14"/>
  <c r="H48" i="14"/>
  <c r="I48" i="14" s="1"/>
  <c r="F47" i="14"/>
  <c r="H47" i="14"/>
  <c r="I47" i="14" s="1"/>
  <c r="G47" i="14"/>
  <c r="H46" i="14"/>
  <c r="I46" i="14" s="1"/>
  <c r="G46" i="14"/>
  <c r="F46" i="14"/>
  <c r="H45" i="14"/>
  <c r="I45" i="14" s="1"/>
  <c r="F45" i="14"/>
  <c r="G45" i="14"/>
  <c r="H43" i="14"/>
  <c r="I43" i="14" s="1"/>
  <c r="F43" i="14"/>
  <c r="G43" i="14"/>
  <c r="H42" i="14"/>
  <c r="I42" i="14" s="1"/>
  <c r="F42" i="14"/>
  <c r="G42" i="14"/>
  <c r="F41" i="14"/>
  <c r="H41" i="14"/>
  <c r="G41" i="14"/>
  <c r="E40" i="14"/>
  <c r="H39" i="14"/>
  <c r="F39" i="14"/>
  <c r="G39" i="14"/>
  <c r="G38" i="14"/>
  <c r="H38" i="14"/>
  <c r="I38" i="14" s="1"/>
  <c r="F38" i="14"/>
  <c r="H37" i="14"/>
  <c r="I37" i="14" s="1"/>
  <c r="G37" i="14"/>
  <c r="F37" i="14"/>
  <c r="H36" i="14"/>
  <c r="I36" i="14" s="1"/>
  <c r="F36" i="14"/>
  <c r="G36" i="14"/>
  <c r="F35" i="14"/>
  <c r="G35" i="14"/>
  <c r="H35" i="14"/>
  <c r="F34" i="14"/>
  <c r="G34" i="14"/>
  <c r="H34" i="14"/>
  <c r="I34" i="14" s="1"/>
  <c r="H33" i="14"/>
  <c r="I33" i="14" s="1"/>
  <c r="F33" i="14"/>
  <c r="G33" i="14"/>
  <c r="F32" i="14"/>
  <c r="G32" i="14"/>
  <c r="H32" i="14"/>
  <c r="I32" i="14" s="1"/>
  <c r="F31" i="14"/>
  <c r="G31" i="14"/>
  <c r="H31" i="14"/>
  <c r="H30" i="14"/>
  <c r="I30" i="14" s="1"/>
  <c r="G30" i="14"/>
  <c r="F30" i="14"/>
  <c r="H29" i="14"/>
  <c r="I29" i="14" s="1"/>
  <c r="G29" i="14"/>
  <c r="F29" i="14"/>
  <c r="F28" i="14"/>
  <c r="H28" i="14"/>
  <c r="G28" i="14"/>
  <c r="G27" i="14"/>
  <c r="F27" i="14"/>
  <c r="H27" i="14"/>
  <c r="I27" i="14" s="1"/>
  <c r="H26" i="14"/>
  <c r="I26" i="14" s="1"/>
  <c r="G26" i="14"/>
  <c r="F26" i="14"/>
  <c r="F25" i="14"/>
  <c r="G25" i="14"/>
  <c r="H25" i="14"/>
  <c r="I25" i="14" s="1"/>
  <c r="H24" i="14"/>
  <c r="G24" i="14"/>
  <c r="F24" i="14"/>
  <c r="H23" i="14"/>
  <c r="I23" i="14" s="1"/>
  <c r="G23" i="14"/>
  <c r="F23" i="14"/>
  <c r="G22" i="14"/>
  <c r="F22" i="14"/>
  <c r="H22" i="14"/>
  <c r="I22" i="14" s="1"/>
  <c r="F21" i="14"/>
  <c r="G21" i="14"/>
  <c r="H21" i="14"/>
  <c r="I21" i="14" s="1"/>
  <c r="H19" i="14"/>
  <c r="I19" i="14" s="1"/>
  <c r="G19" i="14"/>
  <c r="F19" i="14"/>
  <c r="F17" i="14"/>
  <c r="G17" i="14"/>
  <c r="H17" i="14"/>
  <c r="I17" i="14" s="1"/>
  <c r="G16" i="14"/>
  <c r="H16" i="14"/>
  <c r="F16" i="14"/>
  <c r="F14" i="14"/>
  <c r="G14" i="14"/>
  <c r="H14" i="14"/>
  <c r="F13" i="14"/>
  <c r="G13" i="14"/>
  <c r="H13" i="14"/>
  <c r="I13" i="14" s="1"/>
  <c r="I96" i="14" s="1"/>
  <c r="F12" i="14"/>
  <c r="G12" i="14"/>
  <c r="H12" i="14"/>
  <c r="F11" i="14"/>
  <c r="G11" i="14"/>
  <c r="H11" i="14"/>
  <c r="H10" i="14"/>
  <c r="I10" i="14" s="1"/>
  <c r="I95" i="14" s="1"/>
  <c r="G10" i="14"/>
  <c r="F10" i="14"/>
  <c r="G7" i="14"/>
  <c r="H7" i="14"/>
  <c r="I7" i="14" s="1"/>
  <c r="F7" i="14"/>
  <c r="H92" i="13"/>
  <c r="I92" i="13" s="1"/>
  <c r="G92" i="13"/>
  <c r="F92" i="13"/>
  <c r="H90" i="13"/>
  <c r="I90" i="13" s="1"/>
  <c r="G90" i="13"/>
  <c r="F90" i="13"/>
  <c r="G89" i="13"/>
  <c r="F89" i="13"/>
  <c r="H89" i="13"/>
  <c r="I89" i="13" s="1"/>
  <c r="F88" i="13"/>
  <c r="G88" i="13"/>
  <c r="H88" i="13"/>
  <c r="I88" i="13" s="1"/>
  <c r="I101" i="13" s="1"/>
  <c r="F87" i="13"/>
  <c r="G87" i="13"/>
  <c r="H87" i="13"/>
  <c r="F86" i="13"/>
  <c r="G86" i="13"/>
  <c r="H86" i="13"/>
  <c r="G84" i="13"/>
  <c r="H84" i="13"/>
  <c r="I84" i="13" s="1"/>
  <c r="F84" i="13"/>
  <c r="H83" i="13"/>
  <c r="I83" i="13" s="1"/>
  <c r="G83" i="13"/>
  <c r="F83" i="13"/>
  <c r="H82" i="13"/>
  <c r="G82" i="13"/>
  <c r="F82" i="13"/>
  <c r="E81" i="13"/>
  <c r="H79" i="13"/>
  <c r="G79" i="13"/>
  <c r="F79" i="13"/>
  <c r="H78" i="13"/>
  <c r="G78" i="13"/>
  <c r="F78" i="13"/>
  <c r="E77" i="13"/>
  <c r="G76" i="13"/>
  <c r="F76" i="13"/>
  <c r="H76" i="13"/>
  <c r="I76" i="13" s="1"/>
  <c r="G75" i="13"/>
  <c r="F75" i="13"/>
  <c r="H75" i="13"/>
  <c r="I75" i="13" s="1"/>
  <c r="I98" i="13" s="1"/>
  <c r="H74" i="13"/>
  <c r="G74" i="13"/>
  <c r="F74" i="13"/>
  <c r="F73" i="13"/>
  <c r="G73" i="13"/>
  <c r="H73" i="13"/>
  <c r="F72" i="13"/>
  <c r="G72" i="13"/>
  <c r="H72" i="13"/>
  <c r="I72" i="13" s="1"/>
  <c r="E71" i="13"/>
  <c r="E69" i="13"/>
  <c r="G67" i="13"/>
  <c r="F67" i="13"/>
  <c r="H67" i="13"/>
  <c r="I67" i="13" s="1"/>
  <c r="F66" i="13"/>
  <c r="H66" i="13"/>
  <c r="G66" i="13"/>
  <c r="E65" i="13"/>
  <c r="F64" i="13"/>
  <c r="G64" i="13"/>
  <c r="H64" i="13"/>
  <c r="I64" i="13" s="1"/>
  <c r="H63" i="13"/>
  <c r="I63" i="13" s="1"/>
  <c r="G63" i="13"/>
  <c r="F63" i="13"/>
  <c r="F62" i="13"/>
  <c r="G62" i="13"/>
  <c r="H62" i="13"/>
  <c r="F61" i="13"/>
  <c r="G61" i="13"/>
  <c r="H61" i="13"/>
  <c r="I61" i="13" s="1"/>
  <c r="H60" i="13"/>
  <c r="I60" i="13" s="1"/>
  <c r="F60" i="13"/>
  <c r="G60" i="13"/>
  <c r="H59" i="13"/>
  <c r="I59" i="13" s="1"/>
  <c r="F59" i="13"/>
  <c r="G59" i="13"/>
  <c r="G58" i="13"/>
  <c r="F58" i="13"/>
  <c r="H58" i="13"/>
  <c r="I58" i="13" s="1"/>
  <c r="F57" i="13"/>
  <c r="H57" i="13"/>
  <c r="I57" i="13" s="1"/>
  <c r="G57" i="13"/>
  <c r="H56" i="13"/>
  <c r="I56" i="13" s="1"/>
  <c r="G56" i="13"/>
  <c r="F56" i="13"/>
  <c r="G55" i="13"/>
  <c r="F55" i="13"/>
  <c r="H55" i="13"/>
  <c r="I55" i="13" s="1"/>
  <c r="H54" i="13"/>
  <c r="I54" i="13" s="1"/>
  <c r="F54" i="13"/>
  <c r="G54" i="13"/>
  <c r="G52" i="13"/>
  <c r="F52" i="13"/>
  <c r="H52" i="13"/>
  <c r="I52" i="13" s="1"/>
  <c r="F51" i="13"/>
  <c r="G51" i="13"/>
  <c r="H51" i="13"/>
  <c r="I51" i="13" s="1"/>
  <c r="F50" i="13"/>
  <c r="H50" i="13"/>
  <c r="I50" i="13" s="1"/>
  <c r="G50" i="13"/>
  <c r="F49" i="13"/>
  <c r="G49" i="13"/>
  <c r="H49" i="13"/>
  <c r="I49" i="13" s="1"/>
  <c r="G48" i="13"/>
  <c r="F48" i="13"/>
  <c r="H48" i="13"/>
  <c r="I48" i="13" s="1"/>
  <c r="F47" i="13"/>
  <c r="H47" i="13"/>
  <c r="I47" i="13" s="1"/>
  <c r="G47" i="13"/>
  <c r="G46" i="13"/>
  <c r="H46" i="13"/>
  <c r="I46" i="13" s="1"/>
  <c r="F46" i="13"/>
  <c r="E45" i="13"/>
  <c r="I44" i="13"/>
  <c r="D53" i="13"/>
  <c r="S53" i="1" s="1"/>
  <c r="E43" i="13"/>
  <c r="E42" i="13"/>
  <c r="F41" i="13"/>
  <c r="G41" i="13"/>
  <c r="H41" i="13"/>
  <c r="E40" i="13"/>
  <c r="S68" i="1"/>
  <c r="S70" i="1"/>
  <c r="H39" i="13"/>
  <c r="F39" i="13"/>
  <c r="G39" i="13"/>
  <c r="H38" i="13"/>
  <c r="I38" i="13" s="1"/>
  <c r="F38" i="13"/>
  <c r="G38" i="13"/>
  <c r="H37" i="13"/>
  <c r="I37" i="13" s="1"/>
  <c r="G37" i="13"/>
  <c r="F37" i="13"/>
  <c r="G36" i="13"/>
  <c r="F36" i="13"/>
  <c r="H36" i="13"/>
  <c r="I36" i="13" s="1"/>
  <c r="H35" i="13"/>
  <c r="G35" i="13"/>
  <c r="F35" i="13"/>
  <c r="G34" i="13"/>
  <c r="F34" i="13"/>
  <c r="H34" i="13"/>
  <c r="I34" i="13" s="1"/>
  <c r="H33" i="13"/>
  <c r="I33" i="13" s="1"/>
  <c r="G33" i="13"/>
  <c r="F33" i="13"/>
  <c r="H32" i="13"/>
  <c r="I32" i="13" s="1"/>
  <c r="G32" i="13"/>
  <c r="F32" i="13"/>
  <c r="F31" i="13"/>
  <c r="H31" i="13"/>
  <c r="G31" i="13"/>
  <c r="H30" i="13"/>
  <c r="I30" i="13" s="1"/>
  <c r="G30" i="13"/>
  <c r="F30" i="13"/>
  <c r="G29" i="13"/>
  <c r="F29" i="13"/>
  <c r="H28" i="13"/>
  <c r="F28" i="13"/>
  <c r="G28" i="13"/>
  <c r="H27" i="13"/>
  <c r="I27" i="13" s="1"/>
  <c r="F27" i="13"/>
  <c r="G27" i="13"/>
  <c r="F26" i="13"/>
  <c r="G26" i="13"/>
  <c r="H26" i="13"/>
  <c r="I26" i="13" s="1"/>
  <c r="H25" i="13"/>
  <c r="I25" i="13" s="1"/>
  <c r="F25" i="13"/>
  <c r="G25" i="13"/>
  <c r="F24" i="13"/>
  <c r="G24" i="13"/>
  <c r="H24" i="13"/>
  <c r="F23" i="13"/>
  <c r="H23" i="13"/>
  <c r="I23" i="13" s="1"/>
  <c r="G23" i="13"/>
  <c r="F22" i="13"/>
  <c r="G22" i="13"/>
  <c r="H22" i="13"/>
  <c r="I22" i="13" s="1"/>
  <c r="F21" i="13"/>
  <c r="G21" i="13"/>
  <c r="H21" i="13"/>
  <c r="I21" i="13" s="1"/>
  <c r="G19" i="13"/>
  <c r="F19" i="13"/>
  <c r="H19" i="13"/>
  <c r="I19" i="13" s="1"/>
  <c r="F18" i="13"/>
  <c r="G18" i="13"/>
  <c r="H18" i="13"/>
  <c r="I18" i="13" s="1"/>
  <c r="F17" i="13"/>
  <c r="G17" i="13"/>
  <c r="H17" i="13"/>
  <c r="I17" i="13" s="1"/>
  <c r="G16" i="13"/>
  <c r="H16" i="13"/>
  <c r="F16" i="13"/>
  <c r="H15" i="13"/>
  <c r="G15" i="13"/>
  <c r="F15" i="13"/>
  <c r="H14" i="13"/>
  <c r="G14" i="13"/>
  <c r="F14" i="13"/>
  <c r="H13" i="13"/>
  <c r="I13" i="13" s="1"/>
  <c r="I96" i="13" s="1"/>
  <c r="G13" i="13"/>
  <c r="F13" i="13"/>
  <c r="H12" i="13"/>
  <c r="G12" i="13"/>
  <c r="F12" i="13"/>
  <c r="F11" i="13"/>
  <c r="H11" i="13"/>
  <c r="I11" i="13" s="1"/>
  <c r="G11" i="13"/>
  <c r="H10" i="13"/>
  <c r="I10" i="13" s="1"/>
  <c r="I95" i="13" s="1"/>
  <c r="G10" i="13"/>
  <c r="F10" i="13"/>
  <c r="H7" i="13"/>
  <c r="I7" i="13" s="1"/>
  <c r="G7" i="13"/>
  <c r="F7" i="13"/>
  <c r="F92" i="12"/>
  <c r="G92" i="12"/>
  <c r="H92" i="12"/>
  <c r="I92" i="12" s="1"/>
  <c r="G90" i="12"/>
  <c r="H90" i="12"/>
  <c r="I90" i="12" s="1"/>
  <c r="F90" i="12"/>
  <c r="F89" i="12"/>
  <c r="G89" i="12"/>
  <c r="H89" i="12"/>
  <c r="I89" i="12" s="1"/>
  <c r="F88" i="12"/>
  <c r="H88" i="12"/>
  <c r="I88" i="12" s="1"/>
  <c r="I101" i="12" s="1"/>
  <c r="G88" i="12"/>
  <c r="G87" i="12"/>
  <c r="F87" i="12"/>
  <c r="H87" i="12"/>
  <c r="G86" i="12"/>
  <c r="F86" i="12"/>
  <c r="H86" i="12"/>
  <c r="G84" i="12"/>
  <c r="H84" i="12"/>
  <c r="I84" i="12" s="1"/>
  <c r="F84" i="12"/>
  <c r="H83" i="12"/>
  <c r="I83" i="12" s="1"/>
  <c r="G83" i="12"/>
  <c r="F83" i="12"/>
  <c r="F82" i="12"/>
  <c r="G82" i="12"/>
  <c r="H82" i="12"/>
  <c r="E81" i="12"/>
  <c r="H79" i="12"/>
  <c r="G79" i="12"/>
  <c r="F79" i="12"/>
  <c r="F78" i="12"/>
  <c r="H78" i="12"/>
  <c r="G78" i="12"/>
  <c r="G76" i="12"/>
  <c r="F76" i="12"/>
  <c r="H76" i="12"/>
  <c r="I76" i="12" s="1"/>
  <c r="H75" i="12"/>
  <c r="I75" i="12" s="1"/>
  <c r="I98" i="12" s="1"/>
  <c r="F75" i="12"/>
  <c r="G75" i="12"/>
  <c r="H74" i="12"/>
  <c r="G74" i="12"/>
  <c r="F74" i="12"/>
  <c r="H73" i="12"/>
  <c r="G73" i="12"/>
  <c r="F73" i="12"/>
  <c r="G72" i="12"/>
  <c r="H72" i="12"/>
  <c r="I72" i="12" s="1"/>
  <c r="F72" i="12"/>
  <c r="E71" i="12"/>
  <c r="E69" i="12"/>
  <c r="F67" i="12"/>
  <c r="G67" i="12"/>
  <c r="H67" i="12"/>
  <c r="I67" i="12" s="1"/>
  <c r="H66" i="12"/>
  <c r="G66" i="12"/>
  <c r="F66" i="12"/>
  <c r="E65" i="12"/>
  <c r="F64" i="12"/>
  <c r="G64" i="12"/>
  <c r="H64" i="12"/>
  <c r="I64" i="12" s="1"/>
  <c r="F62" i="12"/>
  <c r="G62" i="12"/>
  <c r="H62" i="12"/>
  <c r="H61" i="12"/>
  <c r="I61" i="12" s="1"/>
  <c r="F61" i="12"/>
  <c r="G61" i="12"/>
  <c r="H60" i="12"/>
  <c r="I60" i="12" s="1"/>
  <c r="G60" i="12"/>
  <c r="F60" i="12"/>
  <c r="F59" i="12"/>
  <c r="H59" i="12"/>
  <c r="I59" i="12" s="1"/>
  <c r="G59" i="12"/>
  <c r="H58" i="12"/>
  <c r="I58" i="12" s="1"/>
  <c r="G58" i="12"/>
  <c r="F58" i="12"/>
  <c r="H57" i="12"/>
  <c r="I57" i="12" s="1"/>
  <c r="G57" i="12"/>
  <c r="F57" i="12"/>
  <c r="G56" i="12"/>
  <c r="H56" i="12"/>
  <c r="I56" i="12" s="1"/>
  <c r="F56" i="12"/>
  <c r="H55" i="12"/>
  <c r="I55" i="12" s="1"/>
  <c r="F55" i="12"/>
  <c r="G55" i="12"/>
  <c r="G54" i="12"/>
  <c r="F54" i="12"/>
  <c r="H54" i="12"/>
  <c r="I54" i="12" s="1"/>
  <c r="F52" i="12"/>
  <c r="G52" i="12"/>
  <c r="H52" i="12"/>
  <c r="I52" i="12" s="1"/>
  <c r="G51" i="12"/>
  <c r="H51" i="12"/>
  <c r="I51" i="12" s="1"/>
  <c r="F51" i="12"/>
  <c r="G50" i="12"/>
  <c r="F50" i="12"/>
  <c r="H50" i="12"/>
  <c r="I50" i="12" s="1"/>
  <c r="G49" i="12"/>
  <c r="F49" i="12"/>
  <c r="H49" i="12"/>
  <c r="I49" i="12" s="1"/>
  <c r="H48" i="12"/>
  <c r="I48" i="12" s="1"/>
  <c r="G48" i="12"/>
  <c r="F48" i="12"/>
  <c r="G47" i="12"/>
  <c r="F47" i="12"/>
  <c r="H47" i="12"/>
  <c r="I47" i="12" s="1"/>
  <c r="G46" i="12"/>
  <c r="F46" i="12"/>
  <c r="H46" i="12"/>
  <c r="I46" i="12" s="1"/>
  <c r="E45" i="12"/>
  <c r="E43" i="12"/>
  <c r="H41" i="12"/>
  <c r="G41" i="12"/>
  <c r="F41" i="12"/>
  <c r="E40" i="12"/>
  <c r="F39" i="12"/>
  <c r="G39" i="12"/>
  <c r="H39" i="12"/>
  <c r="H38" i="12"/>
  <c r="I38" i="12" s="1"/>
  <c r="G38" i="12"/>
  <c r="F38" i="12"/>
  <c r="G37" i="12"/>
  <c r="F37" i="12"/>
  <c r="H37" i="12"/>
  <c r="I37" i="12" s="1"/>
  <c r="G36" i="12"/>
  <c r="H36" i="12"/>
  <c r="I36" i="12" s="1"/>
  <c r="F36" i="12"/>
  <c r="F35" i="12"/>
  <c r="G35" i="12"/>
  <c r="H35" i="12"/>
  <c r="H34" i="12"/>
  <c r="I34" i="12" s="1"/>
  <c r="G34" i="12"/>
  <c r="F34" i="12"/>
  <c r="G33" i="12"/>
  <c r="F33" i="12"/>
  <c r="H33" i="12"/>
  <c r="I33" i="12" s="1"/>
  <c r="F32" i="12"/>
  <c r="H32" i="12"/>
  <c r="I32" i="12" s="1"/>
  <c r="G32" i="12"/>
  <c r="F31" i="12"/>
  <c r="G31" i="12"/>
  <c r="H31" i="12"/>
  <c r="F30" i="12"/>
  <c r="G30" i="12"/>
  <c r="H30" i="12"/>
  <c r="I30" i="12" s="1"/>
  <c r="F29" i="12"/>
  <c r="G29" i="12"/>
  <c r="H29" i="12"/>
  <c r="I29" i="12" s="1"/>
  <c r="F28" i="12"/>
  <c r="G28" i="12"/>
  <c r="H28" i="12"/>
  <c r="F27" i="12"/>
  <c r="H27" i="12"/>
  <c r="I27" i="12" s="1"/>
  <c r="G27" i="12"/>
  <c r="H26" i="12"/>
  <c r="I26" i="12" s="1"/>
  <c r="F26" i="12"/>
  <c r="G26" i="12"/>
  <c r="F25" i="12"/>
  <c r="G25" i="12"/>
  <c r="H25" i="12"/>
  <c r="I25" i="12" s="1"/>
  <c r="G24" i="12"/>
  <c r="F24" i="12"/>
  <c r="H24" i="12"/>
  <c r="G23" i="12"/>
  <c r="F23" i="12"/>
  <c r="H23" i="12"/>
  <c r="I23" i="12" s="1"/>
  <c r="H22" i="12"/>
  <c r="I22" i="12" s="1"/>
  <c r="G22" i="12"/>
  <c r="F22" i="12"/>
  <c r="F21" i="12"/>
  <c r="G21" i="12"/>
  <c r="H21" i="12"/>
  <c r="I21" i="12" s="1"/>
  <c r="G19" i="12"/>
  <c r="F19" i="12"/>
  <c r="H19" i="12"/>
  <c r="I19" i="12" s="1"/>
  <c r="D77" i="12"/>
  <c r="E18" i="12"/>
  <c r="D20" i="12" s="1"/>
  <c r="D44" i="12"/>
  <c r="D42" i="12"/>
  <c r="G17" i="12"/>
  <c r="H17" i="12"/>
  <c r="I17" i="12" s="1"/>
  <c r="F17" i="12"/>
  <c r="H16" i="12"/>
  <c r="F16" i="12"/>
  <c r="G16" i="12"/>
  <c r="H15" i="12"/>
  <c r="I15" i="12" s="1"/>
  <c r="G15" i="12"/>
  <c r="F15" i="12"/>
  <c r="F14" i="12"/>
  <c r="G14" i="12"/>
  <c r="H14" i="12"/>
  <c r="G13" i="12"/>
  <c r="H13" i="12"/>
  <c r="I13" i="12" s="1"/>
  <c r="I96" i="12" s="1"/>
  <c r="F13" i="12"/>
  <c r="H12" i="12"/>
  <c r="G12" i="12"/>
  <c r="F12" i="12"/>
  <c r="G10" i="12"/>
  <c r="H10" i="12"/>
  <c r="I10" i="12" s="1"/>
  <c r="I95" i="12" s="1"/>
  <c r="F10" i="12"/>
  <c r="H7" i="12"/>
  <c r="I7" i="12" s="1"/>
  <c r="F7" i="12"/>
  <c r="G7" i="12"/>
  <c r="I53" i="11"/>
  <c r="I43" i="11"/>
  <c r="I91" i="11" s="1"/>
  <c r="I40" i="11"/>
  <c r="I68" i="11"/>
  <c r="F92" i="6"/>
  <c r="G92" i="6"/>
  <c r="H92" i="6"/>
  <c r="I92" i="6" s="1"/>
  <c r="H90" i="6"/>
  <c r="I90" i="6" s="1"/>
  <c r="F90" i="6"/>
  <c r="G90" i="6"/>
  <c r="F89" i="6"/>
  <c r="G89" i="6"/>
  <c r="H89" i="6"/>
  <c r="I89" i="6" s="1"/>
  <c r="H88" i="6"/>
  <c r="I88" i="6" s="1"/>
  <c r="I101" i="6" s="1"/>
  <c r="F88" i="6"/>
  <c r="G88" i="6"/>
  <c r="G87" i="6"/>
  <c r="F87" i="6"/>
  <c r="H87" i="6"/>
  <c r="F86" i="6"/>
  <c r="G86" i="6"/>
  <c r="H86" i="6"/>
  <c r="H84" i="6"/>
  <c r="I84" i="6" s="1"/>
  <c r="F84" i="6"/>
  <c r="G84" i="6"/>
  <c r="F83" i="6"/>
  <c r="H83" i="6"/>
  <c r="I83" i="6" s="1"/>
  <c r="G83" i="6"/>
  <c r="G82" i="6"/>
  <c r="F82" i="6"/>
  <c r="H82" i="6"/>
  <c r="F79" i="6"/>
  <c r="G79" i="6"/>
  <c r="H79" i="6"/>
  <c r="F78" i="6"/>
  <c r="G78" i="6"/>
  <c r="H78" i="6"/>
  <c r="G76" i="6"/>
  <c r="F76" i="6"/>
  <c r="H76" i="6"/>
  <c r="I76" i="6" s="1"/>
  <c r="F75" i="6"/>
  <c r="G75" i="6"/>
  <c r="H75" i="6"/>
  <c r="I75" i="6" s="1"/>
  <c r="I98" i="6" s="1"/>
  <c r="G74" i="6"/>
  <c r="H74" i="6"/>
  <c r="F74" i="6"/>
  <c r="F73" i="6"/>
  <c r="G73" i="6"/>
  <c r="H73" i="6"/>
  <c r="H72" i="6"/>
  <c r="I72" i="6" s="1"/>
  <c r="G72" i="6"/>
  <c r="F72" i="6"/>
  <c r="F67" i="6"/>
  <c r="H67" i="6"/>
  <c r="I67" i="6" s="1"/>
  <c r="G67" i="6"/>
  <c r="F66" i="6"/>
  <c r="G66" i="6"/>
  <c r="H66" i="6"/>
  <c r="H64" i="6"/>
  <c r="I64" i="6" s="1"/>
  <c r="G64" i="6"/>
  <c r="F64" i="6"/>
  <c r="H63" i="6"/>
  <c r="I63" i="6" s="1"/>
  <c r="G63" i="6"/>
  <c r="F63" i="6"/>
  <c r="G62" i="6"/>
  <c r="F62" i="6"/>
  <c r="H62" i="6"/>
  <c r="G61" i="6"/>
  <c r="H61" i="6"/>
  <c r="I61" i="6" s="1"/>
  <c r="F61" i="6"/>
  <c r="H60" i="6"/>
  <c r="I60" i="6" s="1"/>
  <c r="G60" i="6"/>
  <c r="F60" i="6"/>
  <c r="H59" i="6"/>
  <c r="I59" i="6" s="1"/>
  <c r="G59" i="6"/>
  <c r="F59" i="6"/>
  <c r="F58" i="6"/>
  <c r="G58" i="6"/>
  <c r="H58" i="6"/>
  <c r="I58" i="6" s="1"/>
  <c r="H57" i="6"/>
  <c r="I57" i="6" s="1"/>
  <c r="G57" i="6"/>
  <c r="F57" i="6"/>
  <c r="H56" i="6"/>
  <c r="I56" i="6" s="1"/>
  <c r="G56" i="6"/>
  <c r="F56" i="6"/>
  <c r="G55" i="6"/>
  <c r="F55" i="6"/>
  <c r="H55" i="6"/>
  <c r="I55" i="6" s="1"/>
  <c r="H54" i="6"/>
  <c r="I54" i="6" s="1"/>
  <c r="F54" i="6"/>
  <c r="G54" i="6"/>
  <c r="H52" i="6"/>
  <c r="I52" i="6" s="1"/>
  <c r="G52" i="6"/>
  <c r="F52" i="6"/>
  <c r="H51" i="6"/>
  <c r="I51" i="6" s="1"/>
  <c r="G51" i="6"/>
  <c r="F51" i="6"/>
  <c r="H50" i="6"/>
  <c r="I50" i="6" s="1"/>
  <c r="G50" i="6"/>
  <c r="F50" i="6"/>
  <c r="F49" i="6"/>
  <c r="G49" i="6"/>
  <c r="H49" i="6"/>
  <c r="I49" i="6" s="1"/>
  <c r="H48" i="6"/>
  <c r="I48" i="6" s="1"/>
  <c r="G48" i="6"/>
  <c r="F48" i="6"/>
  <c r="H47" i="6"/>
  <c r="I47" i="6" s="1"/>
  <c r="G47" i="6"/>
  <c r="F47" i="6"/>
  <c r="H46" i="6"/>
  <c r="I46" i="6" s="1"/>
  <c r="G46" i="6"/>
  <c r="F46" i="6"/>
  <c r="G41" i="6"/>
  <c r="F41" i="6"/>
  <c r="H41" i="6"/>
  <c r="G39" i="6"/>
  <c r="H39" i="6"/>
  <c r="F39" i="6"/>
  <c r="G38" i="6"/>
  <c r="H38" i="6"/>
  <c r="I38" i="6" s="1"/>
  <c r="F38" i="6"/>
  <c r="H37" i="6"/>
  <c r="I37" i="6" s="1"/>
  <c r="G37" i="6"/>
  <c r="F37" i="6"/>
  <c r="F36" i="6"/>
  <c r="G36" i="6"/>
  <c r="H36" i="6"/>
  <c r="I36" i="6" s="1"/>
  <c r="G35" i="6"/>
  <c r="F35" i="6"/>
  <c r="H35" i="6"/>
  <c r="H34" i="6"/>
  <c r="I34" i="6" s="1"/>
  <c r="G34" i="6"/>
  <c r="F34" i="6"/>
  <c r="F33" i="6"/>
  <c r="G33" i="6"/>
  <c r="H33" i="6"/>
  <c r="I33" i="6" s="1"/>
  <c r="F32" i="6"/>
  <c r="G32" i="6"/>
  <c r="H32" i="6"/>
  <c r="I32" i="6" s="1"/>
  <c r="H31" i="6"/>
  <c r="G31" i="6"/>
  <c r="F31" i="6"/>
  <c r="G30" i="6"/>
  <c r="F30" i="6"/>
  <c r="H30" i="6"/>
  <c r="I30" i="6" s="1"/>
  <c r="G29" i="6"/>
  <c r="F29" i="6"/>
  <c r="H29" i="6"/>
  <c r="I29" i="6" s="1"/>
  <c r="G28" i="6"/>
  <c r="F28" i="6"/>
  <c r="H28" i="6"/>
  <c r="F27" i="6"/>
  <c r="H27" i="6"/>
  <c r="I27" i="6" s="1"/>
  <c r="G27" i="6"/>
  <c r="F26" i="6"/>
  <c r="G26" i="6"/>
  <c r="H26" i="6"/>
  <c r="I26" i="6" s="1"/>
  <c r="H25" i="6"/>
  <c r="I25" i="6" s="1"/>
  <c r="F25" i="6"/>
  <c r="G25" i="6"/>
  <c r="H24" i="6"/>
  <c r="F24" i="6"/>
  <c r="G24" i="6"/>
  <c r="G23" i="6"/>
  <c r="F23" i="6"/>
  <c r="H23" i="6"/>
  <c r="I23" i="6" s="1"/>
  <c r="G22" i="6"/>
  <c r="H22" i="6"/>
  <c r="I22" i="6" s="1"/>
  <c r="F22" i="6"/>
  <c r="H21" i="6"/>
  <c r="I21" i="6" s="1"/>
  <c r="G21" i="6"/>
  <c r="F21" i="6"/>
  <c r="F19" i="6"/>
  <c r="H19" i="6"/>
  <c r="I19" i="6" s="1"/>
  <c r="G19" i="6"/>
  <c r="H18" i="6"/>
  <c r="I18" i="6" s="1"/>
  <c r="G18" i="6"/>
  <c r="F18" i="6"/>
  <c r="H17" i="6"/>
  <c r="I17" i="6" s="1"/>
  <c r="G17" i="6"/>
  <c r="F17" i="6"/>
  <c r="F16" i="6"/>
  <c r="H16" i="6"/>
  <c r="G16" i="6"/>
  <c r="G15" i="6"/>
  <c r="H15" i="6"/>
  <c r="F15" i="6"/>
  <c r="H14" i="6"/>
  <c r="G14" i="6"/>
  <c r="F14" i="6"/>
  <c r="G13" i="6"/>
  <c r="F13" i="6"/>
  <c r="H13" i="6"/>
  <c r="I13" i="6" s="1"/>
  <c r="I96" i="6" s="1"/>
  <c r="G12" i="6"/>
  <c r="F12" i="6"/>
  <c r="H12" i="6"/>
  <c r="H11" i="6"/>
  <c r="F11" i="6"/>
  <c r="G11" i="6"/>
  <c r="G10" i="6"/>
  <c r="H10" i="6"/>
  <c r="I10" i="6" s="1"/>
  <c r="I95" i="6" s="1"/>
  <c r="F10" i="6"/>
  <c r="H7" i="6"/>
  <c r="I7" i="6" s="1"/>
  <c r="F7" i="6"/>
  <c r="G7" i="6"/>
  <c r="AM23" i="1"/>
  <c r="AI23" i="1"/>
  <c r="AN23" i="1"/>
  <c r="AI24" i="1"/>
  <c r="AG24" i="1"/>
  <c r="AI26" i="1"/>
  <c r="AG26" i="1"/>
  <c r="AE26" i="1"/>
  <c r="AE27" i="1"/>
  <c r="AN27" i="1"/>
  <c r="AG27" i="1"/>
  <c r="AM27" i="1"/>
  <c r="AI27" i="1"/>
  <c r="AE28" i="1"/>
  <c r="AI28" i="1"/>
  <c r="AC28" i="1"/>
  <c r="AG28" i="1"/>
  <c r="AE29" i="1"/>
  <c r="AC29" i="1"/>
  <c r="AG29" i="1"/>
  <c r="AI29" i="1"/>
  <c r="AN30" i="1"/>
  <c r="AI30" i="1"/>
  <c r="AG30" i="1"/>
  <c r="AE30" i="1"/>
  <c r="AC30" i="1"/>
  <c r="AM30" i="1"/>
  <c r="AC31" i="1"/>
  <c r="AE31" i="1"/>
  <c r="AI31" i="1"/>
  <c r="AM31" i="1"/>
  <c r="AG31" i="1"/>
  <c r="AN31" i="1"/>
  <c r="AC32" i="1"/>
  <c r="AE32" i="1"/>
  <c r="AG32" i="1"/>
  <c r="AI32" i="1"/>
  <c r="AI33" i="1"/>
  <c r="AC33" i="1"/>
  <c r="AG33" i="1"/>
  <c r="AE33" i="1"/>
  <c r="AC34" i="1"/>
  <c r="AI34" i="1"/>
  <c r="AE34" i="1"/>
  <c r="AG34" i="1"/>
  <c r="AC35" i="1"/>
  <c r="AI35" i="1"/>
  <c r="AM35" i="1"/>
  <c r="AG35" i="1"/>
  <c r="AE35" i="1"/>
  <c r="AN35" i="1"/>
  <c r="AI36" i="1"/>
  <c r="AE36" i="1"/>
  <c r="AG36" i="1"/>
  <c r="AC36" i="1"/>
  <c r="AC37" i="1"/>
  <c r="AE37" i="1"/>
  <c r="AG37" i="1"/>
  <c r="AI37" i="1"/>
  <c r="AE38" i="1"/>
  <c r="AG38" i="1"/>
  <c r="AI38" i="1"/>
  <c r="AC38" i="1"/>
  <c r="AI39" i="1"/>
  <c r="AC39" i="1"/>
  <c r="AM39" i="1"/>
  <c r="AN39" i="1"/>
  <c r="AE39" i="1"/>
  <c r="AG39" i="1"/>
  <c r="AI40" i="1"/>
  <c r="AG40" i="1"/>
  <c r="AC40" i="1"/>
  <c r="AE40" i="1"/>
  <c r="AI41" i="1"/>
  <c r="AM41" i="1"/>
  <c r="AN41" i="1"/>
  <c r="AE41" i="1"/>
  <c r="AG41" i="1"/>
  <c r="AC41" i="1"/>
  <c r="AG42" i="1"/>
  <c r="AI42" i="1"/>
  <c r="AC42" i="1"/>
  <c r="AE42" i="1"/>
  <c r="AI43" i="1"/>
  <c r="AG43" i="1"/>
  <c r="AC43" i="1"/>
  <c r="AE43" i="1"/>
  <c r="AG44" i="1"/>
  <c r="AE44" i="1"/>
  <c r="AC45" i="1"/>
  <c r="AE45" i="1"/>
  <c r="AI45" i="1"/>
  <c r="AG45" i="1"/>
  <c r="AG46" i="1"/>
  <c r="AC46" i="1"/>
  <c r="AE46" i="1"/>
  <c r="AI46" i="1"/>
  <c r="AC47" i="1"/>
  <c r="AI47" i="1"/>
  <c r="AE47" i="1"/>
  <c r="AG47" i="1"/>
  <c r="AC48" i="1"/>
  <c r="AE48" i="1"/>
  <c r="AI48" i="1"/>
  <c r="AG48" i="1"/>
  <c r="AC49" i="1"/>
  <c r="AE49" i="1"/>
  <c r="AI49" i="1"/>
  <c r="AG49" i="1"/>
  <c r="AI50" i="1"/>
  <c r="AC50" i="1"/>
  <c r="AE50" i="1"/>
  <c r="AG50" i="1"/>
  <c r="AI51" i="1"/>
  <c r="AE51" i="1"/>
  <c r="AC51" i="1"/>
  <c r="AG51" i="1"/>
  <c r="AC52" i="1"/>
  <c r="AG52" i="1"/>
  <c r="AE52" i="1"/>
  <c r="AI52" i="1"/>
  <c r="AE54" i="1"/>
  <c r="AC54" i="1"/>
  <c r="AG54" i="1"/>
  <c r="AI54" i="1"/>
  <c r="AG55" i="1"/>
  <c r="AI55" i="1"/>
  <c r="AE55" i="1"/>
  <c r="AC55" i="1"/>
  <c r="AC62" i="1"/>
  <c r="AE62" i="1"/>
  <c r="AN62" i="1"/>
  <c r="AG62" i="1"/>
  <c r="AM62" i="1"/>
  <c r="AI62" i="1"/>
  <c r="AI63" i="1"/>
  <c r="AE63" i="1"/>
  <c r="AG63" i="1"/>
  <c r="AI64" i="1"/>
  <c r="AG64" i="1"/>
  <c r="AC64" i="1"/>
  <c r="AE64" i="1"/>
  <c r="AE65" i="1"/>
  <c r="AI65" i="1"/>
  <c r="AG65" i="1"/>
  <c r="AI66" i="1"/>
  <c r="AN66" i="1"/>
  <c r="AM66" i="1"/>
  <c r="AE66" i="1"/>
  <c r="AG66" i="1"/>
  <c r="AC66" i="1"/>
  <c r="AE67" i="1"/>
  <c r="AC67" i="1"/>
  <c r="AI67" i="1"/>
  <c r="AG67" i="1"/>
  <c r="AG69" i="1"/>
  <c r="AI69" i="1"/>
  <c r="AE69" i="1"/>
  <c r="AC69" i="1"/>
  <c r="AC71" i="1"/>
  <c r="AG71" i="1"/>
  <c r="AE71" i="1"/>
  <c r="AG72" i="1"/>
  <c r="AI72" i="1"/>
  <c r="AE72" i="1"/>
  <c r="AC72" i="1"/>
  <c r="AC73" i="1"/>
  <c r="AE73" i="1"/>
  <c r="AM73" i="1"/>
  <c r="AG73" i="1"/>
  <c r="AI73" i="1"/>
  <c r="AN73" i="1"/>
  <c r="AN74" i="1"/>
  <c r="AC74" i="1"/>
  <c r="AE74" i="1"/>
  <c r="AI74" i="1"/>
  <c r="AG74" i="1"/>
  <c r="AM74" i="1"/>
  <c r="AE75" i="1"/>
  <c r="AG75" i="1"/>
  <c r="AI75" i="1"/>
  <c r="AC75" i="1"/>
  <c r="AC76" i="1"/>
  <c r="AE76" i="1"/>
  <c r="AI76" i="1"/>
  <c r="AG76" i="1"/>
  <c r="AI79" i="1"/>
  <c r="AC79" i="1"/>
  <c r="AE79" i="1"/>
  <c r="AG79" i="1"/>
  <c r="AM79" i="1"/>
  <c r="AN79" i="1"/>
  <c r="AG80" i="1"/>
  <c r="AM80" i="1"/>
  <c r="AN80" i="1"/>
  <c r="AC80" i="1"/>
  <c r="AE80" i="1"/>
  <c r="AI80" i="1"/>
  <c r="AI81" i="1"/>
  <c r="AE81" i="1"/>
  <c r="AC81" i="1"/>
  <c r="AG81" i="1"/>
  <c r="G83" i="1"/>
  <c r="Q83" i="1"/>
  <c r="U83" i="1"/>
  <c r="Y83" i="1"/>
  <c r="AG83" i="1"/>
  <c r="F83" i="1"/>
  <c r="AC83" i="1"/>
  <c r="O83" i="1"/>
  <c r="AE83" i="1"/>
  <c r="E83" i="1"/>
  <c r="AI83" i="1"/>
  <c r="AJ83" i="1" s="1"/>
  <c r="W83" i="1"/>
  <c r="AG84" i="1"/>
  <c r="AC84" i="1"/>
  <c r="AE84" i="1"/>
  <c r="AI84" i="1"/>
  <c r="AG85" i="1"/>
  <c r="AC85" i="1"/>
  <c r="AM85" i="1"/>
  <c r="AN85" i="1"/>
  <c r="AE85" i="1"/>
  <c r="AI85" i="1"/>
  <c r="AI86" i="1"/>
  <c r="AE86" i="1"/>
  <c r="AG86" i="1"/>
  <c r="AC86" i="1"/>
  <c r="AG87" i="1"/>
  <c r="AI87" i="1"/>
  <c r="AE87" i="1"/>
  <c r="AC87" i="1"/>
  <c r="E88" i="1"/>
  <c r="F88" i="1"/>
  <c r="AE88" i="1"/>
  <c r="G88" i="1"/>
  <c r="AG88" i="1"/>
  <c r="AN89" i="1"/>
  <c r="AM89" i="1"/>
  <c r="AI89" i="1"/>
  <c r="AE89" i="1"/>
  <c r="AG89" i="1"/>
  <c r="AC89" i="1"/>
  <c r="AN90" i="1"/>
  <c r="AI90" i="1"/>
  <c r="AG90" i="1"/>
  <c r="AM90" i="1"/>
  <c r="AC90" i="1"/>
  <c r="AE90" i="1"/>
  <c r="AG91" i="1"/>
  <c r="AE91" i="1"/>
  <c r="AI91" i="1"/>
  <c r="AC91" i="1"/>
  <c r="AC13" i="1"/>
  <c r="AE13" i="1"/>
  <c r="AG13" i="1"/>
  <c r="AI13" i="1"/>
  <c r="AM14" i="1"/>
  <c r="AN14" i="1"/>
  <c r="AI14" i="1"/>
  <c r="AG14" i="1"/>
  <c r="AE14" i="1"/>
  <c r="AC14" i="1"/>
  <c r="AI10" i="1"/>
  <c r="AG10" i="1"/>
  <c r="AE10" i="1"/>
  <c r="AC10" i="1"/>
  <c r="G4" i="22"/>
  <c r="N4" i="22" s="1"/>
  <c r="E4" i="22"/>
  <c r="F4" i="22"/>
  <c r="E3" i="22"/>
  <c r="G3" i="22"/>
  <c r="N3" i="22" s="1"/>
  <c r="F3" i="22"/>
  <c r="AI82" i="1"/>
  <c r="AI71" i="1"/>
  <c r="AG82" i="1"/>
  <c r="AG77" i="1"/>
  <c r="AE82" i="1"/>
  <c r="AE77" i="1"/>
  <c r="AC82" i="1"/>
  <c r="AC63" i="1"/>
  <c r="I100" i="19" l="1"/>
  <c r="F24" i="20"/>
  <c r="G24" i="20"/>
  <c r="H24" i="20"/>
  <c r="I24" i="20" s="1"/>
  <c r="G15" i="14"/>
  <c r="H15" i="14"/>
  <c r="I15" i="14" s="1"/>
  <c r="F15" i="14"/>
  <c r="D20" i="14"/>
  <c r="G18" i="14"/>
  <c r="F18" i="14"/>
  <c r="H18" i="14"/>
  <c r="I18" i="14" s="1"/>
  <c r="G63" i="12"/>
  <c r="F63" i="12"/>
  <c r="H63" i="12"/>
  <c r="I63" i="12" s="1"/>
  <c r="F11" i="12"/>
  <c r="H11" i="12"/>
  <c r="I11" i="12" s="1"/>
  <c r="G11" i="12"/>
  <c r="E77" i="18"/>
  <c r="AC77" i="1"/>
  <c r="I44" i="18"/>
  <c r="AB83" i="1"/>
  <c r="T83" i="1"/>
  <c r="AB88" i="1"/>
  <c r="T88" i="1"/>
  <c r="F71" i="21"/>
  <c r="G71" i="21"/>
  <c r="H71" i="21"/>
  <c r="I71" i="21" s="1"/>
  <c r="F69" i="21"/>
  <c r="G69" i="21"/>
  <c r="H69" i="21"/>
  <c r="I69" i="21" s="1"/>
  <c r="F65" i="21"/>
  <c r="G65" i="21"/>
  <c r="H65" i="21"/>
  <c r="I65" i="21" s="1"/>
  <c r="G45" i="21"/>
  <c r="F45" i="21"/>
  <c r="H45" i="21"/>
  <c r="I45" i="21" s="1"/>
  <c r="G40" i="21"/>
  <c r="H40" i="21"/>
  <c r="I40" i="21" s="1"/>
  <c r="F40" i="21"/>
  <c r="E68" i="21"/>
  <c r="E70" i="21"/>
  <c r="I44" i="21"/>
  <c r="AI53" i="1"/>
  <c r="E77" i="21"/>
  <c r="G18" i="21"/>
  <c r="F18" i="21"/>
  <c r="H18" i="21"/>
  <c r="I18" i="21" s="1"/>
  <c r="F81" i="20"/>
  <c r="G81" i="20"/>
  <c r="H81" i="20"/>
  <c r="I81" i="20" s="1"/>
  <c r="I100" i="20" s="1"/>
  <c r="H77" i="20"/>
  <c r="I77" i="20" s="1"/>
  <c r="I99" i="20" s="1"/>
  <c r="G77" i="20"/>
  <c r="F77" i="20"/>
  <c r="G71" i="20"/>
  <c r="F71" i="20"/>
  <c r="H71" i="20"/>
  <c r="I71" i="20" s="1"/>
  <c r="G69" i="20"/>
  <c r="F69" i="20"/>
  <c r="H69" i="20"/>
  <c r="I69" i="20" s="1"/>
  <c r="F65" i="20"/>
  <c r="G65" i="20"/>
  <c r="H65" i="20"/>
  <c r="I65" i="20" s="1"/>
  <c r="F45" i="20"/>
  <c r="G45" i="20"/>
  <c r="H45" i="20"/>
  <c r="I45" i="20" s="1"/>
  <c r="E53" i="20"/>
  <c r="E70" i="20"/>
  <c r="E68" i="20"/>
  <c r="G40" i="20"/>
  <c r="H40" i="20"/>
  <c r="I40" i="20" s="1"/>
  <c r="F40" i="20"/>
  <c r="F18" i="20"/>
  <c r="G18" i="20"/>
  <c r="H18" i="20"/>
  <c r="I18" i="20" s="1"/>
  <c r="F77" i="19"/>
  <c r="G77" i="19"/>
  <c r="H77" i="19"/>
  <c r="I77" i="19" s="1"/>
  <c r="I99" i="19" s="1"/>
  <c r="F71" i="19"/>
  <c r="G71" i="19"/>
  <c r="H71" i="19"/>
  <c r="I71" i="19" s="1"/>
  <c r="H69" i="19"/>
  <c r="I69" i="19" s="1"/>
  <c r="F69" i="19"/>
  <c r="G69" i="19"/>
  <c r="F65" i="19"/>
  <c r="G65" i="19"/>
  <c r="H65" i="19"/>
  <c r="I65" i="19" s="1"/>
  <c r="E53" i="19"/>
  <c r="F45" i="19"/>
  <c r="G45" i="19"/>
  <c r="H45" i="19"/>
  <c r="I45" i="19" s="1"/>
  <c r="D91" i="19" s="1"/>
  <c r="AE94" i="1" s="1"/>
  <c r="E68" i="19"/>
  <c r="F40" i="19"/>
  <c r="G40" i="19"/>
  <c r="H40" i="19"/>
  <c r="I40" i="19" s="1"/>
  <c r="E70" i="19"/>
  <c r="G77" i="17"/>
  <c r="F77" i="17"/>
  <c r="H77" i="17"/>
  <c r="I77" i="17" s="1"/>
  <c r="I99" i="17" s="1"/>
  <c r="G71" i="17"/>
  <c r="F71" i="17"/>
  <c r="H71" i="17"/>
  <c r="I71" i="17" s="1"/>
  <c r="H69" i="17"/>
  <c r="I69" i="17" s="1"/>
  <c r="F69" i="17"/>
  <c r="G69" i="17"/>
  <c r="F65" i="17"/>
  <c r="G65" i="17"/>
  <c r="H65" i="17"/>
  <c r="I65" i="17" s="1"/>
  <c r="H45" i="17"/>
  <c r="I45" i="17" s="1"/>
  <c r="D91" i="17" s="1"/>
  <c r="AA94" i="1" s="1"/>
  <c r="F45" i="17"/>
  <c r="G45" i="17"/>
  <c r="E53" i="17"/>
  <c r="E68" i="17"/>
  <c r="E70" i="17"/>
  <c r="F40" i="17"/>
  <c r="G40" i="17"/>
  <c r="H40" i="17"/>
  <c r="I40" i="17" s="1"/>
  <c r="F82" i="18"/>
  <c r="G82" i="18"/>
  <c r="H82" i="18"/>
  <c r="I82" i="18" s="1"/>
  <c r="I101" i="18" s="1"/>
  <c r="G71" i="18"/>
  <c r="H71" i="18"/>
  <c r="I71" i="18" s="1"/>
  <c r="F71" i="18"/>
  <c r="G69" i="18"/>
  <c r="F69" i="18"/>
  <c r="H69" i="18"/>
  <c r="I69" i="18" s="1"/>
  <c r="G65" i="18"/>
  <c r="H65" i="18"/>
  <c r="I65" i="18" s="1"/>
  <c r="F65" i="18"/>
  <c r="G45" i="18"/>
  <c r="H45" i="18"/>
  <c r="I45" i="18" s="1"/>
  <c r="F45" i="18"/>
  <c r="E68" i="18"/>
  <c r="E70" i="18"/>
  <c r="G40" i="18"/>
  <c r="H40" i="18"/>
  <c r="I40" i="18" s="1"/>
  <c r="F40" i="18"/>
  <c r="F18" i="18"/>
  <c r="G18" i="18"/>
  <c r="H18" i="18"/>
  <c r="I18" i="18" s="1"/>
  <c r="H81" i="16"/>
  <c r="I81" i="16" s="1"/>
  <c r="F81" i="16"/>
  <c r="G81" i="16"/>
  <c r="F71" i="16"/>
  <c r="G71" i="16"/>
  <c r="H71" i="16"/>
  <c r="I71" i="16" s="1"/>
  <c r="F69" i="16"/>
  <c r="G69" i="16"/>
  <c r="H69" i="16"/>
  <c r="I69" i="16" s="1"/>
  <c r="F65" i="16"/>
  <c r="G65" i="16"/>
  <c r="H65" i="16"/>
  <c r="I65" i="16" s="1"/>
  <c r="H53" i="16"/>
  <c r="I53" i="16" s="1"/>
  <c r="F53" i="16"/>
  <c r="G53" i="16"/>
  <c r="F40" i="16"/>
  <c r="G40" i="16"/>
  <c r="H40" i="16"/>
  <c r="I40" i="16" s="1"/>
  <c r="E68" i="16"/>
  <c r="E70" i="16"/>
  <c r="F18" i="16"/>
  <c r="H18" i="16"/>
  <c r="I18" i="16" s="1"/>
  <c r="G18" i="16"/>
  <c r="E77" i="16"/>
  <c r="I100" i="16"/>
  <c r="F81" i="15"/>
  <c r="G81" i="15"/>
  <c r="H81" i="15"/>
  <c r="I81" i="15" s="1"/>
  <c r="I100" i="15" s="1"/>
  <c r="F77" i="15"/>
  <c r="G77" i="15"/>
  <c r="H77" i="15"/>
  <c r="I77" i="15" s="1"/>
  <c r="I99" i="15" s="1"/>
  <c r="H71" i="15"/>
  <c r="I71" i="15" s="1"/>
  <c r="F71" i="15"/>
  <c r="G71" i="15"/>
  <c r="G69" i="15"/>
  <c r="H69" i="15"/>
  <c r="I69" i="15" s="1"/>
  <c r="F69" i="15"/>
  <c r="F65" i="15"/>
  <c r="G65" i="15"/>
  <c r="H65" i="15"/>
  <c r="I65" i="15" s="1"/>
  <c r="D91" i="15" s="1"/>
  <c r="F53" i="15"/>
  <c r="G53" i="15"/>
  <c r="H53" i="15"/>
  <c r="I53" i="15" s="1"/>
  <c r="F40" i="15"/>
  <c r="G40" i="15"/>
  <c r="H40" i="15"/>
  <c r="I40" i="15" s="1"/>
  <c r="E68" i="15"/>
  <c r="E70" i="15"/>
  <c r="I97" i="11"/>
  <c r="I102" i="11" s="1"/>
  <c r="I103" i="11" s="1"/>
  <c r="I104" i="11" s="1"/>
  <c r="F81" i="14"/>
  <c r="G81" i="14"/>
  <c r="H81" i="14"/>
  <c r="I81" i="14" s="1"/>
  <c r="I100" i="14" s="1"/>
  <c r="F77" i="14"/>
  <c r="G77" i="14"/>
  <c r="H77" i="14"/>
  <c r="I77" i="14" s="1"/>
  <c r="I99" i="14" s="1"/>
  <c r="F71" i="14"/>
  <c r="G71" i="14"/>
  <c r="H71" i="14"/>
  <c r="I71" i="14" s="1"/>
  <c r="H69" i="14"/>
  <c r="I69" i="14" s="1"/>
  <c r="F69" i="14"/>
  <c r="G69" i="14"/>
  <c r="F65" i="14"/>
  <c r="G65" i="14"/>
  <c r="H65" i="14"/>
  <c r="I65" i="14" s="1"/>
  <c r="F53" i="14"/>
  <c r="G53" i="14"/>
  <c r="H53" i="14"/>
  <c r="I53" i="14" s="1"/>
  <c r="D68" i="14"/>
  <c r="E70" i="14"/>
  <c r="F40" i="14"/>
  <c r="G40" i="14"/>
  <c r="H40" i="14"/>
  <c r="I40" i="14" s="1"/>
  <c r="E20" i="14"/>
  <c r="F81" i="13"/>
  <c r="G81" i="13"/>
  <c r="H81" i="13"/>
  <c r="I81" i="13" s="1"/>
  <c r="I100" i="13" s="1"/>
  <c r="F77" i="13"/>
  <c r="H77" i="13"/>
  <c r="I77" i="13" s="1"/>
  <c r="I99" i="13" s="1"/>
  <c r="G77" i="13"/>
  <c r="F71" i="13"/>
  <c r="G71" i="13"/>
  <c r="H71" i="13"/>
  <c r="I71" i="13" s="1"/>
  <c r="F69" i="13"/>
  <c r="G69" i="13"/>
  <c r="H69" i="13"/>
  <c r="I69" i="13" s="1"/>
  <c r="F65" i="13"/>
  <c r="G65" i="13"/>
  <c r="H65" i="13"/>
  <c r="I65" i="13" s="1"/>
  <c r="G45" i="13"/>
  <c r="H45" i="13"/>
  <c r="I45" i="13" s="1"/>
  <c r="F45" i="13"/>
  <c r="E53" i="13"/>
  <c r="F43" i="13"/>
  <c r="G43" i="13"/>
  <c r="H43" i="13"/>
  <c r="I43" i="13" s="1"/>
  <c r="F42" i="13"/>
  <c r="G42" i="13"/>
  <c r="H42" i="13"/>
  <c r="I42" i="13" s="1"/>
  <c r="G40" i="13"/>
  <c r="F40" i="13"/>
  <c r="H40" i="13"/>
  <c r="I40" i="13" s="1"/>
  <c r="E68" i="13"/>
  <c r="E70" i="13"/>
  <c r="E20" i="13"/>
  <c r="F81" i="12"/>
  <c r="G81" i="12"/>
  <c r="H81" i="12"/>
  <c r="I81" i="12" s="1"/>
  <c r="F71" i="12"/>
  <c r="G71" i="12"/>
  <c r="H71" i="12"/>
  <c r="I71" i="12" s="1"/>
  <c r="F69" i="12"/>
  <c r="G69" i="12"/>
  <c r="H69" i="12"/>
  <c r="I69" i="12" s="1"/>
  <c r="F65" i="12"/>
  <c r="G65" i="12"/>
  <c r="H65" i="12"/>
  <c r="I65" i="12" s="1"/>
  <c r="F45" i="12"/>
  <c r="G45" i="12"/>
  <c r="H45" i="12"/>
  <c r="I45" i="12" s="1"/>
  <c r="F43" i="12"/>
  <c r="H43" i="12"/>
  <c r="I43" i="12" s="1"/>
  <c r="G43" i="12"/>
  <c r="E68" i="12"/>
  <c r="E70" i="12"/>
  <c r="F40" i="12"/>
  <c r="G40" i="12"/>
  <c r="H40" i="12"/>
  <c r="I40" i="12" s="1"/>
  <c r="E77" i="12"/>
  <c r="F18" i="12"/>
  <c r="G18" i="12"/>
  <c r="H18" i="12"/>
  <c r="I18" i="12" s="1"/>
  <c r="E20" i="12"/>
  <c r="I44" i="12"/>
  <c r="D53" i="12"/>
  <c r="E42" i="12"/>
  <c r="I100" i="12"/>
  <c r="G81" i="6"/>
  <c r="H81" i="6"/>
  <c r="I81" i="6" s="1"/>
  <c r="F81" i="6"/>
  <c r="H77" i="6"/>
  <c r="I77" i="6" s="1"/>
  <c r="I99" i="6" s="1"/>
  <c r="F77" i="6"/>
  <c r="G77" i="6"/>
  <c r="F71" i="6"/>
  <c r="H71" i="6"/>
  <c r="I71" i="6" s="1"/>
  <c r="G71" i="6"/>
  <c r="G69" i="6"/>
  <c r="F69" i="6"/>
  <c r="H69" i="6"/>
  <c r="I69" i="6" s="1"/>
  <c r="G65" i="6"/>
  <c r="H65" i="6"/>
  <c r="I65" i="6" s="1"/>
  <c r="F65" i="6"/>
  <c r="F45" i="6"/>
  <c r="G45" i="6"/>
  <c r="H45" i="6"/>
  <c r="I45" i="6" s="1"/>
  <c r="F44" i="6"/>
  <c r="G44" i="6"/>
  <c r="H44" i="6"/>
  <c r="I44" i="6" s="1"/>
  <c r="G43" i="6"/>
  <c r="F43" i="6"/>
  <c r="H43" i="6"/>
  <c r="I43" i="6" s="1"/>
  <c r="G42" i="6"/>
  <c r="H42" i="6"/>
  <c r="I42" i="6" s="1"/>
  <c r="F42" i="6"/>
  <c r="F40" i="6"/>
  <c r="G40" i="6"/>
  <c r="H40" i="6"/>
  <c r="I40" i="6" s="1"/>
  <c r="I100" i="6"/>
  <c r="AJ88" i="1"/>
  <c r="L88" i="1"/>
  <c r="R83" i="1"/>
  <c r="V83" i="1"/>
  <c r="X83" i="1"/>
  <c r="Z83" i="1"/>
  <c r="AH83" i="1"/>
  <c r="AF83" i="1"/>
  <c r="P83" i="1"/>
  <c r="AD83" i="1"/>
  <c r="AH88" i="1"/>
  <c r="AF88" i="1"/>
  <c r="J88" i="1"/>
  <c r="AI70" i="1"/>
  <c r="AI68" i="1"/>
  <c r="AG53" i="1"/>
  <c r="AG70" i="1"/>
  <c r="AG68" i="1"/>
  <c r="AE53" i="1"/>
  <c r="AE68" i="1"/>
  <c r="AE70" i="1"/>
  <c r="AC70" i="1"/>
  <c r="AC68" i="1"/>
  <c r="F77" i="18" l="1"/>
  <c r="G77" i="18"/>
  <c r="H77" i="18"/>
  <c r="I77" i="18" s="1"/>
  <c r="I100" i="18" s="1"/>
  <c r="E53" i="18"/>
  <c r="AC53" i="1"/>
  <c r="G68" i="21"/>
  <c r="H68" i="21"/>
  <c r="I68" i="21" s="1"/>
  <c r="F68" i="21"/>
  <c r="F70" i="21"/>
  <c r="G70" i="21"/>
  <c r="H70" i="21"/>
  <c r="I70" i="21" s="1"/>
  <c r="E53" i="21"/>
  <c r="F77" i="21"/>
  <c r="G77" i="21"/>
  <c r="H77" i="21"/>
  <c r="I77" i="21" s="1"/>
  <c r="I99" i="21" s="1"/>
  <c r="E20" i="21"/>
  <c r="AI19" i="1"/>
  <c r="F53" i="20"/>
  <c r="G53" i="20"/>
  <c r="H53" i="20"/>
  <c r="I53" i="20" s="1"/>
  <c r="G70" i="20"/>
  <c r="F70" i="20"/>
  <c r="H70" i="20"/>
  <c r="I70" i="20" s="1"/>
  <c r="H68" i="20"/>
  <c r="I68" i="20" s="1"/>
  <c r="F68" i="20"/>
  <c r="G68" i="20"/>
  <c r="E20" i="20"/>
  <c r="AG19" i="1"/>
  <c r="F53" i="19"/>
  <c r="G53" i="19"/>
  <c r="H53" i="19"/>
  <c r="I53" i="19" s="1"/>
  <c r="F68" i="19"/>
  <c r="H68" i="19"/>
  <c r="I68" i="19" s="1"/>
  <c r="G68" i="19"/>
  <c r="G70" i="19"/>
  <c r="H70" i="19"/>
  <c r="I70" i="19" s="1"/>
  <c r="F70" i="19"/>
  <c r="E91" i="19"/>
  <c r="G53" i="17"/>
  <c r="H53" i="17"/>
  <c r="I53" i="17" s="1"/>
  <c r="F53" i="17"/>
  <c r="G68" i="17"/>
  <c r="F68" i="17"/>
  <c r="H68" i="17"/>
  <c r="I68" i="17" s="1"/>
  <c r="G70" i="17"/>
  <c r="F70" i="17"/>
  <c r="H70" i="17"/>
  <c r="I70" i="17" s="1"/>
  <c r="E91" i="17"/>
  <c r="G68" i="18"/>
  <c r="F68" i="18"/>
  <c r="H68" i="18"/>
  <c r="I68" i="18" s="1"/>
  <c r="H70" i="18"/>
  <c r="I70" i="18" s="1"/>
  <c r="G70" i="18"/>
  <c r="F70" i="18"/>
  <c r="E20" i="18"/>
  <c r="AC19" i="1"/>
  <c r="F68" i="16"/>
  <c r="G68" i="16"/>
  <c r="H68" i="16"/>
  <c r="I68" i="16" s="1"/>
  <c r="F70" i="16"/>
  <c r="G70" i="16"/>
  <c r="H70" i="16"/>
  <c r="I70" i="16" s="1"/>
  <c r="E20" i="16"/>
  <c r="H77" i="16"/>
  <c r="I77" i="16" s="1"/>
  <c r="I99" i="16" s="1"/>
  <c r="F77" i="16"/>
  <c r="G77" i="16"/>
  <c r="F68" i="15"/>
  <c r="G68" i="15"/>
  <c r="H68" i="15"/>
  <c r="I68" i="15" s="1"/>
  <c r="F70" i="15"/>
  <c r="H70" i="15"/>
  <c r="I70" i="15" s="1"/>
  <c r="G70" i="15"/>
  <c r="E91" i="15"/>
  <c r="E68" i="14"/>
  <c r="G70" i="14"/>
  <c r="H70" i="14"/>
  <c r="I70" i="14" s="1"/>
  <c r="F70" i="14"/>
  <c r="F20" i="14"/>
  <c r="G20" i="14"/>
  <c r="H20" i="14"/>
  <c r="I20" i="14" s="1"/>
  <c r="D91" i="14" s="1"/>
  <c r="F53" i="13"/>
  <c r="G53" i="13"/>
  <c r="H53" i="13"/>
  <c r="I53" i="13" s="1"/>
  <c r="F68" i="13"/>
  <c r="G68" i="13"/>
  <c r="H68" i="13"/>
  <c r="I68" i="13" s="1"/>
  <c r="F70" i="13"/>
  <c r="G70" i="13"/>
  <c r="H70" i="13"/>
  <c r="I70" i="13" s="1"/>
  <c r="F20" i="13"/>
  <c r="G20" i="13"/>
  <c r="H20" i="13"/>
  <c r="I20" i="13" s="1"/>
  <c r="D91" i="13" s="1"/>
  <c r="F68" i="12"/>
  <c r="G68" i="12"/>
  <c r="H68" i="12"/>
  <c r="I68" i="12" s="1"/>
  <c r="F70" i="12"/>
  <c r="G70" i="12"/>
  <c r="H70" i="12"/>
  <c r="I70" i="12" s="1"/>
  <c r="F77" i="12"/>
  <c r="G77" i="12"/>
  <c r="H77" i="12"/>
  <c r="I77" i="12" s="1"/>
  <c r="I99" i="12" s="1"/>
  <c r="F20" i="12"/>
  <c r="G20" i="12"/>
  <c r="H20" i="12"/>
  <c r="I20" i="12" s="1"/>
  <c r="D91" i="12" s="1"/>
  <c r="E53" i="12"/>
  <c r="G42" i="12"/>
  <c r="H42" i="12"/>
  <c r="I42" i="12" s="1"/>
  <c r="F42" i="12"/>
  <c r="F53" i="6"/>
  <c r="G53" i="6"/>
  <c r="H53" i="6"/>
  <c r="I53" i="6" s="1"/>
  <c r="F70" i="6"/>
  <c r="H70" i="6"/>
  <c r="I70" i="6" s="1"/>
  <c r="G70" i="6"/>
  <c r="G68" i="6"/>
  <c r="F68" i="6"/>
  <c r="H68" i="6"/>
  <c r="I68" i="6" s="1"/>
  <c r="G20" i="6"/>
  <c r="F20" i="6"/>
  <c r="H20" i="6"/>
  <c r="I20" i="6" s="1"/>
  <c r="AN88" i="1"/>
  <c r="AC65" i="1"/>
  <c r="F53" i="18" l="1"/>
  <c r="H53" i="18"/>
  <c r="I53" i="18" s="1"/>
  <c r="G53" i="18"/>
  <c r="G53" i="21"/>
  <c r="H53" i="21"/>
  <c r="I53" i="21" s="1"/>
  <c r="F53" i="21"/>
  <c r="G20" i="21"/>
  <c r="F20" i="21"/>
  <c r="H20" i="21"/>
  <c r="I20" i="21" s="1"/>
  <c r="D91" i="21" s="1"/>
  <c r="F20" i="20"/>
  <c r="G20" i="20"/>
  <c r="H20" i="20"/>
  <c r="I20" i="20" s="1"/>
  <c r="D91" i="20" s="1"/>
  <c r="F91" i="19"/>
  <c r="G91" i="19"/>
  <c r="H91" i="19"/>
  <c r="I91" i="19" s="1"/>
  <c r="I97" i="19"/>
  <c r="I102" i="19" s="1"/>
  <c r="G91" i="17"/>
  <c r="H91" i="17"/>
  <c r="I91" i="17" s="1"/>
  <c r="I97" i="17" s="1"/>
  <c r="I102" i="17" s="1"/>
  <c r="F91" i="17"/>
  <c r="F20" i="18"/>
  <c r="G20" i="18"/>
  <c r="H20" i="18"/>
  <c r="I20" i="18" s="1"/>
  <c r="D92" i="18"/>
  <c r="AC94" i="1" s="1"/>
  <c r="G20" i="16"/>
  <c r="F20" i="16"/>
  <c r="H20" i="16"/>
  <c r="I20" i="16" s="1"/>
  <c r="D91" i="16"/>
  <c r="F91" i="15"/>
  <c r="G91" i="15"/>
  <c r="H91" i="15"/>
  <c r="I91" i="15" s="1"/>
  <c r="I97" i="15" s="1"/>
  <c r="I102" i="15" s="1"/>
  <c r="F68" i="14"/>
  <c r="H68" i="14"/>
  <c r="I68" i="14" s="1"/>
  <c r="G68" i="14"/>
  <c r="S94" i="1"/>
  <c r="F53" i="12"/>
  <c r="G53" i="12"/>
  <c r="H53" i="12"/>
  <c r="I53" i="12" s="1"/>
  <c r="E91" i="21" l="1"/>
  <c r="AI94" i="1"/>
  <c r="E91" i="20"/>
  <c r="AG94" i="1"/>
  <c r="I103" i="19"/>
  <c r="I104" i="19" s="1"/>
  <c r="I103" i="17"/>
  <c r="I104" i="17" s="1"/>
  <c r="E92" i="18"/>
  <c r="E91" i="16"/>
  <c r="I103" i="15"/>
  <c r="I104" i="15" s="1"/>
  <c r="E91" i="14"/>
  <c r="E91" i="13"/>
  <c r="E91" i="12"/>
  <c r="F91" i="21" l="1"/>
  <c r="G91" i="21"/>
  <c r="H91" i="21"/>
  <c r="I91" i="21" s="1"/>
  <c r="I97" i="21" s="1"/>
  <c r="I102" i="21" s="1"/>
  <c r="H102" i="21" s="1"/>
  <c r="F91" i="20"/>
  <c r="G91" i="20"/>
  <c r="H91" i="20"/>
  <c r="I91" i="20" s="1"/>
  <c r="I97" i="20" s="1"/>
  <c r="I102" i="20" s="1"/>
  <c r="F92" i="18"/>
  <c r="G92" i="18"/>
  <c r="H92" i="18"/>
  <c r="I92" i="18" s="1"/>
  <c r="I98" i="18" s="1"/>
  <c r="I103" i="18" s="1"/>
  <c r="H91" i="16"/>
  <c r="I91" i="16" s="1"/>
  <c r="I97" i="16" s="1"/>
  <c r="I102" i="16" s="1"/>
  <c r="F91" i="16"/>
  <c r="G91" i="16"/>
  <c r="F91" i="14"/>
  <c r="G91" i="14"/>
  <c r="H91" i="14"/>
  <c r="I91" i="14" s="1"/>
  <c r="I97" i="14" s="1"/>
  <c r="I102" i="14" s="1"/>
  <c r="F91" i="13"/>
  <c r="G91" i="13"/>
  <c r="H91" i="13"/>
  <c r="I91" i="13" s="1"/>
  <c r="I97" i="13" s="1"/>
  <c r="I102" i="13" s="1"/>
  <c r="F91" i="12"/>
  <c r="G91" i="12"/>
  <c r="H91" i="12"/>
  <c r="I91" i="12" s="1"/>
  <c r="I97" i="12" s="1"/>
  <c r="I102" i="12" s="1"/>
  <c r="G91" i="6"/>
  <c r="H91" i="6"/>
  <c r="I97" i="6" s="1"/>
  <c r="I102" i="6" s="1"/>
  <c r="F91" i="6"/>
  <c r="I103" i="21" l="1"/>
  <c r="I104" i="21" s="1"/>
  <c r="I103" i="20"/>
  <c r="I104" i="20" s="1"/>
  <c r="I104" i="18"/>
  <c r="I105" i="18" s="1"/>
  <c r="I103" i="16"/>
  <c r="I104" i="16" s="1"/>
  <c r="I103" i="14"/>
  <c r="I104" i="14" s="1"/>
  <c r="I103" i="13"/>
  <c r="I104" i="13" s="1"/>
  <c r="I103" i="12"/>
  <c r="I104" i="12" s="1"/>
  <c r="I103" i="6"/>
  <c r="I104" i="6" s="1"/>
  <c r="Z97" i="1" l="1"/>
  <c r="Z96" i="1"/>
  <c r="Y11" i="1"/>
  <c r="Y12" i="1"/>
  <c r="Y13" i="1"/>
  <c r="Y14" i="1"/>
  <c r="Y15" i="1"/>
  <c r="Y16" i="1"/>
  <c r="Y17" i="1"/>
  <c r="Y18" i="1"/>
  <c r="Y19" i="1"/>
  <c r="Y20" i="1"/>
  <c r="Y21" i="1"/>
  <c r="Y22" i="1"/>
  <c r="Y23" i="1"/>
  <c r="Y24"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62" i="1"/>
  <c r="Y64" i="1"/>
  <c r="Y66" i="1"/>
  <c r="Y67" i="1"/>
  <c r="Y69" i="1"/>
  <c r="Y71" i="1"/>
  <c r="Y72" i="1"/>
  <c r="Y73" i="1"/>
  <c r="Y74" i="1"/>
  <c r="Y75" i="1"/>
  <c r="Y76" i="1"/>
  <c r="Y77" i="1"/>
  <c r="Y79" i="1"/>
  <c r="Y80" i="1"/>
  <c r="Y81" i="1"/>
  <c r="Y82" i="1"/>
  <c r="Y84" i="1"/>
  <c r="Y85" i="1"/>
  <c r="Y86" i="1"/>
  <c r="Y87" i="1"/>
  <c r="Y89" i="1"/>
  <c r="Y90" i="1"/>
  <c r="Y91" i="1"/>
  <c r="Y10" i="1"/>
  <c r="Y63" i="1" l="1"/>
  <c r="Y70" i="1" l="1"/>
  <c r="Y68" i="1"/>
  <c r="Y94" i="1" l="1"/>
  <c r="Y65" i="1"/>
  <c r="O11" i="1" l="1"/>
  <c r="O12" i="1"/>
  <c r="O13" i="1"/>
  <c r="O14" i="1"/>
  <c r="O15" i="1"/>
  <c r="O16" i="1"/>
  <c r="O17" i="1"/>
  <c r="O18" i="1"/>
  <c r="O19" i="1"/>
  <c r="O20" i="1"/>
  <c r="O21" i="1"/>
  <c r="O22" i="1"/>
  <c r="O23" i="1"/>
  <c r="O24"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62" i="1"/>
  <c r="O63" i="1"/>
  <c r="O64" i="1"/>
  <c r="O65" i="1"/>
  <c r="O66" i="1"/>
  <c r="O67" i="1"/>
  <c r="O68" i="1"/>
  <c r="O69" i="1"/>
  <c r="O70" i="1"/>
  <c r="O71" i="1"/>
  <c r="O72" i="1"/>
  <c r="O73" i="1"/>
  <c r="O74" i="1"/>
  <c r="O75" i="1"/>
  <c r="O76" i="1"/>
  <c r="O77" i="1"/>
  <c r="O79" i="1"/>
  <c r="O80" i="1"/>
  <c r="O81" i="1"/>
  <c r="O82" i="1"/>
  <c r="O84" i="1"/>
  <c r="O85" i="1"/>
  <c r="O86" i="1"/>
  <c r="O87" i="1"/>
  <c r="O89" i="1"/>
  <c r="O90" i="1"/>
  <c r="O91" i="1"/>
  <c r="O94" i="1"/>
  <c r="X97" i="1" l="1"/>
  <c r="X96"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1" i="1"/>
  <c r="W46" i="1"/>
  <c r="W47" i="1"/>
  <c r="W48" i="1"/>
  <c r="W49" i="1"/>
  <c r="W50" i="1"/>
  <c r="W51" i="1"/>
  <c r="W52" i="1"/>
  <c r="W54" i="1"/>
  <c r="W64" i="1"/>
  <c r="W66" i="1"/>
  <c r="W67" i="1"/>
  <c r="W72" i="1"/>
  <c r="W73" i="1"/>
  <c r="W74" i="1"/>
  <c r="W75" i="1"/>
  <c r="W76" i="1"/>
  <c r="W79" i="1"/>
  <c r="W80" i="1"/>
  <c r="W81" i="1"/>
  <c r="W84" i="1"/>
  <c r="W85" i="1"/>
  <c r="W86" i="1"/>
  <c r="W87" i="1"/>
  <c r="W89" i="1"/>
  <c r="W90" i="1"/>
  <c r="W91" i="1"/>
  <c r="W10" i="1"/>
  <c r="W82" i="1"/>
  <c r="W77" i="1"/>
  <c r="W71" i="1"/>
  <c r="W69" i="1"/>
  <c r="W65" i="1"/>
  <c r="W45" i="1"/>
  <c r="W44" i="1"/>
  <c r="W43" i="1"/>
  <c r="W42" i="1"/>
  <c r="W40" i="1"/>
  <c r="AI93" i="1"/>
  <c r="AI92" i="1"/>
  <c r="AI56" i="1"/>
  <c r="V97" i="1"/>
  <c r="V96" i="1"/>
  <c r="U11" i="1"/>
  <c r="U12" i="1"/>
  <c r="U13" i="1"/>
  <c r="U14" i="1"/>
  <c r="U15" i="1"/>
  <c r="U16" i="1"/>
  <c r="U17" i="1"/>
  <c r="U18" i="1"/>
  <c r="U19" i="1"/>
  <c r="U20" i="1"/>
  <c r="U21" i="1"/>
  <c r="U22" i="1"/>
  <c r="U23" i="1"/>
  <c r="U24" i="1"/>
  <c r="U26" i="1"/>
  <c r="U27" i="1"/>
  <c r="U28" i="1"/>
  <c r="U29" i="1"/>
  <c r="U30" i="1"/>
  <c r="U31" i="1"/>
  <c r="U32" i="1"/>
  <c r="U33" i="1"/>
  <c r="U34" i="1"/>
  <c r="U35" i="1"/>
  <c r="U36" i="1"/>
  <c r="U37" i="1"/>
  <c r="U38" i="1"/>
  <c r="U39" i="1"/>
  <c r="U40" i="1"/>
  <c r="U41" i="1"/>
  <c r="U42" i="1"/>
  <c r="U43" i="1"/>
  <c r="U44" i="1"/>
  <c r="U45" i="1"/>
  <c r="U46" i="1"/>
  <c r="U47" i="1"/>
  <c r="U48" i="1"/>
  <c r="U49" i="1"/>
  <c r="U50" i="1"/>
  <c r="U51" i="1"/>
  <c r="U52" i="1"/>
  <c r="U54" i="1"/>
  <c r="U55" i="1"/>
  <c r="U62" i="1"/>
  <c r="U63" i="1"/>
  <c r="U64" i="1"/>
  <c r="U65" i="1"/>
  <c r="U66" i="1"/>
  <c r="U67" i="1"/>
  <c r="U69" i="1"/>
  <c r="U71" i="1"/>
  <c r="U72" i="1"/>
  <c r="U73" i="1"/>
  <c r="U74" i="1"/>
  <c r="U75" i="1"/>
  <c r="U76" i="1"/>
  <c r="U77" i="1"/>
  <c r="U79" i="1"/>
  <c r="U80" i="1"/>
  <c r="U81" i="1"/>
  <c r="U82" i="1"/>
  <c r="U84" i="1"/>
  <c r="U85" i="1"/>
  <c r="U86" i="1"/>
  <c r="U87" i="1"/>
  <c r="U89" i="1"/>
  <c r="U90" i="1"/>
  <c r="U91" i="1"/>
  <c r="U10" i="1"/>
  <c r="T97" i="1"/>
  <c r="T96" i="1"/>
  <c r="Q11" i="1"/>
  <c r="Q12" i="1"/>
  <c r="Q13" i="1"/>
  <c r="Q14" i="1"/>
  <c r="Q15" i="1"/>
  <c r="Q16" i="1"/>
  <c r="Q17" i="1"/>
  <c r="Q18" i="1"/>
  <c r="Q20" i="1"/>
  <c r="Q21" i="1"/>
  <c r="Q22" i="1"/>
  <c r="Q23" i="1"/>
  <c r="Q24" i="1"/>
  <c r="Q26" i="1"/>
  <c r="Q27" i="1"/>
  <c r="Q28" i="1"/>
  <c r="Q29" i="1"/>
  <c r="Q30" i="1"/>
  <c r="Q31" i="1"/>
  <c r="Q32" i="1"/>
  <c r="Q33" i="1"/>
  <c r="Q34" i="1"/>
  <c r="Q35" i="1"/>
  <c r="Q36" i="1"/>
  <c r="Q37" i="1"/>
  <c r="Q38" i="1"/>
  <c r="Q39" i="1"/>
  <c r="Q41" i="1"/>
  <c r="Q46" i="1"/>
  <c r="Q47" i="1"/>
  <c r="Q48" i="1"/>
  <c r="Q49" i="1"/>
  <c r="Q50" i="1"/>
  <c r="Q51" i="1"/>
  <c r="Q52" i="1"/>
  <c r="Q54" i="1"/>
  <c r="Q55" i="1"/>
  <c r="Q62" i="1"/>
  <c r="Q63" i="1"/>
  <c r="Q64" i="1"/>
  <c r="Q66" i="1"/>
  <c r="Q67" i="1"/>
  <c r="Q72" i="1"/>
  <c r="Q73" i="1"/>
  <c r="Q74" i="1"/>
  <c r="Q75" i="1"/>
  <c r="Q76" i="1"/>
  <c r="Q79" i="1"/>
  <c r="Q80" i="1"/>
  <c r="Q81" i="1"/>
  <c r="Q84" i="1"/>
  <c r="Q85" i="1"/>
  <c r="Q86" i="1"/>
  <c r="Q87" i="1"/>
  <c r="Q89" i="1"/>
  <c r="Q90" i="1"/>
  <c r="Q91" i="1"/>
  <c r="Q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AJ44" i="1"/>
  <c r="G45" i="1"/>
  <c r="G46" i="1"/>
  <c r="G47" i="1"/>
  <c r="G48" i="1"/>
  <c r="G49" i="1"/>
  <c r="G50" i="1"/>
  <c r="G51" i="1"/>
  <c r="G52" i="1"/>
  <c r="G53" i="1"/>
  <c r="G54" i="1"/>
  <c r="G55" i="1"/>
  <c r="G62" i="1"/>
  <c r="G63" i="1"/>
  <c r="G64" i="1"/>
  <c r="G65" i="1"/>
  <c r="G66" i="1"/>
  <c r="G67" i="1"/>
  <c r="G68" i="1"/>
  <c r="G69" i="1"/>
  <c r="G70" i="1"/>
  <c r="G71" i="1"/>
  <c r="G72" i="1"/>
  <c r="G73" i="1"/>
  <c r="G74" i="1"/>
  <c r="G75" i="1"/>
  <c r="G76" i="1"/>
  <c r="G77" i="1"/>
  <c r="G79" i="1"/>
  <c r="G80" i="1"/>
  <c r="G81" i="1"/>
  <c r="G82" i="1"/>
  <c r="G84" i="1"/>
  <c r="G85" i="1"/>
  <c r="G86" i="1"/>
  <c r="G87" i="1"/>
  <c r="G89" i="1"/>
  <c r="G90" i="1"/>
  <c r="G91" i="1"/>
  <c r="G94" i="1"/>
  <c r="F81" i="1"/>
  <c r="E81" i="1"/>
  <c r="F77" i="1"/>
  <c r="E77" i="1"/>
  <c r="F53" i="1"/>
  <c r="E53" i="1"/>
  <c r="F45" i="1"/>
  <c r="F36" i="1"/>
  <c r="E36" i="1"/>
  <c r="AJ48" i="1" l="1"/>
  <c r="T48" i="1"/>
  <c r="AB48" i="1"/>
  <c r="AJ49" i="1"/>
  <c r="T49" i="1"/>
  <c r="AB49" i="1"/>
  <c r="AJ50" i="1"/>
  <c r="T50" i="1"/>
  <c r="AB50" i="1"/>
  <c r="AJ51" i="1"/>
  <c r="T51" i="1"/>
  <c r="AB51" i="1"/>
  <c r="AJ53" i="1"/>
  <c r="P53" i="1"/>
  <c r="T53" i="1"/>
  <c r="AB53" i="1"/>
  <c r="AJ54" i="1"/>
  <c r="T54" i="1"/>
  <c r="AB54" i="1"/>
  <c r="AJ55" i="1"/>
  <c r="T55" i="1"/>
  <c r="AB55" i="1"/>
  <c r="AJ62" i="1"/>
  <c r="T62" i="1"/>
  <c r="AB62" i="1"/>
  <c r="AJ63" i="1"/>
  <c r="T63" i="1"/>
  <c r="AB63" i="1"/>
  <c r="AJ65" i="1"/>
  <c r="AB65" i="1"/>
  <c r="T65" i="1"/>
  <c r="AJ66" i="1"/>
  <c r="T66" i="1"/>
  <c r="AB66" i="1"/>
  <c r="AJ68" i="1"/>
  <c r="AB68" i="1"/>
  <c r="T68" i="1"/>
  <c r="AJ69" i="1"/>
  <c r="AB69" i="1"/>
  <c r="T69" i="1"/>
  <c r="AJ70" i="1"/>
  <c r="T70" i="1"/>
  <c r="AB70" i="1"/>
  <c r="AJ77" i="1"/>
  <c r="AJ102" i="1" s="1"/>
  <c r="T77" i="1"/>
  <c r="AB77" i="1"/>
  <c r="AB102" i="1" s="1"/>
  <c r="AJ79" i="1"/>
  <c r="AB79" i="1"/>
  <c r="T79" i="1"/>
  <c r="AJ80" i="1"/>
  <c r="AB80" i="1"/>
  <c r="T80" i="1"/>
  <c r="AJ81" i="1"/>
  <c r="T81" i="1"/>
  <c r="AB81" i="1"/>
  <c r="AJ82" i="1"/>
  <c r="AB82" i="1"/>
  <c r="T82" i="1"/>
  <c r="AJ85" i="1"/>
  <c r="T85" i="1"/>
  <c r="AB85" i="1"/>
  <c r="AJ86" i="1"/>
  <c r="T86" i="1"/>
  <c r="AB86" i="1"/>
  <c r="AJ87" i="1"/>
  <c r="AB87" i="1"/>
  <c r="T87" i="1"/>
  <c r="AJ89" i="1"/>
  <c r="T89" i="1"/>
  <c r="AB89" i="1"/>
  <c r="AJ90" i="1"/>
  <c r="T90" i="1"/>
  <c r="AB90" i="1"/>
  <c r="AJ91" i="1"/>
  <c r="T91" i="1"/>
  <c r="AB91" i="1"/>
  <c r="AJ94" i="1"/>
  <c r="AB94" i="1"/>
  <c r="T94" i="1"/>
  <c r="AJ31" i="1"/>
  <c r="AB31" i="1"/>
  <c r="T31" i="1"/>
  <c r="AJ33" i="1"/>
  <c r="T33" i="1"/>
  <c r="AB33" i="1"/>
  <c r="AJ35" i="1"/>
  <c r="AB35" i="1"/>
  <c r="T35" i="1"/>
  <c r="AJ36" i="1"/>
  <c r="AB36" i="1"/>
  <c r="T36" i="1"/>
  <c r="AJ37" i="1"/>
  <c r="AB37" i="1"/>
  <c r="T37" i="1"/>
  <c r="AJ39" i="1"/>
  <c r="AB39" i="1"/>
  <c r="T39" i="1"/>
  <c r="AJ40" i="1"/>
  <c r="AB40" i="1"/>
  <c r="T40" i="1"/>
  <c r="AJ41" i="1"/>
  <c r="AB41" i="1"/>
  <c r="T41" i="1"/>
  <c r="AJ42" i="1"/>
  <c r="AB42" i="1"/>
  <c r="T42" i="1"/>
  <c r="AJ43" i="1"/>
  <c r="AB43" i="1"/>
  <c r="T43" i="1"/>
  <c r="AJ45" i="1"/>
  <c r="T45" i="1"/>
  <c r="AB45" i="1"/>
  <c r="AJ18" i="1"/>
  <c r="AB18" i="1"/>
  <c r="T18" i="1"/>
  <c r="AJ19" i="1"/>
  <c r="AB19" i="1"/>
  <c r="T19" i="1"/>
  <c r="AJ22" i="1"/>
  <c r="AB22" i="1"/>
  <c r="T22" i="1"/>
  <c r="AJ11" i="1"/>
  <c r="T11" i="1"/>
  <c r="AB11" i="1"/>
  <c r="AJ12" i="1"/>
  <c r="AB12" i="1"/>
  <c r="T12" i="1"/>
  <c r="AJ13" i="1"/>
  <c r="AJ99" i="1" s="1"/>
  <c r="T13" i="1"/>
  <c r="AB13" i="1"/>
  <c r="AJ14" i="1"/>
  <c r="AB14" i="1"/>
  <c r="T14" i="1"/>
  <c r="AJ15" i="1"/>
  <c r="AB15" i="1"/>
  <c r="T15" i="1"/>
  <c r="AJ17" i="1"/>
  <c r="T17" i="1"/>
  <c r="AB17" i="1"/>
  <c r="AJ64" i="1"/>
  <c r="AB64" i="1"/>
  <c r="T64" i="1"/>
  <c r="AJ52" i="1"/>
  <c r="AB52" i="1"/>
  <c r="T52" i="1"/>
  <c r="AJ46" i="1"/>
  <c r="AB46" i="1"/>
  <c r="T46" i="1"/>
  <c r="AJ47" i="1"/>
  <c r="AB47" i="1"/>
  <c r="T47" i="1"/>
  <c r="AJ38" i="1"/>
  <c r="AB38" i="1"/>
  <c r="T38" i="1"/>
  <c r="AJ34" i="1"/>
  <c r="AB34" i="1"/>
  <c r="T34" i="1"/>
  <c r="AJ32" i="1"/>
  <c r="AB32" i="1"/>
  <c r="T32" i="1"/>
  <c r="AJ23" i="1"/>
  <c r="AB23" i="1"/>
  <c r="T23" i="1"/>
  <c r="AJ24" i="1"/>
  <c r="AB24" i="1"/>
  <c r="T24" i="1"/>
  <c r="AJ25" i="1"/>
  <c r="AB25" i="1"/>
  <c r="T25" i="1"/>
  <c r="AJ26" i="1"/>
  <c r="AB26" i="1"/>
  <c r="T26" i="1"/>
  <c r="AJ27" i="1"/>
  <c r="AB27" i="1"/>
  <c r="T27" i="1"/>
  <c r="AJ28" i="1"/>
  <c r="AB28" i="1"/>
  <c r="T28" i="1"/>
  <c r="AJ29" i="1"/>
  <c r="AB29" i="1"/>
  <c r="T29" i="1"/>
  <c r="AJ30" i="1"/>
  <c r="AB30" i="1"/>
  <c r="T30" i="1"/>
  <c r="AJ20" i="1"/>
  <c r="AB20" i="1"/>
  <c r="T20" i="1"/>
  <c r="AJ21" i="1"/>
  <c r="AB21" i="1"/>
  <c r="T21" i="1"/>
  <c r="AJ16" i="1"/>
  <c r="AB16" i="1"/>
  <c r="T16" i="1"/>
  <c r="AJ84" i="1"/>
  <c r="AB84" i="1"/>
  <c r="T84" i="1"/>
  <c r="AJ73" i="1"/>
  <c r="AB73" i="1"/>
  <c r="T73" i="1"/>
  <c r="AJ74" i="1"/>
  <c r="AB74" i="1"/>
  <c r="T74" i="1"/>
  <c r="AJ75" i="1"/>
  <c r="AB75" i="1"/>
  <c r="T75" i="1"/>
  <c r="AJ76" i="1"/>
  <c r="AB76" i="1"/>
  <c r="T76" i="1"/>
  <c r="AJ71" i="1"/>
  <c r="AB71" i="1"/>
  <c r="T71" i="1"/>
  <c r="AJ72" i="1"/>
  <c r="AB72" i="1"/>
  <c r="T72" i="1"/>
  <c r="AJ67" i="1"/>
  <c r="AB67" i="1"/>
  <c r="T67" i="1"/>
  <c r="AC93" i="1"/>
  <c r="AG93" i="1"/>
  <c r="AE93" i="1"/>
  <c r="AC92" i="1"/>
  <c r="AG92" i="1"/>
  <c r="AE92" i="1"/>
  <c r="AE56" i="1"/>
  <c r="AG56" i="1"/>
  <c r="AD11" i="1"/>
  <c r="AF11" i="1"/>
  <c r="AH11" i="1"/>
  <c r="AD12" i="1"/>
  <c r="AF12" i="1"/>
  <c r="AH12" i="1"/>
  <c r="AF13" i="1"/>
  <c r="AF99" i="1" s="1"/>
  <c r="AH13" i="1"/>
  <c r="AD14" i="1"/>
  <c r="AH14" i="1"/>
  <c r="AF14" i="1"/>
  <c r="AD15" i="1"/>
  <c r="AH15" i="1"/>
  <c r="AF15" i="1"/>
  <c r="AH16" i="1"/>
  <c r="AF16" i="1"/>
  <c r="AH17" i="1"/>
  <c r="AF17" i="1"/>
  <c r="AH18" i="1"/>
  <c r="AF18" i="1"/>
  <c r="AF19" i="1"/>
  <c r="AH19" i="1"/>
  <c r="AF20" i="1"/>
  <c r="AH20" i="1"/>
  <c r="AF21" i="1"/>
  <c r="AH21" i="1"/>
  <c r="AF22" i="1"/>
  <c r="AH22" i="1"/>
  <c r="AD23" i="1"/>
  <c r="AH23" i="1"/>
  <c r="AF23" i="1"/>
  <c r="AF24" i="1"/>
  <c r="AH24" i="1"/>
  <c r="AF25" i="1"/>
  <c r="AH25" i="1"/>
  <c r="AH26" i="1"/>
  <c r="AF26" i="1"/>
  <c r="AD27" i="1"/>
  <c r="AH27" i="1"/>
  <c r="AF27" i="1"/>
  <c r="AF28" i="1"/>
  <c r="AH28" i="1"/>
  <c r="AH29" i="1"/>
  <c r="AF29" i="1"/>
  <c r="AD30" i="1"/>
  <c r="AF30" i="1"/>
  <c r="AH30" i="1"/>
  <c r="AD31" i="1"/>
  <c r="AH31" i="1"/>
  <c r="AF31" i="1"/>
  <c r="AH32" i="1"/>
  <c r="AF32" i="1"/>
  <c r="AF33" i="1"/>
  <c r="AH33" i="1"/>
  <c r="AH34" i="1"/>
  <c r="AF34" i="1"/>
  <c r="AD35" i="1"/>
  <c r="AF35" i="1"/>
  <c r="AH35" i="1"/>
  <c r="AH36" i="1"/>
  <c r="AF36" i="1"/>
  <c r="AH37" i="1"/>
  <c r="AF37" i="1"/>
  <c r="AH38" i="1"/>
  <c r="AF38" i="1"/>
  <c r="AD39" i="1"/>
  <c r="AF39" i="1"/>
  <c r="AH39" i="1"/>
  <c r="AF40" i="1"/>
  <c r="AH40" i="1"/>
  <c r="AD41" i="1"/>
  <c r="AH41" i="1"/>
  <c r="AF41" i="1"/>
  <c r="AH42" i="1"/>
  <c r="AF42" i="1"/>
  <c r="AH43" i="1"/>
  <c r="AF43" i="1"/>
  <c r="AH44" i="1"/>
  <c r="AF44" i="1"/>
  <c r="AD45" i="1"/>
  <c r="AF45" i="1"/>
  <c r="AH45" i="1"/>
  <c r="AF46" i="1"/>
  <c r="AH46" i="1"/>
  <c r="AH47" i="1"/>
  <c r="AF47" i="1"/>
  <c r="AH48" i="1"/>
  <c r="AF48" i="1"/>
  <c r="AH49" i="1"/>
  <c r="AF49" i="1"/>
  <c r="AH50" i="1"/>
  <c r="AF50" i="1"/>
  <c r="AH51" i="1"/>
  <c r="AF51" i="1"/>
  <c r="AF52" i="1"/>
  <c r="AH52" i="1"/>
  <c r="AF53" i="1"/>
  <c r="AH53" i="1"/>
  <c r="AH54" i="1"/>
  <c r="AF54" i="1"/>
  <c r="AF55" i="1"/>
  <c r="AH55" i="1"/>
  <c r="AD62" i="1"/>
  <c r="AF62" i="1"/>
  <c r="AH62" i="1"/>
  <c r="AF63" i="1"/>
  <c r="AH63" i="1"/>
  <c r="AH64" i="1"/>
  <c r="AF64" i="1"/>
  <c r="AH65" i="1"/>
  <c r="AF65" i="1"/>
  <c r="AD66" i="1"/>
  <c r="AH66" i="1"/>
  <c r="AF66" i="1"/>
  <c r="AH67" i="1"/>
  <c r="AF67" i="1"/>
  <c r="AH68" i="1"/>
  <c r="AF68" i="1"/>
  <c r="AH69" i="1"/>
  <c r="AF69" i="1"/>
  <c r="AH70" i="1"/>
  <c r="AF70" i="1"/>
  <c r="AH71" i="1"/>
  <c r="AF71" i="1"/>
  <c r="AH72" i="1"/>
  <c r="AF72" i="1"/>
  <c r="AD73" i="1"/>
  <c r="AF73" i="1"/>
  <c r="AH73" i="1"/>
  <c r="AD74" i="1"/>
  <c r="AH74" i="1"/>
  <c r="AF74" i="1"/>
  <c r="AH75" i="1"/>
  <c r="AF75" i="1"/>
  <c r="AF76" i="1"/>
  <c r="AH76" i="1"/>
  <c r="AH77" i="1"/>
  <c r="AF77" i="1"/>
  <c r="AF102" i="1" s="1"/>
  <c r="AD79" i="1"/>
  <c r="AF79" i="1"/>
  <c r="AH79" i="1"/>
  <c r="AD80" i="1"/>
  <c r="AF80" i="1"/>
  <c r="AH80" i="1"/>
  <c r="AH81" i="1"/>
  <c r="AF81" i="1"/>
  <c r="AH82" i="1"/>
  <c r="AF82" i="1"/>
  <c r="AF84" i="1"/>
  <c r="AH84" i="1"/>
  <c r="AD85" i="1"/>
  <c r="AF85" i="1"/>
  <c r="AH85" i="1"/>
  <c r="AF86" i="1"/>
  <c r="AH86" i="1"/>
  <c r="AF87" i="1"/>
  <c r="AH87" i="1"/>
  <c r="AD89" i="1"/>
  <c r="AF89" i="1"/>
  <c r="AH89" i="1"/>
  <c r="AD90" i="1"/>
  <c r="AH90" i="1"/>
  <c r="AF90" i="1"/>
  <c r="AH91" i="1"/>
  <c r="AF91" i="1"/>
  <c r="AF104" i="1" s="1"/>
  <c r="AH94" i="1"/>
  <c r="AF94" i="1"/>
  <c r="Y56" i="1"/>
  <c r="AC56" i="1"/>
  <c r="Z13" i="1"/>
  <c r="AD13" i="1"/>
  <c r="Z16" i="1"/>
  <c r="AD16" i="1"/>
  <c r="Z17" i="1"/>
  <c r="AD17" i="1"/>
  <c r="Z18" i="1"/>
  <c r="AD18" i="1"/>
  <c r="Z19" i="1"/>
  <c r="AD19" i="1"/>
  <c r="Z20" i="1"/>
  <c r="AD20" i="1"/>
  <c r="Z21" i="1"/>
  <c r="AD21" i="1"/>
  <c r="Z22" i="1"/>
  <c r="AD22" i="1"/>
  <c r="Z24" i="1"/>
  <c r="AD24" i="1"/>
  <c r="Z25" i="1"/>
  <c r="AD25" i="1"/>
  <c r="Z26" i="1"/>
  <c r="AD26" i="1"/>
  <c r="Z28" i="1"/>
  <c r="AD28" i="1"/>
  <c r="Z29" i="1"/>
  <c r="AD29" i="1"/>
  <c r="Z32" i="1"/>
  <c r="AD32" i="1"/>
  <c r="Z33" i="1"/>
  <c r="AD33" i="1"/>
  <c r="Z34" i="1"/>
  <c r="AD34" i="1"/>
  <c r="Z36" i="1"/>
  <c r="AD36" i="1"/>
  <c r="Z37" i="1"/>
  <c r="AD37" i="1"/>
  <c r="Z38" i="1"/>
  <c r="AD38" i="1"/>
  <c r="Z40" i="1"/>
  <c r="AD40" i="1"/>
  <c r="Z42" i="1"/>
  <c r="AD42" i="1"/>
  <c r="Z43" i="1"/>
  <c r="AD43" i="1"/>
  <c r="Z44" i="1"/>
  <c r="AD44" i="1"/>
  <c r="Z46" i="1"/>
  <c r="AD46" i="1"/>
  <c r="Z47" i="1"/>
  <c r="AD47" i="1"/>
  <c r="Z48" i="1"/>
  <c r="AD48" i="1"/>
  <c r="Z49" i="1"/>
  <c r="AD49" i="1"/>
  <c r="Z50" i="1"/>
  <c r="AD50" i="1"/>
  <c r="Z51" i="1"/>
  <c r="AD51" i="1"/>
  <c r="Z52" i="1"/>
  <c r="AD52" i="1"/>
  <c r="Z53" i="1"/>
  <c r="AD53" i="1"/>
  <c r="Z54" i="1"/>
  <c r="AD54" i="1"/>
  <c r="Z55" i="1"/>
  <c r="AD55" i="1"/>
  <c r="Z63" i="1"/>
  <c r="AD63" i="1"/>
  <c r="Z64" i="1"/>
  <c r="AD64" i="1"/>
  <c r="Z65" i="1"/>
  <c r="AD65" i="1"/>
  <c r="Z67" i="1"/>
  <c r="AD67" i="1"/>
  <c r="Z68" i="1"/>
  <c r="AD68" i="1"/>
  <c r="Z69" i="1"/>
  <c r="AD69" i="1"/>
  <c r="Z70" i="1"/>
  <c r="AD70" i="1"/>
  <c r="Z71" i="1"/>
  <c r="AD71" i="1"/>
  <c r="Z72" i="1"/>
  <c r="AD72" i="1"/>
  <c r="Z75" i="1"/>
  <c r="AD75" i="1"/>
  <c r="Z76" i="1"/>
  <c r="AD76" i="1"/>
  <c r="Z77" i="1"/>
  <c r="Z102" i="1" s="1"/>
  <c r="AD77" i="1"/>
  <c r="AD102" i="1" s="1"/>
  <c r="Z81" i="1"/>
  <c r="AD81" i="1"/>
  <c r="Z82" i="1"/>
  <c r="AD82" i="1"/>
  <c r="Z84" i="1"/>
  <c r="AD84" i="1"/>
  <c r="Z86" i="1"/>
  <c r="AD86" i="1"/>
  <c r="Z87" i="1"/>
  <c r="AD87" i="1"/>
  <c r="Z91" i="1"/>
  <c r="AD91" i="1"/>
  <c r="Z94" i="1"/>
  <c r="AD94" i="1"/>
  <c r="P44" i="1"/>
  <c r="R41" i="1"/>
  <c r="Z41" i="1"/>
  <c r="R30" i="1"/>
  <c r="Z30" i="1"/>
  <c r="R85" i="1"/>
  <c r="Z85" i="1"/>
  <c r="R14" i="1"/>
  <c r="Z14" i="1"/>
  <c r="R39" i="1"/>
  <c r="Z39" i="1"/>
  <c r="R27" i="1"/>
  <c r="Z27" i="1"/>
  <c r="R15" i="1"/>
  <c r="Z15" i="1"/>
  <c r="R80" i="1"/>
  <c r="Z80" i="1"/>
  <c r="R79" i="1"/>
  <c r="Z79" i="1"/>
  <c r="R66" i="1"/>
  <c r="Z66" i="1"/>
  <c r="R12" i="1"/>
  <c r="Z12" i="1"/>
  <c r="R35" i="1"/>
  <c r="Z35" i="1"/>
  <c r="R23" i="1"/>
  <c r="Z23" i="1"/>
  <c r="R11" i="1"/>
  <c r="Z11" i="1"/>
  <c r="R90" i="1"/>
  <c r="Z90" i="1"/>
  <c r="Z104" i="1" s="1"/>
  <c r="P45" i="1"/>
  <c r="Z45" i="1"/>
  <c r="R74" i="1"/>
  <c r="Z74" i="1"/>
  <c r="Z101" i="1" s="1"/>
  <c r="R62" i="1"/>
  <c r="Z62" i="1"/>
  <c r="W92" i="1"/>
  <c r="Y92" i="1"/>
  <c r="R89" i="1"/>
  <c r="Z89" i="1"/>
  <c r="R73" i="1"/>
  <c r="Z73" i="1"/>
  <c r="R31" i="1"/>
  <c r="Z31" i="1"/>
  <c r="W93" i="1"/>
  <c r="Y93" i="1"/>
  <c r="R13" i="1"/>
  <c r="O92" i="1"/>
  <c r="O93" i="1"/>
  <c r="O56" i="1"/>
  <c r="Q42" i="1"/>
  <c r="Q82" i="1"/>
  <c r="Q40" i="1"/>
  <c r="Q69" i="1"/>
  <c r="Q77" i="1"/>
  <c r="Q19" i="1"/>
  <c r="Q44" i="1"/>
  <c r="Q43" i="1"/>
  <c r="Q45" i="1"/>
  <c r="Q65" i="1"/>
  <c r="Q71" i="1"/>
  <c r="Q56" i="1"/>
  <c r="U56" i="1"/>
  <c r="X11" i="1"/>
  <c r="X12" i="1"/>
  <c r="X14" i="1"/>
  <c r="X15" i="1"/>
  <c r="X23" i="1"/>
  <c r="X27" i="1"/>
  <c r="X30" i="1"/>
  <c r="X31" i="1"/>
  <c r="X35" i="1"/>
  <c r="X39" i="1"/>
  <c r="X41" i="1"/>
  <c r="X62" i="1"/>
  <c r="X66" i="1"/>
  <c r="X73" i="1"/>
  <c r="X74" i="1"/>
  <c r="X79" i="1"/>
  <c r="X80" i="1"/>
  <c r="X85" i="1"/>
  <c r="X89" i="1"/>
  <c r="X90" i="1"/>
  <c r="X17" i="1"/>
  <c r="X18" i="1"/>
  <c r="X20" i="1"/>
  <c r="X22" i="1"/>
  <c r="X24" i="1"/>
  <c r="X26" i="1"/>
  <c r="X28" i="1"/>
  <c r="X34" i="1"/>
  <c r="X38" i="1"/>
  <c r="X44" i="1"/>
  <c r="X47" i="1"/>
  <c r="X51" i="1"/>
  <c r="X54" i="1"/>
  <c r="X65" i="1"/>
  <c r="X69" i="1"/>
  <c r="X75" i="1"/>
  <c r="X84" i="1"/>
  <c r="X16" i="1"/>
  <c r="X19" i="1"/>
  <c r="X21" i="1"/>
  <c r="X32" i="1"/>
  <c r="X33" i="1"/>
  <c r="X42" i="1"/>
  <c r="X45" i="1"/>
  <c r="X49" i="1"/>
  <c r="X52" i="1"/>
  <c r="X63" i="1"/>
  <c r="X71" i="1"/>
  <c r="X82" i="1"/>
  <c r="X87" i="1"/>
  <c r="X91" i="1"/>
  <c r="X29" i="1"/>
  <c r="X37" i="1"/>
  <c r="X48" i="1"/>
  <c r="X55" i="1"/>
  <c r="X64" i="1"/>
  <c r="X72" i="1"/>
  <c r="X76" i="1"/>
  <c r="X86" i="1"/>
  <c r="X13" i="1"/>
  <c r="X25" i="1"/>
  <c r="X36" i="1"/>
  <c r="X40" i="1"/>
  <c r="X43" i="1"/>
  <c r="X46" i="1"/>
  <c r="X50" i="1"/>
  <c r="X67" i="1"/>
  <c r="X77" i="1"/>
  <c r="X102" i="1" s="1"/>
  <c r="X81" i="1"/>
  <c r="V11" i="1"/>
  <c r="V12" i="1"/>
  <c r="V14" i="1"/>
  <c r="V15" i="1"/>
  <c r="V23" i="1"/>
  <c r="V27" i="1"/>
  <c r="V30" i="1"/>
  <c r="V31" i="1"/>
  <c r="V35" i="1"/>
  <c r="V39" i="1"/>
  <c r="V41" i="1"/>
  <c r="V62" i="1"/>
  <c r="V66" i="1"/>
  <c r="V73" i="1"/>
  <c r="V74" i="1"/>
  <c r="V79" i="1"/>
  <c r="V80" i="1"/>
  <c r="V85" i="1"/>
  <c r="V89" i="1"/>
  <c r="V90" i="1"/>
  <c r="G56" i="1"/>
  <c r="E56" i="1"/>
  <c r="AI57" i="1"/>
  <c r="F56" i="1"/>
  <c r="V13" i="1"/>
  <c r="V17" i="1"/>
  <c r="V19" i="1"/>
  <c r="V22" i="1"/>
  <c r="V24" i="1"/>
  <c r="V25" i="1"/>
  <c r="V29" i="1"/>
  <c r="V33" i="1"/>
  <c r="V38" i="1"/>
  <c r="V40" i="1"/>
  <c r="V42" i="1"/>
  <c r="V43" i="1"/>
  <c r="V45" i="1"/>
  <c r="V47" i="1"/>
  <c r="V49" i="1"/>
  <c r="V51" i="1"/>
  <c r="V55" i="1"/>
  <c r="V63" i="1"/>
  <c r="V65" i="1"/>
  <c r="V67" i="1"/>
  <c r="V72" i="1"/>
  <c r="V76" i="1"/>
  <c r="V81" i="1"/>
  <c r="V84" i="1"/>
  <c r="V91" i="1"/>
  <c r="V16" i="1"/>
  <c r="V18" i="1"/>
  <c r="V20" i="1"/>
  <c r="V21" i="1"/>
  <c r="V26" i="1"/>
  <c r="V28" i="1"/>
  <c r="V32" i="1"/>
  <c r="V34" i="1"/>
  <c r="V36" i="1"/>
  <c r="V37" i="1"/>
  <c r="V44" i="1"/>
  <c r="V46" i="1"/>
  <c r="V48" i="1"/>
  <c r="V50" i="1"/>
  <c r="V52" i="1"/>
  <c r="V54" i="1"/>
  <c r="V64" i="1"/>
  <c r="V69" i="1"/>
  <c r="V71" i="1"/>
  <c r="V75" i="1"/>
  <c r="V77" i="1"/>
  <c r="V102" i="1" s="1"/>
  <c r="V82" i="1"/>
  <c r="V86" i="1"/>
  <c r="V87" i="1"/>
  <c r="AO11" i="1"/>
  <c r="AO12" i="1"/>
  <c r="AO14" i="1"/>
  <c r="AO15" i="1"/>
  <c r="AO23" i="1"/>
  <c r="AO27" i="1"/>
  <c r="AO30" i="1"/>
  <c r="AO31" i="1"/>
  <c r="AO35" i="1"/>
  <c r="R16" i="1"/>
  <c r="R17" i="1"/>
  <c r="R18" i="1"/>
  <c r="R20" i="1"/>
  <c r="R37" i="1"/>
  <c r="R47" i="1"/>
  <c r="R49" i="1"/>
  <c r="R51" i="1"/>
  <c r="R55" i="1"/>
  <c r="R63" i="1"/>
  <c r="R21" i="1"/>
  <c r="R22" i="1"/>
  <c r="R24" i="1"/>
  <c r="R25" i="1"/>
  <c r="R26" i="1"/>
  <c r="R28" i="1"/>
  <c r="R29" i="1"/>
  <c r="R32" i="1"/>
  <c r="R33" i="1"/>
  <c r="R34" i="1"/>
  <c r="R36" i="1"/>
  <c r="R38" i="1"/>
  <c r="R46" i="1"/>
  <c r="R48" i="1"/>
  <c r="R50" i="1"/>
  <c r="R52" i="1"/>
  <c r="R54" i="1"/>
  <c r="R64" i="1"/>
  <c r="R67" i="1"/>
  <c r="R72" i="1"/>
  <c r="R75" i="1"/>
  <c r="R76" i="1"/>
  <c r="R81" i="1"/>
  <c r="R84" i="1"/>
  <c r="R86" i="1"/>
  <c r="R87" i="1"/>
  <c r="R91" i="1"/>
  <c r="P77" i="1"/>
  <c r="P102" i="1" s="1"/>
  <c r="P81" i="1"/>
  <c r="P36" i="1"/>
  <c r="AJ104" i="1" l="1"/>
  <c r="AJ103" i="1"/>
  <c r="AJ101" i="1"/>
  <c r="AB101" i="1"/>
  <c r="AB103" i="1"/>
  <c r="AB104" i="1"/>
  <c r="AJ56" i="1"/>
  <c r="T56" i="1"/>
  <c r="AB56" i="1"/>
  <c r="AB99" i="1"/>
  <c r="Z103" i="1"/>
  <c r="Z99" i="1"/>
  <c r="AD104" i="1"/>
  <c r="AF56" i="1"/>
  <c r="AF101" i="1"/>
  <c r="AD99" i="1"/>
  <c r="AH56" i="1"/>
  <c r="AH99" i="1"/>
  <c r="AH102" i="1"/>
  <c r="AH104" i="1"/>
  <c r="AF103" i="1"/>
  <c r="W70" i="1"/>
  <c r="W53" i="1"/>
  <c r="W68" i="1"/>
  <c r="AD103" i="1"/>
  <c r="AH101" i="1"/>
  <c r="AH103" i="1"/>
  <c r="AC57" i="1"/>
  <c r="AE57" i="1"/>
  <c r="AG57" i="1"/>
  <c r="AD101" i="1"/>
  <c r="Z56" i="1"/>
  <c r="AD56" i="1"/>
  <c r="Y57" i="1"/>
  <c r="O57" i="1"/>
  <c r="Q70" i="1"/>
  <c r="Q68" i="1"/>
  <c r="Q53" i="1"/>
  <c r="R43" i="1"/>
  <c r="R71" i="1"/>
  <c r="R19" i="1"/>
  <c r="R44" i="1"/>
  <c r="R69" i="1"/>
  <c r="R45" i="1"/>
  <c r="R42" i="1"/>
  <c r="R77" i="1"/>
  <c r="R40" i="1"/>
  <c r="R65" i="1"/>
  <c r="R82" i="1"/>
  <c r="X104" i="1"/>
  <c r="X99" i="1"/>
  <c r="R56" i="1"/>
  <c r="X56" i="1"/>
  <c r="V56" i="1"/>
  <c r="P56" i="1"/>
  <c r="X103" i="1"/>
  <c r="J56" i="1"/>
  <c r="L56" i="1"/>
  <c r="U57" i="1"/>
  <c r="Q57" i="1"/>
  <c r="X101" i="1"/>
  <c r="V99" i="1"/>
  <c r="U53" i="1"/>
  <c r="V53" i="1" s="1"/>
  <c r="U70" i="1"/>
  <c r="V70" i="1" s="1"/>
  <c r="U68" i="1"/>
  <c r="V68" i="1" s="1"/>
  <c r="F57" i="1"/>
  <c r="AI58" i="1"/>
  <c r="E57" i="1"/>
  <c r="G57" i="1"/>
  <c r="V103" i="1"/>
  <c r="V101" i="1"/>
  <c r="V104" i="1"/>
  <c r="P68" i="1"/>
  <c r="P70" i="1"/>
  <c r="AO39" i="1"/>
  <c r="AO41" i="1"/>
  <c r="AO62" i="1"/>
  <c r="AO66" i="1"/>
  <c r="AO73" i="1"/>
  <c r="AO74" i="1"/>
  <c r="AO79" i="1"/>
  <c r="AO80" i="1"/>
  <c r="AO85" i="1"/>
  <c r="AO89" i="1"/>
  <c r="AO90" i="1"/>
  <c r="H8" i="7"/>
  <c r="H7" i="7"/>
  <c r="M6" i="1"/>
  <c r="M5" i="1"/>
  <c r="H8" i="10"/>
  <c r="H7" i="10"/>
  <c r="G8" i="10"/>
  <c r="F8" i="10"/>
  <c r="G7" i="10"/>
  <c r="F7" i="10"/>
  <c r="P11" i="1"/>
  <c r="P12" i="1"/>
  <c r="P13" i="1"/>
  <c r="P14" i="1"/>
  <c r="P15" i="1"/>
  <c r="P16" i="1"/>
  <c r="P17" i="1"/>
  <c r="P18" i="1"/>
  <c r="P19" i="1"/>
  <c r="P20" i="1"/>
  <c r="P21" i="1"/>
  <c r="P22" i="1"/>
  <c r="P23" i="1"/>
  <c r="P24" i="1"/>
  <c r="P25" i="1"/>
  <c r="P26" i="1"/>
  <c r="P27" i="1"/>
  <c r="P28" i="1"/>
  <c r="P29" i="1"/>
  <c r="P30" i="1"/>
  <c r="P31" i="1"/>
  <c r="P32" i="1"/>
  <c r="P33" i="1"/>
  <c r="P34" i="1"/>
  <c r="P35" i="1"/>
  <c r="P37" i="1"/>
  <c r="P38" i="1"/>
  <c r="P39" i="1"/>
  <c r="P40" i="1"/>
  <c r="P41" i="1"/>
  <c r="P42" i="1"/>
  <c r="P43" i="1"/>
  <c r="P46" i="1"/>
  <c r="P47" i="1"/>
  <c r="P48" i="1"/>
  <c r="P49" i="1"/>
  <c r="P50" i="1"/>
  <c r="P51" i="1"/>
  <c r="P52" i="1"/>
  <c r="P54" i="1"/>
  <c r="P55" i="1"/>
  <c r="P62" i="1"/>
  <c r="P63" i="1"/>
  <c r="P64" i="1"/>
  <c r="P65" i="1"/>
  <c r="P66" i="1"/>
  <c r="P67" i="1"/>
  <c r="P69" i="1"/>
  <c r="P71" i="1"/>
  <c r="P72" i="1"/>
  <c r="P73" i="1"/>
  <c r="P74" i="1"/>
  <c r="P75" i="1"/>
  <c r="P76" i="1"/>
  <c r="P79" i="1"/>
  <c r="P80" i="1"/>
  <c r="P82" i="1"/>
  <c r="P84" i="1"/>
  <c r="P85" i="1"/>
  <c r="P86" i="1"/>
  <c r="P87" i="1"/>
  <c r="P89" i="1"/>
  <c r="P90" i="1"/>
  <c r="P91" i="1"/>
  <c r="G95" i="1"/>
  <c r="G96" i="1"/>
  <c r="G97" i="1"/>
  <c r="G98" i="1"/>
  <c r="G99" i="1"/>
  <c r="G100" i="1"/>
  <c r="G101" i="1"/>
  <c r="G103" i="1"/>
  <c r="G104" i="1"/>
  <c r="G105" i="1"/>
  <c r="G10" i="1"/>
  <c r="AJ57" i="1" l="1"/>
  <c r="AB57" i="1"/>
  <c r="T57" i="1"/>
  <c r="M34" i="1"/>
  <c r="AM34" i="1" s="1"/>
  <c r="M48" i="1"/>
  <c r="AM48" i="1" s="1"/>
  <c r="M47" i="1"/>
  <c r="AM47" i="1" s="1"/>
  <c r="M50" i="1"/>
  <c r="AM50" i="1" s="1"/>
  <c r="M51" i="1"/>
  <c r="AM51" i="1" s="1"/>
  <c r="M54" i="1"/>
  <c r="AM54" i="1" s="1"/>
  <c r="M56" i="1"/>
  <c r="AM56" i="1" s="1"/>
  <c r="M57" i="1"/>
  <c r="M59" i="1"/>
  <c r="M61" i="1"/>
  <c r="M63" i="1"/>
  <c r="AM63" i="1" s="1"/>
  <c r="M64" i="1"/>
  <c r="AM64" i="1" s="1"/>
  <c r="M65" i="1"/>
  <c r="AM65" i="1" s="1"/>
  <c r="M68" i="1"/>
  <c r="AM68" i="1" s="1"/>
  <c r="M71" i="1"/>
  <c r="AM71" i="1" s="1"/>
  <c r="M76" i="1"/>
  <c r="AM76" i="1" s="1"/>
  <c r="M81" i="1"/>
  <c r="AM81" i="1" s="1"/>
  <c r="M83" i="1"/>
  <c r="M87" i="1"/>
  <c r="AM87" i="1" s="1"/>
  <c r="M91" i="1"/>
  <c r="AM91" i="1" s="1"/>
  <c r="M93" i="1"/>
  <c r="M46" i="1"/>
  <c r="M49" i="1"/>
  <c r="AM49" i="1" s="1"/>
  <c r="M52" i="1"/>
  <c r="AM52" i="1" s="1"/>
  <c r="M53" i="1"/>
  <c r="M55" i="1"/>
  <c r="AM55" i="1" s="1"/>
  <c r="M58" i="1"/>
  <c r="M60" i="1"/>
  <c r="M67" i="1"/>
  <c r="AM67" i="1" s="1"/>
  <c r="M69" i="1"/>
  <c r="AM69" i="1" s="1"/>
  <c r="M70" i="1"/>
  <c r="AM70" i="1" s="1"/>
  <c r="M72" i="1"/>
  <c r="AM72" i="1" s="1"/>
  <c r="M75" i="1"/>
  <c r="AM75" i="1" s="1"/>
  <c r="M77" i="1"/>
  <c r="AM77" i="1" s="1"/>
  <c r="M82" i="1"/>
  <c r="AM82" i="1" s="1"/>
  <c r="M84" i="1"/>
  <c r="AM84" i="1" s="1"/>
  <c r="M86" i="1"/>
  <c r="AM86" i="1" s="1"/>
  <c r="M88" i="1"/>
  <c r="AM88" i="1" s="1"/>
  <c r="M92" i="1"/>
  <c r="M33" i="1"/>
  <c r="AM33" i="1" s="1"/>
  <c r="M32" i="1"/>
  <c r="AM32" i="1" s="1"/>
  <c r="M29" i="1"/>
  <c r="AM29" i="1" s="1"/>
  <c r="M28" i="1"/>
  <c r="AM28" i="1" s="1"/>
  <c r="M26" i="1"/>
  <c r="AM26" i="1" s="1"/>
  <c r="M25" i="1"/>
  <c r="AM25" i="1" s="1"/>
  <c r="M24" i="1"/>
  <c r="AM24" i="1" s="1"/>
  <c r="M22" i="1"/>
  <c r="AM22" i="1" s="1"/>
  <c r="M21" i="1"/>
  <c r="AM21" i="1" s="1"/>
  <c r="M20" i="1"/>
  <c r="AM20" i="1" s="1"/>
  <c r="M19" i="1"/>
  <c r="AM19" i="1" s="1"/>
  <c r="M18" i="1"/>
  <c r="AM18" i="1" s="1"/>
  <c r="M17" i="1"/>
  <c r="AM17" i="1" s="1"/>
  <c r="M38" i="1"/>
  <c r="AM38" i="1" s="1"/>
  <c r="M13" i="1"/>
  <c r="AM13" i="1" s="1"/>
  <c r="M16" i="1"/>
  <c r="AM16" i="1" s="1"/>
  <c r="M40" i="1"/>
  <c r="AM40" i="1" s="1"/>
  <c r="M42" i="1"/>
  <c r="AM42" i="1" s="1"/>
  <c r="M37" i="1"/>
  <c r="AM37" i="1" s="1"/>
  <c r="M44" i="1"/>
  <c r="M45" i="1"/>
  <c r="M36" i="1"/>
  <c r="AM36" i="1" s="1"/>
  <c r="M43" i="1"/>
  <c r="AM43" i="1" s="1"/>
  <c r="M94" i="1"/>
  <c r="AJ10" i="1"/>
  <c r="AJ98" i="1" s="1"/>
  <c r="AB10" i="1"/>
  <c r="AB98" i="1" s="1"/>
  <c r="AF57" i="1"/>
  <c r="X70" i="1"/>
  <c r="X53" i="1"/>
  <c r="X68" i="1"/>
  <c r="AH57" i="1"/>
  <c r="AD57" i="1"/>
  <c r="W94" i="1"/>
  <c r="X94" i="1" s="1"/>
  <c r="AC58" i="1"/>
  <c r="AG58" i="1"/>
  <c r="AE58" i="1"/>
  <c r="AH10" i="1"/>
  <c r="AF10" i="1"/>
  <c r="AF98" i="1" s="1"/>
  <c r="Z10" i="1"/>
  <c r="Z98" i="1" s="1"/>
  <c r="AD10" i="1"/>
  <c r="AD98" i="1" s="1"/>
  <c r="R70" i="1"/>
  <c r="R68" i="1"/>
  <c r="R102" i="1"/>
  <c r="Y58" i="1"/>
  <c r="R53" i="1"/>
  <c r="Z57" i="1"/>
  <c r="O58" i="1"/>
  <c r="Q94" i="1"/>
  <c r="R94" i="1" s="1"/>
  <c r="J57" i="1"/>
  <c r="U58" i="1"/>
  <c r="Q58" i="1"/>
  <c r="L57" i="1"/>
  <c r="P57" i="1"/>
  <c r="R57" i="1"/>
  <c r="V57" i="1"/>
  <c r="X57" i="1"/>
  <c r="V10" i="1"/>
  <c r="V98" i="1" s="1"/>
  <c r="X10" i="1"/>
  <c r="X98" i="1" s="1"/>
  <c r="U94" i="1"/>
  <c r="V94" i="1" s="1"/>
  <c r="F58" i="1"/>
  <c r="AI59" i="1"/>
  <c r="E58" i="1"/>
  <c r="G58" i="1"/>
  <c r="R10" i="1"/>
  <c r="P94" i="1"/>
  <c r="L84" i="1"/>
  <c r="M10" i="1"/>
  <c r="J84" i="1"/>
  <c r="P10" i="1"/>
  <c r="I8" i="10"/>
  <c r="I7" i="10"/>
  <c r="N57" i="1" l="1"/>
  <c r="AN57" i="1" s="1"/>
  <c r="AM57" i="1"/>
  <c r="N83" i="1"/>
  <c r="AN83" i="1" s="1"/>
  <c r="AM83" i="1"/>
  <c r="N53" i="1"/>
  <c r="AM53" i="1"/>
  <c r="AM44" i="1"/>
  <c r="N44" i="1"/>
  <c r="AM45" i="1"/>
  <c r="N45" i="1"/>
  <c r="N46" i="1"/>
  <c r="AM46" i="1"/>
  <c r="AJ58" i="1"/>
  <c r="T58" i="1"/>
  <c r="AB58" i="1"/>
  <c r="AF58" i="1"/>
  <c r="AM94" i="1"/>
  <c r="AH58" i="1"/>
  <c r="AM58" i="1"/>
  <c r="AH98" i="1"/>
  <c r="AD58" i="1"/>
  <c r="AC59" i="1"/>
  <c r="AE59" i="1"/>
  <c r="AF59" i="1" s="1"/>
  <c r="AG59" i="1"/>
  <c r="Z58" i="1"/>
  <c r="J58" i="1"/>
  <c r="Y59" i="1"/>
  <c r="N56" i="1"/>
  <c r="AN56" i="1" s="1"/>
  <c r="N81" i="1"/>
  <c r="N84" i="1"/>
  <c r="AN84" i="1" s="1"/>
  <c r="N77" i="1"/>
  <c r="O59" i="1"/>
  <c r="U59" i="1"/>
  <c r="Q59" i="1"/>
  <c r="L58" i="1"/>
  <c r="R58" i="1"/>
  <c r="P58" i="1"/>
  <c r="N58" i="1"/>
  <c r="X58" i="1"/>
  <c r="V58" i="1"/>
  <c r="I10" i="10"/>
  <c r="F59" i="1"/>
  <c r="AI60" i="1"/>
  <c r="E59" i="1"/>
  <c r="G59" i="1"/>
  <c r="AP95" i="1"/>
  <c r="AP96" i="1"/>
  <c r="AP97" i="1"/>
  <c r="AP98" i="1"/>
  <c r="AP99" i="1"/>
  <c r="AP100" i="1"/>
  <c r="AP101" i="1"/>
  <c r="AP103" i="1"/>
  <c r="AO83" i="1" l="1"/>
  <c r="AJ59" i="1"/>
  <c r="T59" i="1"/>
  <c r="AB59" i="1"/>
  <c r="AN58" i="1"/>
  <c r="AH59" i="1"/>
  <c r="AM59" i="1"/>
  <c r="AC60" i="1"/>
  <c r="AG60" i="1"/>
  <c r="AE60" i="1"/>
  <c r="J59" i="1"/>
  <c r="AD59" i="1"/>
  <c r="Z59" i="1"/>
  <c r="Y60" i="1"/>
  <c r="N102" i="1"/>
  <c r="O60" i="1"/>
  <c r="U60" i="1"/>
  <c r="Q60" i="1"/>
  <c r="L59" i="1"/>
  <c r="N59" i="1"/>
  <c r="P59" i="1"/>
  <c r="R59" i="1"/>
  <c r="V59" i="1"/>
  <c r="X59" i="1"/>
  <c r="E60" i="1"/>
  <c r="G60" i="1"/>
  <c r="AI61" i="1"/>
  <c r="F60" i="1"/>
  <c r="AO84" i="1"/>
  <c r="F94" i="1"/>
  <c r="E94" i="1"/>
  <c r="AJ60" i="1" l="1"/>
  <c r="T60" i="1"/>
  <c r="AB60" i="1"/>
  <c r="AF60" i="1"/>
  <c r="AN59" i="1"/>
  <c r="AH60" i="1"/>
  <c r="AM60" i="1"/>
  <c r="AC61" i="1"/>
  <c r="AG61" i="1"/>
  <c r="AE61" i="1"/>
  <c r="AF61" i="1" s="1"/>
  <c r="J60" i="1"/>
  <c r="AD60" i="1"/>
  <c r="Z60" i="1"/>
  <c r="Y61" i="1"/>
  <c r="O61" i="1"/>
  <c r="L60" i="1"/>
  <c r="P60" i="1"/>
  <c r="R60" i="1"/>
  <c r="N60" i="1"/>
  <c r="V60" i="1"/>
  <c r="X60" i="1"/>
  <c r="U61" i="1"/>
  <c r="Q61" i="1"/>
  <c r="E61" i="1"/>
  <c r="F61" i="1"/>
  <c r="G61" i="1"/>
  <c r="J94" i="1"/>
  <c r="L94" i="1"/>
  <c r="N94" i="1"/>
  <c r="AJ61" i="1" l="1"/>
  <c r="T61" i="1"/>
  <c r="AB61" i="1"/>
  <c r="AN60" i="1"/>
  <c r="AH61" i="1"/>
  <c r="AM61" i="1"/>
  <c r="AD61" i="1"/>
  <c r="Z61" i="1"/>
  <c r="J61" i="1"/>
  <c r="L61" i="1"/>
  <c r="N61" i="1"/>
  <c r="R61" i="1"/>
  <c r="P61" i="1"/>
  <c r="V61" i="1"/>
  <c r="X61" i="1"/>
  <c r="R96" i="1"/>
  <c r="I8" i="7"/>
  <c r="G8" i="7"/>
  <c r="F8" i="7"/>
  <c r="AN61" i="1" l="1"/>
  <c r="I7" i="7"/>
  <c r="I10" i="7" s="1"/>
  <c r="G7" i="7"/>
  <c r="F7" i="7"/>
  <c r="E84" i="1"/>
  <c r="F84" i="1"/>
  <c r="L96" i="1" l="1"/>
  <c r="J11" i="1"/>
  <c r="J12" i="1"/>
  <c r="J14" i="1"/>
  <c r="J15" i="1"/>
  <c r="J23" i="1"/>
  <c r="J27" i="1"/>
  <c r="J30" i="1"/>
  <c r="J31" i="1"/>
  <c r="J35" i="1"/>
  <c r="J39" i="1"/>
  <c r="J41" i="1"/>
  <c r="J62" i="1"/>
  <c r="J66" i="1"/>
  <c r="J73" i="1"/>
  <c r="J74" i="1"/>
  <c r="J77" i="1"/>
  <c r="J102" i="1" s="1"/>
  <c r="J79" i="1"/>
  <c r="J80" i="1"/>
  <c r="J85" i="1"/>
  <c r="J89" i="1"/>
  <c r="J90" i="1"/>
  <c r="R103" i="1" l="1"/>
  <c r="R101" i="1"/>
  <c r="R99" i="1"/>
  <c r="R98" i="1"/>
  <c r="R97" i="1"/>
  <c r="P104" i="1"/>
  <c r="P103" i="1"/>
  <c r="P101" i="1"/>
  <c r="P99" i="1"/>
  <c r="P98" i="1"/>
  <c r="P97" i="1"/>
  <c r="P96" i="1"/>
  <c r="N97" i="1"/>
  <c r="N96" i="1"/>
  <c r="L97" i="1"/>
  <c r="J97" i="1"/>
  <c r="J96" i="1"/>
  <c r="AN95" i="1"/>
  <c r="AO95" i="1" s="1"/>
  <c r="AM96" i="1"/>
  <c r="AM97" i="1"/>
  <c r="AM98" i="1"/>
  <c r="AM99" i="1"/>
  <c r="AM100" i="1"/>
  <c r="AM101" i="1"/>
  <c r="AM103" i="1"/>
  <c r="AM104" i="1"/>
  <c r="AM105" i="1"/>
  <c r="E10" i="1"/>
  <c r="F10" i="1"/>
  <c r="E11" i="1"/>
  <c r="F11" i="1"/>
  <c r="N11" i="1"/>
  <c r="E12" i="1"/>
  <c r="F12" i="1"/>
  <c r="N12" i="1"/>
  <c r="E13" i="1"/>
  <c r="F13" i="1"/>
  <c r="N13" i="1" s="1"/>
  <c r="E14" i="1"/>
  <c r="F14" i="1"/>
  <c r="N14" i="1"/>
  <c r="E15" i="1"/>
  <c r="F15" i="1"/>
  <c r="N15" i="1"/>
  <c r="E16" i="1"/>
  <c r="F16" i="1"/>
  <c r="E17" i="1"/>
  <c r="F17" i="1"/>
  <c r="E18" i="1"/>
  <c r="N18" i="1" s="1"/>
  <c r="F18" i="1"/>
  <c r="E19" i="1"/>
  <c r="F19" i="1"/>
  <c r="E20" i="1"/>
  <c r="N20" i="1" s="1"/>
  <c r="F20" i="1"/>
  <c r="E21" i="1"/>
  <c r="F21" i="1"/>
  <c r="E22" i="1"/>
  <c r="N22" i="1" s="1"/>
  <c r="F22" i="1"/>
  <c r="E23" i="1"/>
  <c r="F23" i="1"/>
  <c r="N23" i="1"/>
  <c r="E24" i="1"/>
  <c r="F24" i="1"/>
  <c r="E25" i="1"/>
  <c r="N25" i="1" s="1"/>
  <c r="F25" i="1"/>
  <c r="E26" i="1"/>
  <c r="F26" i="1"/>
  <c r="E27" i="1"/>
  <c r="F27" i="1"/>
  <c r="N27" i="1"/>
  <c r="E28" i="1"/>
  <c r="F28" i="1"/>
  <c r="E29" i="1"/>
  <c r="N29" i="1" s="1"/>
  <c r="F29" i="1"/>
  <c r="E30" i="1"/>
  <c r="F30" i="1"/>
  <c r="N30" i="1"/>
  <c r="E31" i="1"/>
  <c r="F31" i="1"/>
  <c r="N31" i="1"/>
  <c r="E32" i="1"/>
  <c r="F32" i="1"/>
  <c r="E33" i="1"/>
  <c r="N33" i="1" s="1"/>
  <c r="F33" i="1"/>
  <c r="E34" i="1"/>
  <c r="F34" i="1"/>
  <c r="N34" i="1" s="1"/>
  <c r="E35" i="1"/>
  <c r="F35" i="1"/>
  <c r="N35" i="1"/>
  <c r="E37" i="1"/>
  <c r="N37" i="1" s="1"/>
  <c r="F37" i="1"/>
  <c r="E38" i="1"/>
  <c r="F38" i="1"/>
  <c r="N38" i="1" s="1"/>
  <c r="E39" i="1"/>
  <c r="F39" i="1"/>
  <c r="N39" i="1"/>
  <c r="E40" i="1"/>
  <c r="N40" i="1" s="1"/>
  <c r="F40" i="1"/>
  <c r="E41" i="1"/>
  <c r="F41" i="1"/>
  <c r="N41" i="1"/>
  <c r="E42" i="1"/>
  <c r="N42" i="1" s="1"/>
  <c r="F42" i="1"/>
  <c r="E43" i="1"/>
  <c r="N43" i="1" s="1"/>
  <c r="F43" i="1"/>
  <c r="E46" i="1"/>
  <c r="F46" i="1"/>
  <c r="E47" i="1"/>
  <c r="F47" i="1"/>
  <c r="E48" i="1"/>
  <c r="N48" i="1" s="1"/>
  <c r="F48" i="1"/>
  <c r="E49" i="1"/>
  <c r="F49" i="1"/>
  <c r="N49" i="1"/>
  <c r="E50" i="1"/>
  <c r="F50" i="1"/>
  <c r="E51" i="1"/>
  <c r="N51" i="1" s="1"/>
  <c r="F51" i="1"/>
  <c r="E52" i="1"/>
  <c r="F52" i="1"/>
  <c r="N52" i="1" s="1"/>
  <c r="E54" i="1"/>
  <c r="F54" i="1"/>
  <c r="E55" i="1"/>
  <c r="N55" i="1" s="1"/>
  <c r="F55" i="1"/>
  <c r="E62" i="1"/>
  <c r="F62" i="1"/>
  <c r="N62" i="1"/>
  <c r="E63" i="1"/>
  <c r="F63" i="1"/>
  <c r="E64" i="1"/>
  <c r="N64" i="1" s="1"/>
  <c r="F64" i="1"/>
  <c r="E65" i="1"/>
  <c r="F65" i="1"/>
  <c r="E66" i="1"/>
  <c r="F66" i="1"/>
  <c r="N66" i="1"/>
  <c r="E67" i="1"/>
  <c r="F67" i="1"/>
  <c r="E68" i="1"/>
  <c r="N68" i="1" s="1"/>
  <c r="F68" i="1"/>
  <c r="E69" i="1"/>
  <c r="F69" i="1"/>
  <c r="E70" i="1"/>
  <c r="F70" i="1"/>
  <c r="E71" i="1"/>
  <c r="N71" i="1" s="1"/>
  <c r="F71" i="1"/>
  <c r="E72" i="1"/>
  <c r="N72" i="1" s="1"/>
  <c r="F72" i="1"/>
  <c r="E73" i="1"/>
  <c r="F73" i="1"/>
  <c r="N73" i="1"/>
  <c r="E74" i="1"/>
  <c r="F74" i="1"/>
  <c r="N74" i="1"/>
  <c r="E75" i="1"/>
  <c r="F75" i="1"/>
  <c r="N75" i="1"/>
  <c r="E76" i="1"/>
  <c r="F76" i="1"/>
  <c r="E79" i="1"/>
  <c r="F79" i="1"/>
  <c r="N79" i="1"/>
  <c r="E80" i="1"/>
  <c r="F80" i="1"/>
  <c r="N80" i="1"/>
  <c r="E82" i="1"/>
  <c r="N82" i="1" s="1"/>
  <c r="F82" i="1"/>
  <c r="E85" i="1"/>
  <c r="F85" i="1"/>
  <c r="N85" i="1"/>
  <c r="E86" i="1"/>
  <c r="F86" i="1"/>
  <c r="N86" i="1"/>
  <c r="E87" i="1"/>
  <c r="N87" i="1" s="1"/>
  <c r="F87" i="1"/>
  <c r="E89" i="1"/>
  <c r="F89" i="1"/>
  <c r="N89" i="1"/>
  <c r="E90" i="1"/>
  <c r="F90" i="1"/>
  <c r="N90" i="1"/>
  <c r="E91" i="1"/>
  <c r="F91" i="1"/>
  <c r="AN4" i="1"/>
  <c r="AM4" i="1"/>
  <c r="K4" i="1"/>
  <c r="M4" i="1" s="1"/>
  <c r="O4" i="1" s="1"/>
  <c r="Q4" i="1" s="1"/>
  <c r="AN96" i="1" l="1"/>
  <c r="U93" i="1"/>
  <c r="U92" i="1"/>
  <c r="AN97" i="1"/>
  <c r="G93" i="1"/>
  <c r="Q93" i="1"/>
  <c r="G92" i="1"/>
  <c r="Q92" i="1"/>
  <c r="E92" i="1"/>
  <c r="F92" i="1"/>
  <c r="E93" i="1"/>
  <c r="N67" i="1"/>
  <c r="N76" i="1"/>
  <c r="N70" i="1"/>
  <c r="N63" i="1"/>
  <c r="N21" i="1"/>
  <c r="N26" i="1"/>
  <c r="N54" i="1"/>
  <c r="N17" i="1"/>
  <c r="N91" i="1"/>
  <c r="L10" i="1"/>
  <c r="L98" i="1" s="1"/>
  <c r="J48" i="1"/>
  <c r="L48" i="1"/>
  <c r="J18" i="1"/>
  <c r="L18" i="1"/>
  <c r="J72" i="1"/>
  <c r="L72" i="1"/>
  <c r="L91" i="1"/>
  <c r="J29" i="1"/>
  <c r="L29" i="1"/>
  <c r="L64" i="1"/>
  <c r="J64" i="1"/>
  <c r="L67" i="1"/>
  <c r="J67" i="1"/>
  <c r="L54" i="1"/>
  <c r="J21" i="1"/>
  <c r="J17" i="1"/>
  <c r="L82" i="1"/>
  <c r="J82" i="1"/>
  <c r="L63" i="1"/>
  <c r="J76" i="1"/>
  <c r="L76" i="1"/>
  <c r="L43" i="1"/>
  <c r="J33" i="1"/>
  <c r="L33" i="1"/>
  <c r="J26" i="1"/>
  <c r="L26" i="1"/>
  <c r="L31" i="1"/>
  <c r="L87" i="1"/>
  <c r="J87" i="1"/>
  <c r="F93" i="1"/>
  <c r="L90" i="1"/>
  <c r="L77" i="1"/>
  <c r="N69" i="1"/>
  <c r="N50" i="1"/>
  <c r="N47" i="1"/>
  <c r="N32" i="1"/>
  <c r="L11" i="1"/>
  <c r="L74" i="1"/>
  <c r="L49" i="1"/>
  <c r="J49" i="1"/>
  <c r="L71" i="1"/>
  <c r="L62" i="1"/>
  <c r="L52" i="1"/>
  <c r="L25" i="1"/>
  <c r="J25" i="1"/>
  <c r="L22" i="1"/>
  <c r="J22" i="1"/>
  <c r="L13" i="1"/>
  <c r="J13" i="1"/>
  <c r="J99" i="1" s="1"/>
  <c r="L86" i="1"/>
  <c r="J86" i="1"/>
  <c r="L38" i="1"/>
  <c r="J38" i="1"/>
  <c r="L89" i="1"/>
  <c r="N65" i="1"/>
  <c r="N28" i="1"/>
  <c r="N19" i="1"/>
  <c r="N16" i="1"/>
  <c r="J34" i="1"/>
  <c r="L34" i="1"/>
  <c r="J20" i="1"/>
  <c r="L20" i="1"/>
  <c r="L80" i="1"/>
  <c r="L85" i="1"/>
  <c r="L73" i="1"/>
  <c r="L30" i="1"/>
  <c r="L27" i="1"/>
  <c r="L15" i="1"/>
  <c r="L68" i="1"/>
  <c r="L41" i="1"/>
  <c r="L79" i="1"/>
  <c r="L40" i="1"/>
  <c r="L37" i="1"/>
  <c r="J37" i="1"/>
  <c r="L12" i="1"/>
  <c r="L75" i="1"/>
  <c r="J75" i="1"/>
  <c r="L70" i="1"/>
  <c r="J55" i="1"/>
  <c r="L55" i="1"/>
  <c r="AN55" i="1" s="1"/>
  <c r="L51" i="1"/>
  <c r="J51" i="1"/>
  <c r="L42" i="1"/>
  <c r="L39" i="1"/>
  <c r="L35" i="1"/>
  <c r="N24" i="1"/>
  <c r="L66" i="1"/>
  <c r="L23" i="1"/>
  <c r="L14" i="1"/>
  <c r="AB93" i="1" l="1"/>
  <c r="T93" i="1"/>
  <c r="AB92" i="1"/>
  <c r="T92" i="1"/>
  <c r="AM93" i="1"/>
  <c r="AM92" i="1"/>
  <c r="AN25" i="1"/>
  <c r="AO25" i="1" s="1"/>
  <c r="AJ93" i="1"/>
  <c r="AL93" i="1"/>
  <c r="AJ92" i="1"/>
  <c r="AL92" i="1"/>
  <c r="AL100" i="1" s="1"/>
  <c r="AD93" i="1"/>
  <c r="AH93" i="1"/>
  <c r="AF93" i="1"/>
  <c r="AD92" i="1"/>
  <c r="AH92" i="1"/>
  <c r="AF92" i="1"/>
  <c r="X92" i="1"/>
  <c r="Z92" i="1"/>
  <c r="X93" i="1"/>
  <c r="Z93" i="1"/>
  <c r="Z100" i="1" s="1"/>
  <c r="Z105" i="1" s="1"/>
  <c r="Z106" i="1" s="1"/>
  <c r="AO55" i="1"/>
  <c r="V93" i="1"/>
  <c r="V92" i="1"/>
  <c r="V100" i="1" s="1"/>
  <c r="V105" i="1" s="1"/>
  <c r="V106" i="1" s="1"/>
  <c r="P93" i="1"/>
  <c r="R93" i="1"/>
  <c r="R92" i="1"/>
  <c r="L102" i="1"/>
  <c r="L92" i="1"/>
  <c r="P92" i="1"/>
  <c r="N92" i="1"/>
  <c r="N93" i="1"/>
  <c r="J92" i="1"/>
  <c r="R104" i="1"/>
  <c r="J10" i="1"/>
  <c r="J98" i="1" s="1"/>
  <c r="N10" i="1"/>
  <c r="J93" i="1"/>
  <c r="L17" i="1"/>
  <c r="L21" i="1"/>
  <c r="J54" i="1"/>
  <c r="AN54" i="1" s="1"/>
  <c r="L99" i="1"/>
  <c r="J43" i="1"/>
  <c r="J71" i="1"/>
  <c r="L101" i="1"/>
  <c r="J91" i="1"/>
  <c r="J40" i="1"/>
  <c r="J101" i="1"/>
  <c r="J42" i="1"/>
  <c r="J68" i="1"/>
  <c r="N99" i="1"/>
  <c r="N104" i="1"/>
  <c r="N103" i="1"/>
  <c r="J46" i="1"/>
  <c r="L46" i="1"/>
  <c r="J69" i="1"/>
  <c r="L69" i="1"/>
  <c r="L50" i="1"/>
  <c r="J50" i="1"/>
  <c r="L103" i="1"/>
  <c r="J103" i="1"/>
  <c r="J19" i="1"/>
  <c r="L19" i="1"/>
  <c r="L104" i="1"/>
  <c r="L93" i="1"/>
  <c r="L24" i="1"/>
  <c r="J24" i="1"/>
  <c r="J28" i="1"/>
  <c r="L28" i="1"/>
  <c r="L65" i="1"/>
  <c r="N101" i="1"/>
  <c r="J32" i="1"/>
  <c r="L32" i="1"/>
  <c r="L16" i="1"/>
  <c r="J16" i="1"/>
  <c r="J47" i="1"/>
  <c r="L47" i="1"/>
  <c r="J104" i="1" l="1"/>
  <c r="AO54" i="1"/>
  <c r="P100" i="1"/>
  <c r="P105" i="1" s="1"/>
  <c r="N98" i="1"/>
  <c r="L100" i="1"/>
  <c r="J52" i="1"/>
  <c r="J70" i="1"/>
  <c r="N100" i="1"/>
  <c r="P106" i="1" l="1"/>
  <c r="N105" i="1"/>
  <c r="L106" i="1"/>
  <c r="R100" i="1"/>
  <c r="J63" i="1"/>
  <c r="N106" i="1" l="1"/>
  <c r="R105" i="1"/>
  <c r="J65" i="1"/>
  <c r="J100" i="1"/>
  <c r="J106" i="1" s="1"/>
  <c r="R106" i="1" l="1"/>
  <c r="X100" i="1"/>
  <c r="X105" i="1" l="1"/>
  <c r="X106" i="1" s="1"/>
  <c r="AN75" i="1"/>
  <c r="AO75" i="1" s="1"/>
  <c r="AN77" i="1"/>
  <c r="AN81" i="1"/>
  <c r="AO81" i="1" s="1"/>
  <c r="AN91" i="1"/>
  <c r="AN16" i="1"/>
  <c r="AN19" i="1"/>
  <c r="AN93" i="1"/>
  <c r="AO93" i="1" s="1"/>
  <c r="AN18" i="1"/>
  <c r="AN92" i="1"/>
  <c r="AO92" i="1" s="1"/>
  <c r="S10" i="1"/>
  <c r="AM10" i="1" s="1"/>
  <c r="AN17" i="1"/>
  <c r="AN13" i="1"/>
  <c r="AN52" i="1"/>
  <c r="AO52" i="1" s="1"/>
  <c r="AN48" i="1"/>
  <c r="AO48" i="1" s="1"/>
  <c r="AN46" i="1"/>
  <c r="AO46" i="1" s="1"/>
  <c r="AN49" i="1"/>
  <c r="AO49" i="1" s="1"/>
  <c r="AN44" i="1"/>
  <c r="AO44" i="1" s="1"/>
  <c r="AN45" i="1"/>
  <c r="AO45" i="1" s="1"/>
  <c r="AN50" i="1"/>
  <c r="AO50" i="1" s="1"/>
  <c r="AN33" i="1"/>
  <c r="AN51" i="1"/>
  <c r="AO51" i="1" s="1"/>
  <c r="AN32" i="1"/>
  <c r="AN29" i="1"/>
  <c r="AN47" i="1"/>
  <c r="AO47" i="1" s="1"/>
  <c r="AN43" i="1"/>
  <c r="AO43" i="1" s="1"/>
  <c r="AN40" i="1"/>
  <c r="AO40" i="1" s="1"/>
  <c r="AN22" i="1"/>
  <c r="AN38" i="1"/>
  <c r="AO38" i="1" s="1"/>
  <c r="AN21" i="1"/>
  <c r="AN37" i="1"/>
  <c r="AO37" i="1" s="1"/>
  <c r="AN42" i="1"/>
  <c r="AO42" i="1" s="1"/>
  <c r="AN24" i="1"/>
  <c r="AN36" i="1"/>
  <c r="AO36" i="1" s="1"/>
  <c r="AN65" i="1"/>
  <c r="AO65" i="1" s="1"/>
  <c r="AN53" i="1"/>
  <c r="AO53" i="1" s="1"/>
  <c r="AN63" i="1"/>
  <c r="AO63" i="1" s="1"/>
  <c r="AN94" i="1"/>
  <c r="AN70" i="1"/>
  <c r="AO70" i="1" s="1"/>
  <c r="AN86" i="1"/>
  <c r="AO86" i="1" s="1"/>
  <c r="AN64" i="1"/>
  <c r="AO64" i="1" s="1"/>
  <c r="AN68" i="1"/>
  <c r="AO68" i="1" s="1"/>
  <c r="AN76" i="1"/>
  <c r="AN82" i="1"/>
  <c r="AO82" i="1" s="1"/>
  <c r="AN69" i="1"/>
  <c r="AO69" i="1" s="1"/>
  <c r="AN72" i="1"/>
  <c r="AO72" i="1" s="1"/>
  <c r="AN67" i="1"/>
  <c r="AO67" i="1" s="1"/>
  <c r="AN71" i="1"/>
  <c r="AO71" i="1" s="1"/>
  <c r="AN87" i="1"/>
  <c r="AO87" i="1" s="1"/>
  <c r="T10" i="1" l="1"/>
  <c r="AN10" i="1" s="1"/>
  <c r="AO94" i="1"/>
  <c r="T101" i="1"/>
  <c r="AN101" i="1" s="1"/>
  <c r="AO76" i="1"/>
  <c r="T104" i="1"/>
  <c r="AN104" i="1" s="1"/>
  <c r="AO91" i="1"/>
  <c r="T102" i="1"/>
  <c r="AN102" i="1" s="1"/>
  <c r="AO77" i="1"/>
  <c r="T99" i="1"/>
  <c r="AN99" i="1" s="1"/>
  <c r="AO13" i="1"/>
  <c r="AO19" i="1"/>
  <c r="AO16" i="1"/>
  <c r="AO29" i="1"/>
  <c r="T103" i="1"/>
  <c r="AN103" i="1" s="1"/>
  <c r="AO21" i="1"/>
  <c r="AO18" i="1"/>
  <c r="AO24" i="1"/>
  <c r="AO22" i="1"/>
  <c r="AO32" i="1"/>
  <c r="AN20" i="1"/>
  <c r="AN34" i="1"/>
  <c r="AN28" i="1"/>
  <c r="AO17" i="1"/>
  <c r="AO33" i="1"/>
  <c r="AN26" i="1"/>
  <c r="AO10" i="1" l="1"/>
  <c r="T100" i="1"/>
  <c r="AO26" i="1"/>
  <c r="AO34" i="1"/>
  <c r="AO20" i="1"/>
  <c r="AO28" i="1"/>
  <c r="T98" i="1"/>
  <c r="AN98" i="1" s="1"/>
  <c r="T105" i="1" l="1"/>
  <c r="T106" i="1" l="1"/>
  <c r="AD100" i="1"/>
  <c r="AD105" i="1" l="1"/>
  <c r="AD106" i="1" l="1"/>
  <c r="AH100" i="1"/>
  <c r="AH105" i="1" s="1"/>
  <c r="AH106" i="1" s="1"/>
  <c r="AF100" i="1"/>
  <c r="AF105" i="1" l="1"/>
  <c r="AF106" i="1" l="1"/>
  <c r="AJ100" i="1"/>
  <c r="AJ105" i="1" s="1"/>
  <c r="AJ106" i="1" l="1"/>
  <c r="AB100" i="1" l="1"/>
  <c r="AB105" i="1" l="1"/>
  <c r="AN100" i="1"/>
  <c r="AO106" i="1" l="1"/>
  <c r="AB106" i="1"/>
  <c r="AP105" i="1" l="1"/>
  <c r="AP106" i="1"/>
  <c r="AO10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tc={A7DCC2C2-8FEE-4B23-8824-A46C24045677}</author>
  </authors>
  <commentList>
    <comment ref="D19" authorId="0" shapeId="0" xr:uid="{A7DCC2C2-8FEE-4B23-8824-A46C24045677}">
      <text>
        <t>[הערה משורשרת]
גירסת Excel שברשותך מאפשרת לך לקרוא הערה משורשרת זו; עם זאת, כל שינויי העריכה שיתבצעו בה יוסרו אם הקובץ ייפתח בגירסה חדשה יותר של Excel. למידע נוסף: https://go.microsoft.com/fwlink/?linkid=870924
הערה:
    זה עבור א2!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tc={E3D27F6F-A49E-4369-8D1B-5A88D0C87D6C}</author>
  </authors>
  <commentList>
    <comment ref="D40" authorId="0" shapeId="0" xr:uid="{E3D27F6F-A49E-4369-8D1B-5A88D0C87D6C}">
      <text>
        <t>[הערה משורשרת]
גירסת Excel שברשותך מאפשרת לך לקרוא הערה משורשרת זו; עם זאת, כל שינויי העריכה שיתבצעו בה יוסרו אם הקובץ ייפתח בגירסה חדשה יותר של Excel. למידע נוסף: https://go.microsoft.com/fwlink/?linkid=870924
הערה:
    זה כולל גם את הדלת</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tc={3A68140B-C7AC-45FC-BE9A-DFA85A3FAD2A}</author>
    <author>tc={B004F278-103E-4573-8956-B0A9D3A8A482}</author>
    <author>tc={19D27A09-D869-4EB4-B1AE-799740F96BC1}</author>
  </authors>
  <commentList>
    <comment ref="D42" authorId="0" shapeId="0" xr:uid="{3A68140B-C7AC-45FC-BE9A-DFA85A3FAD2A}">
      <text>
        <t>[הערה משורשרת]
גירסת Excel שברשותך מאפשרת לך לקרוא הערה משורשרת זו; עם זאת, כל שינויי העריכה שיתבצעו בה יוסרו אם הקובץ ייפתח בגירסה חדשה יותר של Excel. למידע נוסף: https://go.microsoft.com/fwlink/?linkid=870924
הערה:
    הכל שם תריסי אור</t>
      </text>
    </comment>
    <comment ref="D48" authorId="1" shapeId="0" xr:uid="{B004F278-103E-4573-8956-B0A9D3A8A482}">
      <text>
        <t>[הערה משורשרת]
גירסת Excel שברשותך מאפשרת לך לקרוא הערה משורשרת זו; עם זאת, כל שינויי העריכה שיתבצעו בה יוסרו אם הקובץ ייפתח בגירסה חדשה יותר של Excel. למידע נוסף: https://go.microsoft.com/fwlink/?linkid=870924
הערה:
    תריסי אור כבדים יותר מתריסים רגילים, ולכן החישוב הוא מ"ר*10 מעגלים ועולים בדרגה אחת</t>
      </text>
    </comment>
    <comment ref="D64" authorId="2" shapeId="0" xr:uid="{19D27A09-D869-4EB4-B1AE-799740F96BC1}">
      <text>
        <t>[הערה משורשרת]
גירסת Excel שברשותך מאפשרת לך לקרוא הערה משורשרת זו; עם זאת, כל שינויי העריכה שיתבצעו בה יוסרו אם הקובץ ייפתח בגירסה חדשה יותר של Excel. למידע נוסף: https://go.microsoft.com/fwlink/?linkid=870924
הערה:
    לא יכול להיות שמפרקים יותר ממה שמחזירים</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tc={B3C36A14-F638-46BA-B16D-87B29A8CCC85}</author>
  </authors>
  <commentList>
    <comment ref="D17" authorId="0" shapeId="0" xr:uid="{B3C36A14-F638-46BA-B16D-87B29A8CCC85}">
      <text>
        <t>[הערה משורשרת]
גירסת Excel שברשותך מאפשרת לך לקרוא הערה משורשרת זו; עם זאת, כל שינויי העריכה שיתבצעו בה יוסרו אם הקובץ ייפתח בגירסה חדשה יותר של Excel. למידע נוסף: https://go.microsoft.com/fwlink/?linkid=870924
הערה:
    הכל פרופיל 9000</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tc={0EB04AF8-07EF-4FB2-9F50-4B7151FE0B2E}</author>
    <author>tc={86A41CC5-722B-45B9-AB31-C7145987066F}</author>
  </authors>
  <commentList>
    <comment ref="D18" authorId="0" shapeId="0" xr:uid="{0EB04AF8-07EF-4FB2-9F50-4B7151FE0B2E}">
      <text>
        <t>[הערה משורשרת]
גירסת Excel שברשותך מאפשרת לך לקרוא הערה משורשרת זו; עם זאת, כל שינויי העריכה שיתבצעו בה יוסרו אם הקובץ ייפתח בגירסה חדשה יותר של Excel. למידע נוסף: https://go.microsoft.com/fwlink/?linkid=870924
הערה:
    הכל 9000</t>
      </text>
    </comment>
    <comment ref="D44" authorId="1" shapeId="0" xr:uid="{86A41CC5-722B-45B9-AB31-C7145987066F}">
      <text>
        <t>[הערה משורשרת]
גירסת Excel שברשותך מאפשרת לך לקרוא הערה משורשרת זו; עם זאת, כל שינויי העריכה שיתבצעו בה יוסרו אם הקובץ ייפתח בגירסה חדשה יותר של Excel. למידע נוסף: https://go.microsoft.com/fwlink/?linkid=870924
הערה:
    פה זאת שאלה - ורק בדירה הזאת תיקנתי את זה. האם כולל גובה הארגז או לא? על הליפוף סביב המנוע ויתרנו</t>
      </text>
    </comment>
  </commentList>
</comments>
</file>

<file path=xl/sharedStrings.xml><?xml version="1.0" encoding="utf-8"?>
<sst xmlns="http://schemas.openxmlformats.org/spreadsheetml/2006/main" count="4238" uniqueCount="238">
  <si>
    <t>סעיף</t>
  </si>
  <si>
    <t>תאור</t>
  </si>
  <si>
    <t>יח'</t>
  </si>
  <si>
    <t/>
  </si>
  <si>
    <t>מ'</t>
  </si>
  <si>
    <t>09</t>
  </si>
  <si>
    <t>עבודות טיח</t>
  </si>
  <si>
    <t>09.011</t>
  </si>
  <si>
    <t>טיח פנים</t>
  </si>
  <si>
    <t>09.011.9030</t>
  </si>
  <si>
    <t>תיקוני טיח פנים קיים על שטחים מישוריים ברצועות רוחב מעל 15 ס"מ ועד 30 ס"מ לאחר הנחת קווי מים, חשמל וכד' בקירות, סביב משקופי חלונות ודלתות שהורכבו בקירות קיימים, במפגשים בין קירות ו/או תקרות חדשים לקיימים הכל לרבות סיתות והתאמת עובי הטיח החדש לקיים</t>
  </si>
  <si>
    <t>11</t>
  </si>
  <si>
    <t>עבודות צביעה</t>
  </si>
  <si>
    <t>11.011</t>
  </si>
  <si>
    <t>צבע וסיוד פנים, על טיח, בטון, בלוקים וגבס</t>
  </si>
  <si>
    <t>11.011.9660</t>
  </si>
  <si>
    <t>חידוש צבע פנים על קירות בדירת חדר מרוהטת בשטח 25-35 מ"ר ובגובה עד 2.70 מ'. הקירות ייצבעו בצבע אקרילי, ללא צביעת התקרות, לרבות הסרת צבע רופף, תיקונים קלים וסתימת חורים, ליטוש הקיר וניקוי שאריות הצבע בגמר העבודה</t>
  </si>
  <si>
    <t>קומפ</t>
  </si>
  <si>
    <t>12</t>
  </si>
  <si>
    <t>עבודות אלומיניום</t>
  </si>
  <si>
    <t>12.011</t>
  </si>
  <si>
    <t>חלון אלומיניום נגרר אגף על אגף (הזזה) של 2 אגפים ב-2 מסלולים</t>
  </si>
  <si>
    <t>12.011.0210</t>
  </si>
  <si>
    <t>חלון נגרר אגף על אגף של 2 אגפים ב-2 מסלולים מאולגן/צבוע כדוגמת קליל קלאסי 7000 או ש"ע, זכוכית שקופה בידודית 5+6+6 מ"מ, בשטח מעל 1.0 מ"ר ועד 2.0 מ"ר</t>
  </si>
  <si>
    <t>מ"ר</t>
  </si>
  <si>
    <t>12.011.0270</t>
  </si>
  <si>
    <t>חלון נגרר אגף על אגף של 2 אגפים ב-2 מסלולים מאולגן/צבוע כדוגמת קליל קלאסי 9000 או ש"ע, זכוכית שקופה בידודית מחוסמת דו צדדי 6+10+8 מ"מ, בשטח מעל 2.0 מ"ר ועד 3.0 מ"ר</t>
  </si>
  <si>
    <t>12.012.0100</t>
  </si>
  <si>
    <t>חלון נגרר אגף על אגף של 3 אגפים ב-3 מסלולים מאולגן/צבוע כדוגמת קליל קלאסי 9000 או ש"ע, זכוכית שקופה בידודית 5+6+6 מ"מ, בשטח מעל 1.0 מ"ר ועד 2.0 מ"ר</t>
  </si>
  <si>
    <t>12.011.1001</t>
  </si>
  <si>
    <t>תוספת עבור חלק קבוע בחלון נגרר אגף על אגף של 2 אגפים. התוספת הינה 15% למחיר מ"ר של החלון</t>
  </si>
  <si>
    <t>12.011.9000</t>
  </si>
  <si>
    <t>פירוק חלונות אלומיניום ומשקופיהם בשטח של עד 2 מ"ר</t>
  </si>
  <si>
    <t>12.011.9016</t>
  </si>
  <si>
    <t>פירוק חלונות אלומיניום ומשקופיהם בשטח של מעל 2 מ"ר ועד 3 מ"ר</t>
  </si>
  <si>
    <t>12.011.9017</t>
  </si>
  <si>
    <t>פירוק חלונות אלומיניום ומשקופיהם בשטח של מעל 3 מ"ר ועד 5 מ"ר</t>
  </si>
  <si>
    <t>12.014</t>
  </si>
  <si>
    <t>חלון אלומיניום ציר צד וחלון דו-צירי סב-נטוי (DREH-KIPP)</t>
  </si>
  <si>
    <t>12.014.0400</t>
  </si>
  <si>
    <t>חלון ציר-צד מאולגן/צבוע כדוגמת קליל קלאסי 4500 או ש"ע, זכוכית שקופה בידודית 5+6+6 מ"מ, בשטח מעל 0.6 מ"ר ועד 1.0 מ"ר</t>
  </si>
  <si>
    <t>12.014.0660</t>
  </si>
  <si>
    <t>חלון דו-צירי סב נטוי (דריי קיפ), מאולגן/צבוע כדוגמת קליל קלאסי 4500 או ש"ע, זכוכית שקופה בידודית מחוסמת דו צדדי 6+10+8 מ"מ, בשטח מעל 1.0 מ"ר ועד 2.0 מ"ר</t>
  </si>
  <si>
    <t>12.016</t>
  </si>
  <si>
    <t>חלון אלומיניום קיפ וחלון קבוע</t>
  </si>
  <si>
    <t>12.016.0600</t>
  </si>
  <si>
    <t>חלון קבוע כדוגמת קליל קלאסי 4500 או ש"ע, זכוכית שקופה בידודית 5+6+6 מ"מ, בשטח מעל 0.6 מ"ר ועד 1.0 מ"ר</t>
  </si>
  <si>
    <t>12.016.0610</t>
  </si>
  <si>
    <t>חלון קבוע כדוגמת קליל קלאסי 4500 או ש"ע, זכוכית שקופה בידודית 5+6+6 מ"מ, בשטח מעל 1.0 מ"ר ועד 2.0 מ"ר</t>
  </si>
  <si>
    <t>סה"כ לחלון אלומיניום קיפ וחלון קבוע</t>
  </si>
  <si>
    <t>12.052</t>
  </si>
  <si>
    <t>דלתות אלומיניום נגררות אגף על אגף (הזזה) של 3 אגפים ו-4 אגפים</t>
  </si>
  <si>
    <t>12.052.0020</t>
  </si>
  <si>
    <t>דלת נגררת אגף על אגף של 3 אגפים ב-3 מסלולים מאולגנת/צבועה כדוגמת קליל קלאסי 7000 או ש"ע, זכוכית מחוסמת בעובי 6 מ"מ, בשטח מעל 6.0 מ"ר ועד 8.0 מ"ר</t>
  </si>
  <si>
    <t>12.052.0070</t>
  </si>
  <si>
    <t>דלת נגררת אגף על אגף של 3 אגפים ב-3 מסלולים מאולגנת/צבועה כדוגמת קליל קלאסי 9000 או ש"ע, זכוכית מחוסמת בעובי 6 מ"מ, בשטח מעל 6.0 מ"ר ועד 8.0 מ"ר</t>
  </si>
  <si>
    <t>12.052.0080</t>
  </si>
  <si>
    <t>דלת נגררת אגף על אגף של 3 אגפים ב-3 מסלולים מאולגנת/צבועה כדוגמת קליל קלאסי 9000 או ש"ע, זכוכית מחוסמת בעובי 8 מ"מ, בשטח מעל 8.0 מ"ר ועד 10.0 מ"ר</t>
  </si>
  <si>
    <t>12.053</t>
  </si>
  <si>
    <t>דלתות אלומיניום ציריות</t>
  </si>
  <si>
    <t>12.053.0210</t>
  </si>
  <si>
    <t>דלת ציר אגף אחד מאולגנת/צבועה כדוגמת קליל 4500 או ש"ע, זכוכית מחוסמת בעובי 6 מ"מ, בשטח מעל 2.0 מ"ר ועד 3.0 מ"ר</t>
  </si>
  <si>
    <t>12.053.0450</t>
  </si>
  <si>
    <t>דלת ציר שני אגפים מאולגנת/צבועה כדוגמת קליל קלאסי 4500 או ש"ע, זכוכית מחוסמת בעובי 6 מ"מ, בשטח מעל 3.0 מ"ר ועד 4.0 מ"ר</t>
  </si>
  <si>
    <t>12.061</t>
  </si>
  <si>
    <t>ויטרינות כניסה מאלומיניום בשטחים ציבוריים</t>
  </si>
  <si>
    <t>12.061.9000</t>
  </si>
  <si>
    <t>פירוק ויטרינה מאלומיניום, לרבות המשקוף</t>
  </si>
  <si>
    <t>12.065</t>
  </si>
  <si>
    <t>תריסי רפפה ותריסי גלילה מאלומיניום ומנועים חשמליים לתריסים</t>
  </si>
  <si>
    <t>12.065.1613</t>
  </si>
  <si>
    <t>תריס גלילה עם רפפות מפח אלומיניום עם פוליאוריטן מוקצף לרבות ארגז תריס מונובלוק 40, בשטח מעל 1.0 מ"ר ועד 3.0 מ"ר</t>
  </si>
  <si>
    <t>12.065.1615</t>
  </si>
  <si>
    <t>תריס גלילה עם רפפות מפח אלומיניום עם פוליאוריטן מוקצף לרבות ארגז תריס מונובלוק 40, בשטח מעל 3.0 מ"ר ועד 6.0 מ"ר</t>
  </si>
  <si>
    <t>12.065.2000</t>
  </si>
  <si>
    <t>מנוע חשמלי לתריס במשקל עד 20 ק"ג, לא כולל נק' החשמל</t>
  </si>
  <si>
    <t>12.065.2010</t>
  </si>
  <si>
    <t>מנוע חשמלי לתריס במשקל מעל 20 ק"ג ועד 30 ק"ג, לא כולל נק' החשמל</t>
  </si>
  <si>
    <t>12.065.2020</t>
  </si>
  <si>
    <t>מנוע חשמלי לתריס במשקל מעל 30 ק"ג ועד 50 ק"ג, לא כולל נק' החשמל</t>
  </si>
  <si>
    <t>12.065.2030</t>
  </si>
  <si>
    <t>מנוע חשמלי לתריס במשקל מעל 50 ק"ג ועד 70 ק"ג, לא כולל נק' החשמל</t>
  </si>
  <si>
    <t>12.065.2040</t>
  </si>
  <si>
    <t>מנוע חשמלי לתריס במשקל מעל 70 ק"ג ועד 90 ק"ג, לא כולל נק' החשמל</t>
  </si>
  <si>
    <t>12.065.2050</t>
  </si>
  <si>
    <t>מנוע חשמלי לתריס במשקל מעל 90 ק"ג ועד 120 ק"ג, לא כולל נק' החשמל</t>
  </si>
  <si>
    <t>12.065.9000</t>
  </si>
  <si>
    <t>פירוק תריסי אלומיניום ומשקופיהם בשטח של עד 2 מ"ר</t>
  </si>
  <si>
    <t>12.065.9100</t>
  </si>
  <si>
    <t>פירוק ארגז תריס קיים במידות 35/100 ס"מ</t>
  </si>
  <si>
    <t>12.065.9110</t>
  </si>
  <si>
    <t>פירוק ארגז תריס קיים במידות 35/150 ס"מ</t>
  </si>
  <si>
    <t>12.067</t>
  </si>
  <si>
    <t>רשתות גלילה ורשתות יתושים</t>
  </si>
  <si>
    <t>12.067.9000</t>
  </si>
  <si>
    <t>פירוק רשתות יתושים, לרבות מסגרת</t>
  </si>
  <si>
    <t>12.067.0200</t>
  </si>
  <si>
    <t>רשת יתושים קטנה מפיברגלס, עבור חלון הזזה (הרשת על חצי הפתח) לרבות מסגרת מפרופיל אלומיניום מאולגן במידות 40/15 מ"מ, לרבות מסילה בתוך משקוף החלון, בשטח מעל 0.6 מ"ר ועד 1.0 מ"ר. המדידה לפי שטח הרשת</t>
  </si>
  <si>
    <t>רשת יתושים קטנה מפיברגלס, עבור חלון הזזה (הרשת על חצי הפתח) לרבות מסגרת מפרופיל אלומיניום מאולגן במידות 40/15 מ"מ, לרבות מסילה בתוך משקוף החלון, בשטח מעל 1.0 מ"ר ועד 2.0 מ"ר. המדידה לפי שטח הרשת</t>
  </si>
  <si>
    <t>12.068</t>
  </si>
  <si>
    <t xml:space="preserve"> זכוכית לזיגוג דלתות וחלונות, ציפויי חלונות וקירות וזכוכית לסגירת מרפסות</t>
  </si>
  <si>
    <t>12.068.1320</t>
  </si>
  <si>
    <t xml:space="preserve">זכוכית בטחון 5+5 מ"מ עם 0.76 P.V.B </t>
  </si>
  <si>
    <t>12.068.1216</t>
  </si>
  <si>
    <t>זכוכית שקופה בידודית מחוסמת משני הצדדים 6+10+8 מ"מ</t>
  </si>
  <si>
    <t>12.068.1172</t>
  </si>
  <si>
    <t>זכוכית שקופה בידודית מחוסמת משני הצדדים 5+6+6 מ"מ</t>
  </si>
  <si>
    <t>12.068.1004</t>
  </si>
  <si>
    <t>זכוכית שטוחה מחוסמת בעובי 6 מ"מ</t>
  </si>
  <si>
    <t>12.068.0902</t>
  </si>
  <si>
    <t>זכוכית שטוחה שקופה בעובי 5 מ"מ</t>
  </si>
  <si>
    <t>12.068.1002</t>
  </si>
  <si>
    <t>זכוכית שטוחה מחוסמת בעובי 5 מ"מ</t>
  </si>
  <si>
    <t>15</t>
  </si>
  <si>
    <t>מתקני מיזוג אוויר</t>
  </si>
  <si>
    <t>15.041</t>
  </si>
  <si>
    <t>מזגנים מפוצלים ויחידות מיני מרכזיות</t>
  </si>
  <si>
    <t>15.041.1210</t>
  </si>
  <si>
    <t>מזגן מפוצל אינוורטר (התקנה סטנדרטית) כדוגמת "אלקטרה" או ש"ע לתפוקת קירור נומינלית BTU/HR 12,000 (1.2 כ"ס) לרבות 2.0 מ"א ראשונים של צנרת גז וחשמל, מותקן מושלם</t>
  </si>
  <si>
    <t>15.041.4010</t>
  </si>
  <si>
    <t>צנרת גז וחשמל למזגן עם מעטה למיזוג אוויר (צמ"א) הכוללת 2 צינורות נחושת מבודדים בקטרים "1/2, "7/8, צינור חשמל עם כבל רב גידי, הכל מאוגד יחדיו בשרוול (מעל 2.0 מ"א הראשונים הכלולים במחיר התקנת מזגן), לרבות מילוי גז ושמן כנדרש לתוספת צנרת זו</t>
  </si>
  <si>
    <t>60</t>
  </si>
  <si>
    <t>מחירי שעות עבודה ושכירת ציוד</t>
  </si>
  <si>
    <t>60.020</t>
  </si>
  <si>
    <t xml:space="preserve">ש"ע פועלי בנין - מחירי קבלן משנה </t>
  </si>
  <si>
    <t>ש"ע</t>
  </si>
  <si>
    <t>60.030</t>
  </si>
  <si>
    <t>ש"ע לשכירת ציוד מכני הנדסי, רכב משא ומיכליות מים</t>
  </si>
  <si>
    <t>60.030.0605</t>
  </si>
  <si>
    <t>משאית מנוף 23-30 טון, אורך זרוע 15-20 מ' (כושר הרמה לפי מפרט היצרן). המחיר הינו לשעתיים עבודה</t>
  </si>
  <si>
    <t>60.030.0634</t>
  </si>
  <si>
    <t>משאית מנוף 55-70 טון, אורך זרוע 30-35 מ' (כושר הרמה לפי מפרט היצרן). המחיר הינו לשעתיים עבודה</t>
  </si>
  <si>
    <t>85</t>
  </si>
  <si>
    <t>חומרי איטום ובידוד תרמי</t>
  </si>
  <si>
    <t>85.095</t>
  </si>
  <si>
    <t>חומרים לבידוד תרמי ואקוסטי</t>
  </si>
  <si>
    <t>85.095.0950</t>
  </si>
  <si>
    <t>חומר בלבד: "דבטק" טקסאונד SY50 - יריעה פולימרית סינטטית לבידוד אקוסטי בעובי 2.5 מ"מ (מזרון דק), לא דליק, לקירות בבניין ותעשייה, משקל 5 ק"ג למ"ר - אריזת גליל 7.32 מ"ר, ברוחב 1.22 ובאורך 6.05 (המחיר ביח' לגליל)</t>
  </si>
  <si>
    <t>12.99.0001</t>
  </si>
  <si>
    <t>תוספת ידיות מיוחדות ומנגנון נעילה מיוחד לויטרינות</t>
  </si>
  <si>
    <t>12.99.0002</t>
  </si>
  <si>
    <t>תוספת ידיות מיוחדות ומנגנון נעילה מיוחד לחלונות</t>
  </si>
  <si>
    <t>מחיר</t>
  </si>
  <si>
    <t>הנחת קבלן 15%</t>
  </si>
  <si>
    <t>תוספת דירה מאוכלסת 5%</t>
  </si>
  <si>
    <t>סה"כ מחיר יחידה</t>
  </si>
  <si>
    <t>כמות למטלה</t>
  </si>
  <si>
    <t>כמות</t>
  </si>
  <si>
    <t>סה"כ לדירה</t>
  </si>
  <si>
    <t>חשבון מס'</t>
  </si>
  <si>
    <t>סה"כ</t>
  </si>
  <si>
    <t>סה"כ אחרי הנחה</t>
  </si>
  <si>
    <t>01 - עבודות עפר</t>
  </si>
  <si>
    <t>05 - עבודות איטום</t>
  </si>
  <si>
    <t>09 - עבודות טיח</t>
  </si>
  <si>
    <t>11 - עבודות צביעה</t>
  </si>
  <si>
    <t>12 - עבודות אלומיניום</t>
  </si>
  <si>
    <t>15 - מתקני מיזוג אוויר</t>
  </si>
  <si>
    <t>60 - מחירי שעות עבודה ושכירת ציוד</t>
  </si>
  <si>
    <t>85 - חומרי איטום ובידוד תרמי</t>
  </si>
  <si>
    <t>סה"כ עלות</t>
  </si>
  <si>
    <t>מע"מ בשיעור 18%</t>
  </si>
  <si>
    <t>60.020.0067</t>
  </si>
  <si>
    <t>צוות לעב' אלומיניום - 2 פועלים (מרכיב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</si>
  <si>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י"ע</t>
  </si>
  <si>
    <t>12.093.0022</t>
  </si>
  <si>
    <t>תוספת עבור צבע מטאלי Fine Iron במראה מתכתי ובמרקם חלק בכל הגוונים. התוספת הינה 6% למחירי החלונות</t>
  </si>
  <si>
    <t>%</t>
  </si>
  <si>
    <t>בדיקה</t>
  </si>
  <si>
    <t>60.010.0010</t>
  </si>
  <si>
    <t>פועל בנין מקצועי</t>
  </si>
  <si>
    <t>12.053.0200</t>
  </si>
  <si>
    <t>דלת ציר אגף אחד מאולגנת/צבועה כדוגמת קליל 4500 או ש"ע, זכוכית מחוסמת בעובי 6 מ"מ, בשטח עד 2.0 מ"ר</t>
  </si>
  <si>
    <t>12.065.1681</t>
  </si>
  <si>
    <t>תריס גלילה "תריס אור" עם רפפות מאלומיניום שחול (משוך) וחריצים גדולים בין השלבים, צבע לבן לרבות ארגז תריס מונובלוק 40, בשטח מעל 3.0 מ"ר ועד 6.0 מ"ר</t>
  </si>
  <si>
    <t>12.065.9020</t>
  </si>
  <si>
    <t>פירוק תריסי אלומיניום ומשקופיהם בשטח של מעל 2 מ"ר</t>
  </si>
  <si>
    <t>30.050.9010</t>
  </si>
  <si>
    <t>פירוק צלונים/וילונות ונציאניים מסוגים שונים לשימוש חוזר, לרבות קונסטרוקצית תליה וכבלים</t>
  </si>
  <si>
    <t>60.020.0090</t>
  </si>
  <si>
    <t>חשמלאי מוסמך</t>
  </si>
  <si>
    <t>וילונות - 30</t>
  </si>
  <si>
    <t>פירוק ארגז תריס קיים 35/200</t>
  </si>
  <si>
    <t>פירוק ארגז תריס קיים 35/250</t>
  </si>
  <si>
    <t>פירוק ארגז תריס קיים 35/300</t>
  </si>
  <si>
    <t>פירוק ארגז תריס קיים 35/350</t>
  </si>
  <si>
    <t>פירוק ארגז תריס קיים 35/400</t>
  </si>
  <si>
    <t>פירוק ארגז תריס קיים 35/450</t>
  </si>
  <si>
    <t>12.014.0650</t>
  </si>
  <si>
    <t>1. תכנית מיגון + מסמכים חתומים</t>
  </si>
  <si>
    <t>2. הזמנת עבודה</t>
  </si>
  <si>
    <t>3. סקיצות/מדידה + כמויות</t>
  </si>
  <si>
    <t>4. פרוטוקול מסירה- כולל חתימת מפקח (באחריותנו להעביר לכם כולל חתימה שלנו)</t>
  </si>
  <si>
    <t>5. צ'ק ליסט בקרת איכות</t>
  </si>
  <si>
    <t>6. אישור חשמלאי</t>
  </si>
  <si>
    <t>12.065.0001</t>
  </si>
  <si>
    <t>12.065.0002</t>
  </si>
  <si>
    <t>12.065.0003</t>
  </si>
  <si>
    <t>12.065.0004</t>
  </si>
  <si>
    <t>12.065.0005</t>
  </si>
  <si>
    <t>12.065.0006</t>
  </si>
  <si>
    <t>V</t>
  </si>
  <si>
    <t>אקובס לוי</t>
  </si>
  <si>
    <t>סנוף</t>
  </si>
  <si>
    <t>60.030.0644</t>
  </si>
  <si>
    <t>משאית מנוף 95-100 טון, אורך זרוע 35-40 מ' (כושר הרמה לפי מפרט היצרן). המחיר הינו לשעתיים עבודה</t>
  </si>
  <si>
    <t>בדיקה לרוחב</t>
  </si>
  <si>
    <t>בדיקה לגובה</t>
  </si>
  <si>
    <t>60.010.0020</t>
  </si>
  <si>
    <t>פועל בנין פשוט</t>
  </si>
  <si>
    <t>סה"כ כמות</t>
  </si>
  <si>
    <t>חשבון השלמה לחשבון 2</t>
  </si>
  <si>
    <t>כמות ירושלמי</t>
  </si>
  <si>
    <t>כמות ציוני</t>
  </si>
  <si>
    <t>השלמה לחשבון 2</t>
  </si>
  <si>
    <t>12.067.0210</t>
  </si>
  <si>
    <t>כתב כמויות תחנת מנחם בגין, חולון - מחירון דקל שיפוצים - מהדורת ינואר 26</t>
  </si>
  <si>
    <t>מלניק</t>
  </si>
  <si>
    <t>12.065.1710</t>
  </si>
  <si>
    <t>תריס גלילה "תריס אור" עם רפפות מפח אלומיניום עם פוליאוריטן מוקצף לרבות ארגז תריס מונובלוק 40, בשטח מעל 1.0 מ"ר ועד 3.0 מ"ר</t>
  </si>
  <si>
    <t>אורי</t>
  </si>
  <si>
    <t>לא יהיה</t>
  </si>
  <si>
    <t>מזל</t>
  </si>
  <si>
    <t>דורף</t>
  </si>
  <si>
    <t>צריך להחתים</t>
  </si>
  <si>
    <t>צריך להכין</t>
  </si>
  <si>
    <t>צריך להחתים
אחרי הזכוכית</t>
  </si>
  <si>
    <t>זליכה</t>
  </si>
  <si>
    <t>ארמה</t>
  </si>
  <si>
    <t>עבדי</t>
  </si>
  <si>
    <t>בן גרשון</t>
  </si>
  <si>
    <t>חודזייב</t>
  </si>
  <si>
    <t>חליפה</t>
  </si>
  <si>
    <t>פרימן</t>
  </si>
  <si>
    <t>בן יאיר</t>
  </si>
  <si>
    <t>30.050.0342</t>
  </si>
  <si>
    <r>
      <t>תוספת ל</t>
    </r>
    <r>
      <rPr>
        <sz val="11"/>
        <color theme="1"/>
        <rFont val="Arial"/>
        <family val="2"/>
        <charset val="177"/>
        <scheme val="minor"/>
      </rPr>
      <t>וילון</t>
    </r>
    <r>
      <rPr>
        <sz val="11"/>
        <color rgb="FF000000"/>
        <rFont val="Arial"/>
        <family val="2"/>
        <scheme val="minor"/>
      </rPr>
      <t> מסוג "דואט" תוצרת "אורגון" או ש"ע עבור מנוע </t>
    </r>
    <r>
      <rPr>
        <sz val="11"/>
        <color theme="1"/>
        <rFont val="Arial"/>
        <family val="2"/>
        <charset val="177"/>
        <scheme val="minor"/>
      </rPr>
      <t>חשמלי</t>
    </r>
    <r>
      <rPr>
        <sz val="11"/>
        <color rgb="FF000000"/>
        <rFont val="Arial"/>
        <family val="2"/>
        <scheme val="minor"/>
      </rPr>
      <t> 220 וולט מדגם V16 RTS להפעלה באמצעות שלט (לא כולל שלט). מחיר המנוע כולל חיבור לנקודת חשמל קיימת. (נקודת החשמל נמדדת בנפרד)</t>
    </r>
  </si>
  <si>
    <t>הפחתה 10% על ביטול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</si>
</sst>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_ &quot;₪&quot;\ * #,##0_ ;_ &quot;₪&quot;\ * \-#,##0_ ;_ &quot;₪&quot;\ * &quot;-&quot;??_ ;_ @_ "/>
    <numFmt numFmtId="165" formatCode="_ * #,##0.000_ ;_ * \-#,##0.000_ ;_ * &quot;-&quot;??_ ;_ @_ "/>
  </numFmts>
  <fonts count="13" x14ac:knownFonts="1">
    <font>
      <sz val="11"/>
      <color theme="1"/>
      <name val="Arial"/>
      <family val="2"/>
      <charset val="177"/>
      <scheme val="minor"/>
    </font>
    <font>
      <sz val="11"/>
      <color theme="1"/>
      <name val="Arial"/>
      <family val="2"/>
      <charset val="177"/>
      <scheme val="minor"/>
    </font>
    <font>
      <sz val="12"/>
      <color rgb="FF0000FF"/>
      <name val="Calibri"/>
      <family val="2"/>
    </font>
    <font>
      <b/>
      <sz val="11"/>
      <name val="Calibri"/>
      <family val="2"/>
    </font>
    <font>
      <sz val="11"/>
      <name val="Calibri"/>
      <family val="2"/>
    </font>
    <font>
      <b/>
      <sz val="9"/>
      <color rgb="FF222222"/>
      <name val="Arial"/>
      <family val="2"/>
    </font>
    <font>
      <sz val="10"/>
      <color rgb="FF333333"/>
      <name val="Arial"/>
      <family val="2"/>
    </font>
    <font>
      <sz val="14"/>
      <color theme="1"/>
      <name val="Arial"/>
      <family val="2"/>
      <charset val="177"/>
      <scheme val="minor"/>
    </font>
    <font>
      <b/>
      <sz val="14"/>
      <name val="Arial"/>
      <family val="2"/>
    </font>
    <font>
      <b/>
      <sz val="16"/>
      <color rgb="FF0000FF"/>
      <name val="Calibri"/>
      <family val="2"/>
    </font>
    <font>
      <sz val="12"/>
      <color rgb="FF000000"/>
      <name val="Aptos"/>
      <family val="2"/>
    </font>
    <font>
      <sz val="11"/>
      <color rgb="FF000000"/>
      <name val="Arial"/>
      <family val="2"/>
      <scheme val="minor"/>
    </font>
    <font>
      <sz val="9"/>
      <color indexed="81"/>
      <name val="Tahoma"/>
      <charset val="177"/>
    </font>
  </fonts>
  <fills count="5">
    <fill>
      <patternFill patternType="none"/>
    </fill>
    <fill>
      <patternFill patternType="gray125"/>
    </fill>
    <fill>
      <patternFill patternType="solid">
        <fgColor rgb="FFC8C8C8"/>
      </patternFill>
    </fill>
    <fill>
      <patternFill patternType="solid">
        <fgColor theme="5" tint="0.59999389629810485"/>
        <bgColor indexed="64"/>
      </patternFill>
    </fill>
    <fill>
      <patternFill patternType="solid">
        <fgColor rgb="FFFFFF00"/>
        <bgColor indexed="64"/>
      </patternFill>
    </fill>
  </fills>
  <borders count="32">
    <border>
      <left/>
      <right/>
      <top/>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auto="1"/>
      </left>
      <right style="thin">
        <color auto="1"/>
      </right>
      <top style="double">
        <color rgb="FF008000"/>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auto="1"/>
      </right>
      <top style="medium">
        <color indexed="64"/>
      </top>
      <bottom/>
      <diagonal/>
    </border>
    <border>
      <left/>
      <right style="thin">
        <color auto="1"/>
      </right>
      <top style="medium">
        <color indexed="64"/>
      </top>
      <bottom/>
      <diagonal/>
    </border>
    <border>
      <left/>
      <right/>
      <top style="medium">
        <color indexed="64"/>
      </top>
      <bottom/>
      <diagonal/>
    </border>
    <border>
      <left style="medium">
        <color indexed="64"/>
      </left>
      <right style="thin">
        <color auto="1"/>
      </right>
      <top/>
      <bottom style="medium">
        <color indexed="64"/>
      </bottom>
      <diagonal/>
    </border>
    <border>
      <left/>
      <right style="thin">
        <color auto="1"/>
      </right>
      <top/>
      <bottom style="medium">
        <color indexed="64"/>
      </bottom>
      <diagonal/>
    </border>
    <border>
      <left/>
      <right/>
      <top/>
      <bottom style="medium">
        <color indexed="64"/>
      </bottom>
      <diagonal/>
    </border>
    <border>
      <left style="thin">
        <color auto="1"/>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6">
    <xf numFmtId="0" fontId="0" fillId="0" borderId="0"/>
    <xf numFmtId="44" fontId="1"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cellStyleXfs>
  <cellXfs count="145">
    <xf numFmtId="0" fontId="0" fillId="0" borderId="0" xfId="0"/>
    <xf numFmtId="0" fontId="0" fillId="0" borderId="0" xfId="0" applyAlignment="1">
      <alignment wrapText="1"/>
    </xf>
    <xf numFmtId="0" fontId="0" fillId="0" borderId="2" xfId="0" applyBorder="1" applyAlignment="1">
      <alignment wrapText="1"/>
    </xf>
    <xf numFmtId="0" fontId="0" fillId="0" borderId="2" xfId="0" applyBorder="1" applyAlignment="1">
      <alignment shrinkToFit="1"/>
    </xf>
    <xf numFmtId="0" fontId="0" fillId="0" borderId="2" xfId="0" applyBorder="1"/>
    <xf numFmtId="49" fontId="2" fillId="0" borderId="2" xfId="0" applyNumberFormat="1" applyFont="1" applyBorder="1" applyAlignment="1">
      <alignment horizontal="left"/>
    </xf>
    <xf numFmtId="0" fontId="2" fillId="0" borderId="2" xfId="0" applyFont="1" applyBorder="1" applyAlignment="1">
      <alignment wrapText="1"/>
    </xf>
    <xf numFmtId="0" fontId="2" fillId="0" borderId="2" xfId="0" applyFont="1" applyBorder="1" applyAlignment="1">
      <alignment shrinkToFit="1"/>
    </xf>
    <xf numFmtId="164" fontId="2" fillId="0" borderId="2" xfId="1" applyNumberFormat="1" applyFont="1" applyBorder="1" applyAlignment="1">
      <alignment horizontal="right"/>
    </xf>
    <xf numFmtId="49" fontId="0" fillId="0" borderId="2" xfId="0" applyNumberFormat="1" applyBorder="1" applyAlignment="1">
      <alignment horizontal="left"/>
    </xf>
    <xf numFmtId="44" fontId="0" fillId="0" borderId="2" xfId="0" applyNumberFormat="1" applyBorder="1"/>
    <xf numFmtId="4" fontId="0" fillId="0" borderId="0" xfId="0" applyNumberFormat="1"/>
    <xf numFmtId="0" fontId="8" fillId="0" borderId="0" xfId="2" applyFont="1" applyAlignment="1">
      <alignment vertical="center"/>
    </xf>
    <xf numFmtId="0" fontId="4" fillId="0" borderId="0" xfId="2"/>
    <xf numFmtId="4" fontId="4" fillId="0" borderId="0" xfId="2" applyNumberFormat="1" applyAlignment="1">
      <alignment horizontal="right"/>
    </xf>
    <xf numFmtId="0" fontId="4" fillId="0" borderId="0" xfId="2" applyAlignment="1">
      <alignment horizontal="right"/>
    </xf>
    <xf numFmtId="0" fontId="4" fillId="0" borderId="4" xfId="2" applyBorder="1" applyAlignment="1">
      <alignment horizontal="left"/>
    </xf>
    <xf numFmtId="0" fontId="9" fillId="0" borderId="4" xfId="2" applyFont="1" applyBorder="1" applyAlignment="1">
      <alignment horizontal="right" wrapText="1"/>
    </xf>
    <xf numFmtId="0" fontId="4" fillId="0" borderId="4" xfId="2" applyBorder="1" applyAlignment="1">
      <alignment shrinkToFit="1"/>
    </xf>
    <xf numFmtId="4" fontId="4" fillId="0" borderId="4" xfId="2" applyNumberFormat="1" applyBorder="1" applyAlignment="1">
      <alignment horizontal="right"/>
    </xf>
    <xf numFmtId="0" fontId="4" fillId="0" borderId="4" xfId="2" applyBorder="1" applyAlignment="1">
      <alignment horizontal="right"/>
    </xf>
    <xf numFmtId="0" fontId="4" fillId="0" borderId="1" xfId="2" applyBorder="1" applyAlignment="1">
      <alignment horizontal="left"/>
    </xf>
    <xf numFmtId="0" fontId="4" fillId="0" borderId="1" xfId="2" applyBorder="1" applyAlignment="1">
      <alignment wrapText="1"/>
    </xf>
    <xf numFmtId="0" fontId="4" fillId="0" borderId="1" xfId="2" applyBorder="1" applyAlignment="1">
      <alignment shrinkToFit="1"/>
    </xf>
    <xf numFmtId="4" fontId="4" fillId="0" borderId="1" xfId="2" applyNumberFormat="1" applyBorder="1" applyAlignment="1">
      <alignment horizontal="right"/>
    </xf>
    <xf numFmtId="0" fontId="4" fillId="0" borderId="1" xfId="2" applyBorder="1" applyAlignment="1">
      <alignment horizontal="right"/>
    </xf>
    <xf numFmtId="9" fontId="0" fillId="0" borderId="1" xfId="3" applyFont="1" applyBorder="1" applyAlignment="1">
      <alignment horizontal="right"/>
    </xf>
    <xf numFmtId="0" fontId="2" fillId="0" borderId="0" xfId="2" applyFont="1"/>
    <xf numFmtId="49" fontId="3" fillId="0" borderId="1" xfId="2" applyNumberFormat="1" applyFont="1" applyBorder="1" applyAlignment="1">
      <alignment horizontal="left"/>
    </xf>
    <xf numFmtId="0" fontId="3" fillId="0" borderId="1" xfId="2" applyFont="1" applyBorder="1" applyAlignment="1">
      <alignment wrapText="1"/>
    </xf>
    <xf numFmtId="4" fontId="3" fillId="0" borderId="1" xfId="2" applyNumberFormat="1" applyFont="1" applyBorder="1" applyAlignment="1">
      <alignment horizontal="right"/>
    </xf>
    <xf numFmtId="0" fontId="4" fillId="0" borderId="1" xfId="2" applyBorder="1"/>
    <xf numFmtId="49" fontId="3" fillId="0" borderId="5" xfId="2" applyNumberFormat="1" applyFont="1" applyBorder="1" applyAlignment="1">
      <alignment horizontal="left"/>
    </xf>
    <xf numFmtId="0" fontId="3" fillId="0" borderId="5" xfId="2" applyFont="1" applyBorder="1" applyAlignment="1">
      <alignment wrapText="1"/>
    </xf>
    <xf numFmtId="0" fontId="4" fillId="0" borderId="5" xfId="2" applyBorder="1" applyAlignment="1">
      <alignment shrinkToFit="1"/>
    </xf>
    <xf numFmtId="4" fontId="4" fillId="0" borderId="5" xfId="2" applyNumberFormat="1" applyBorder="1" applyAlignment="1">
      <alignment horizontal="right"/>
    </xf>
    <xf numFmtId="0" fontId="4" fillId="0" borderId="5" xfId="2" applyBorder="1" applyAlignment="1">
      <alignment horizontal="right"/>
    </xf>
    <xf numFmtId="4" fontId="3" fillId="0" borderId="5" xfId="2" applyNumberFormat="1" applyFont="1" applyBorder="1" applyAlignment="1">
      <alignment horizontal="right"/>
    </xf>
    <xf numFmtId="0" fontId="4" fillId="0" borderId="0" xfId="2" applyAlignment="1">
      <alignment horizontal="left"/>
    </xf>
    <xf numFmtId="0" fontId="4" fillId="0" borderId="0" xfId="2" applyAlignment="1">
      <alignment shrinkToFit="1"/>
    </xf>
    <xf numFmtId="3" fontId="4" fillId="0" borderId="0" xfId="2" applyNumberFormat="1" applyAlignment="1">
      <alignment horizontal="right"/>
    </xf>
    <xf numFmtId="164" fontId="0" fillId="0" borderId="2" xfId="1" applyNumberFormat="1" applyFont="1" applyFill="1" applyBorder="1" applyAlignment="1">
      <alignment horizontal="right"/>
    </xf>
    <xf numFmtId="44" fontId="0" fillId="0" borderId="2" xfId="1" applyFont="1" applyFill="1" applyBorder="1" applyAlignment="1">
      <alignment horizontal="right"/>
    </xf>
    <xf numFmtId="49" fontId="3" fillId="0" borderId="2" xfId="0" applyNumberFormat="1" applyFont="1" applyBorder="1" applyAlignment="1">
      <alignment horizontal="left"/>
    </xf>
    <xf numFmtId="0" fontId="3" fillId="0" borderId="2" xfId="0" applyFont="1" applyBorder="1" applyAlignment="1">
      <alignment wrapText="1"/>
    </xf>
    <xf numFmtId="0" fontId="0" fillId="0" borderId="2" xfId="0" applyBorder="1" applyAlignment="1">
      <alignment horizontal="left"/>
    </xf>
    <xf numFmtId="0" fontId="4" fillId="0" borderId="2" xfId="0" applyFont="1" applyBorder="1" applyAlignment="1">
      <alignment wrapText="1"/>
    </xf>
    <xf numFmtId="0" fontId="0" fillId="0" borderId="2" xfId="0" applyBorder="1" applyAlignment="1">
      <alignment horizontal="right"/>
    </xf>
    <xf numFmtId="49" fontId="0" fillId="0" borderId="1" xfId="0" applyNumberFormat="1" applyBorder="1" applyAlignment="1">
      <alignment horizontal="left"/>
    </xf>
    <xf numFmtId="44" fontId="0" fillId="0" borderId="0" xfId="1" applyFont="1"/>
    <xf numFmtId="0" fontId="4" fillId="2" borderId="7" xfId="2" applyFill="1" applyBorder="1" applyAlignment="1">
      <alignment horizontal="left"/>
    </xf>
    <xf numFmtId="0" fontId="4" fillId="2" borderId="7" xfId="2" applyFill="1" applyBorder="1" applyAlignment="1">
      <alignment horizontal="right" wrapText="1"/>
    </xf>
    <xf numFmtId="0" fontId="4" fillId="2" borderId="7" xfId="2" applyFill="1" applyBorder="1" applyAlignment="1">
      <alignment horizontal="right" shrinkToFit="1"/>
    </xf>
    <xf numFmtId="4" fontId="4" fillId="2" borderId="7" xfId="2" applyNumberFormat="1" applyFill="1" applyBorder="1" applyAlignment="1">
      <alignment horizontal="right"/>
    </xf>
    <xf numFmtId="0" fontId="4" fillId="0" borderId="2" xfId="2" applyBorder="1" applyAlignment="1">
      <alignment horizontal="left"/>
    </xf>
    <xf numFmtId="0" fontId="4" fillId="0" borderId="2" xfId="2" applyBorder="1" applyAlignment="1">
      <alignment wrapText="1"/>
    </xf>
    <xf numFmtId="0" fontId="4" fillId="0" borderId="2" xfId="2" applyBorder="1" applyAlignment="1">
      <alignment shrinkToFit="1"/>
    </xf>
    <xf numFmtId="4" fontId="4" fillId="0" borderId="2" xfId="2" applyNumberFormat="1" applyBorder="1" applyAlignment="1">
      <alignment horizontal="right"/>
    </xf>
    <xf numFmtId="0" fontId="4" fillId="0" borderId="2" xfId="2" applyBorder="1" applyAlignment="1">
      <alignment horizontal="right"/>
    </xf>
    <xf numFmtId="49" fontId="2" fillId="0" borderId="2" xfId="2" applyNumberFormat="1" applyFont="1" applyBorder="1" applyAlignment="1">
      <alignment horizontal="left"/>
    </xf>
    <xf numFmtId="0" fontId="2" fillId="0" borderId="2" xfId="2" applyFont="1" applyBorder="1" applyAlignment="1">
      <alignment wrapText="1"/>
    </xf>
    <xf numFmtId="0" fontId="2" fillId="0" borderId="2" xfId="2" applyFont="1" applyBorder="1" applyAlignment="1">
      <alignment shrinkToFit="1"/>
    </xf>
    <xf numFmtId="4" fontId="2" fillId="0" borderId="2" xfId="2" applyNumberFormat="1" applyFont="1" applyBorder="1" applyAlignment="1">
      <alignment horizontal="right"/>
    </xf>
    <xf numFmtId="49" fontId="4" fillId="0" borderId="2" xfId="2" applyNumberFormat="1" applyBorder="1" applyAlignment="1">
      <alignment horizontal="left"/>
    </xf>
    <xf numFmtId="0" fontId="5" fillId="0" borderId="2" xfId="2" applyFont="1" applyBorder="1"/>
    <xf numFmtId="0" fontId="6" fillId="0" borderId="2" xfId="2" applyFont="1" applyBorder="1"/>
    <xf numFmtId="4" fontId="4" fillId="2" borderId="7" xfId="2" applyNumberFormat="1" applyFill="1" applyBorder="1" applyAlignment="1">
      <alignment horizontal="right" wrapText="1"/>
    </xf>
    <xf numFmtId="0" fontId="0" fillId="0" borderId="6" xfId="0" applyBorder="1"/>
    <xf numFmtId="0" fontId="0" fillId="0" borderId="12" xfId="0" applyBorder="1"/>
    <xf numFmtId="0" fontId="0" fillId="0" borderId="13" xfId="0" applyBorder="1"/>
    <xf numFmtId="44" fontId="0" fillId="0" borderId="13" xfId="1" applyFont="1" applyBorder="1"/>
    <xf numFmtId="44" fontId="0" fillId="0" borderId="13" xfId="1" applyFont="1" applyBorder="1" applyAlignment="1">
      <alignment horizontal="right"/>
    </xf>
    <xf numFmtId="0" fontId="0" fillId="0" borderId="14" xfId="0" applyBorder="1"/>
    <xf numFmtId="44" fontId="3" fillId="0" borderId="15" xfId="1" applyFont="1" applyBorder="1" applyAlignment="1">
      <alignment horizontal="right"/>
    </xf>
    <xf numFmtId="44" fontId="0" fillId="0" borderId="13" xfId="0" applyNumberFormat="1" applyBorder="1"/>
    <xf numFmtId="49" fontId="2" fillId="0" borderId="5" xfId="0" applyNumberFormat="1" applyFont="1" applyBorder="1" applyAlignment="1">
      <alignment horizontal="left"/>
    </xf>
    <xf numFmtId="0" fontId="2" fillId="0" borderId="5" xfId="0" applyFont="1" applyBorder="1" applyAlignment="1">
      <alignment wrapText="1"/>
    </xf>
    <xf numFmtId="0" fontId="2" fillId="0" borderId="5" xfId="0" applyFont="1" applyBorder="1" applyAlignment="1">
      <alignment shrinkToFit="1"/>
    </xf>
    <xf numFmtId="164" fontId="2" fillId="0" borderId="5" xfId="1" applyNumberFormat="1" applyFont="1" applyBorder="1" applyAlignment="1">
      <alignment horizontal="right"/>
    </xf>
    <xf numFmtId="0" fontId="0" fillId="0" borderId="5" xfId="0" applyBorder="1"/>
    <xf numFmtId="0" fontId="0" fillId="0" borderId="16" xfId="0" applyBorder="1"/>
    <xf numFmtId="0" fontId="0" fillId="0" borderId="17" xfId="0" applyBorder="1"/>
    <xf numFmtId="0" fontId="0" fillId="0" borderId="18" xfId="0" applyBorder="1"/>
    <xf numFmtId="44" fontId="0" fillId="0" borderId="18" xfId="1" applyFont="1" applyBorder="1"/>
    <xf numFmtId="164" fontId="0" fillId="2" borderId="22" xfId="1" applyNumberFormat="1" applyFont="1" applyFill="1" applyBorder="1" applyAlignment="1">
      <alignment horizontal="right" wrapText="1"/>
    </xf>
    <xf numFmtId="164" fontId="0" fillId="2" borderId="25" xfId="1" applyNumberFormat="1" applyFont="1" applyFill="1" applyBorder="1" applyAlignment="1">
      <alignment horizontal="right" wrapText="1"/>
    </xf>
    <xf numFmtId="44" fontId="0" fillId="2" borderId="25" xfId="1" applyFont="1" applyFill="1" applyBorder="1" applyAlignment="1">
      <alignment horizontal="right" wrapText="1"/>
    </xf>
    <xf numFmtId="44" fontId="3" fillId="4" borderId="15" xfId="1" applyFont="1" applyFill="1" applyBorder="1" applyAlignment="1">
      <alignment horizontal="right"/>
    </xf>
    <xf numFmtId="165" fontId="0" fillId="0" borderId="2" xfId="5" applyNumberFormat="1" applyFont="1" applyBorder="1"/>
    <xf numFmtId="0" fontId="8" fillId="0" borderId="0" xfId="2" applyFont="1" applyAlignment="1">
      <alignment horizontal="left" vertical="center"/>
    </xf>
    <xf numFmtId="0" fontId="4" fillId="0" borderId="1" xfId="2" applyBorder="1" applyAlignment="1">
      <alignment horizontal="left" wrapText="1"/>
    </xf>
    <xf numFmtId="0" fontId="0" fillId="0" borderId="0" xfId="0" applyAlignment="1">
      <alignment horizontal="left"/>
    </xf>
    <xf numFmtId="0" fontId="0" fillId="0" borderId="26" xfId="0" applyBorder="1"/>
    <xf numFmtId="44" fontId="0" fillId="0" borderId="0" xfId="0" applyNumberFormat="1"/>
    <xf numFmtId="0" fontId="10" fillId="0" borderId="2" xfId="0" applyFont="1" applyBorder="1" applyAlignment="1">
      <alignment horizontal="right" vertical="center" wrapText="1" indent="1" readingOrder="2"/>
    </xf>
    <xf numFmtId="44" fontId="0" fillId="0" borderId="2" xfId="1" applyFont="1" applyBorder="1"/>
    <xf numFmtId="4" fontId="4" fillId="0" borderId="1" xfId="2" applyNumberFormat="1" applyBorder="1"/>
    <xf numFmtId="0" fontId="0" fillId="0" borderId="29" xfId="0" applyBorder="1"/>
    <xf numFmtId="0" fontId="0" fillId="0" borderId="30" xfId="0" applyBorder="1"/>
    <xf numFmtId="44" fontId="0" fillId="0" borderId="30" xfId="1" applyFont="1" applyBorder="1"/>
    <xf numFmtId="44" fontId="0" fillId="0" borderId="30" xfId="1" applyFont="1" applyBorder="1" applyAlignment="1">
      <alignment horizontal="right"/>
    </xf>
    <xf numFmtId="44" fontId="3" fillId="0" borderId="31" xfId="1" applyFont="1" applyBorder="1" applyAlignment="1">
      <alignment horizontal="right"/>
    </xf>
    <xf numFmtId="2" fontId="0" fillId="0" borderId="0" xfId="0" applyNumberFormat="1"/>
    <xf numFmtId="2" fontId="0" fillId="2" borderId="22" xfId="1" applyNumberFormat="1" applyFont="1" applyFill="1" applyBorder="1" applyAlignment="1">
      <alignment horizontal="right" wrapText="1"/>
    </xf>
    <xf numFmtId="2" fontId="0" fillId="0" borderId="29" xfId="0" applyNumberFormat="1" applyBorder="1"/>
    <xf numFmtId="2" fontId="0" fillId="0" borderId="30" xfId="0" applyNumberFormat="1" applyBorder="1"/>
    <xf numFmtId="2" fontId="0" fillId="0" borderId="30" xfId="1" applyNumberFormat="1" applyFont="1" applyBorder="1"/>
    <xf numFmtId="2" fontId="0" fillId="0" borderId="30" xfId="1" applyNumberFormat="1" applyFont="1" applyBorder="1" applyAlignment="1">
      <alignment horizontal="right"/>
    </xf>
    <xf numFmtId="0" fontId="0" fillId="0" borderId="0" xfId="0" applyAlignment="1">
      <alignment horizontal="center"/>
    </xf>
    <xf numFmtId="164" fontId="0" fillId="2" borderId="19" xfId="1" applyNumberFormat="1" applyFont="1" applyFill="1" applyBorder="1" applyAlignment="1">
      <alignment vertical="center" wrapText="1"/>
    </xf>
    <xf numFmtId="164" fontId="0" fillId="2" borderId="20" xfId="1" applyNumberFormat="1" applyFont="1" applyFill="1" applyBorder="1" applyAlignment="1">
      <alignment vertical="center" wrapText="1"/>
    </xf>
    <xf numFmtId="2" fontId="0" fillId="0" borderId="2" xfId="0" applyNumberFormat="1" applyBorder="1"/>
    <xf numFmtId="4" fontId="4" fillId="0" borderId="0" xfId="2" applyNumberFormat="1"/>
    <xf numFmtId="4" fontId="3" fillId="0" borderId="1" xfId="2" applyNumberFormat="1" applyFont="1" applyBorder="1" applyAlignment="1">
      <alignment horizontal="right" wrapText="1"/>
    </xf>
    <xf numFmtId="0" fontId="0" fillId="4" borderId="14" xfId="0" applyFill="1" applyBorder="1" applyAlignment="1">
      <alignment wrapText="1"/>
    </xf>
    <xf numFmtId="0" fontId="0" fillId="3" borderId="27" xfId="0" applyFill="1" applyBorder="1" applyAlignment="1">
      <alignment horizontal="center"/>
    </xf>
    <xf numFmtId="0" fontId="0" fillId="3" borderId="28" xfId="0" applyFill="1" applyBorder="1" applyAlignment="1">
      <alignment horizontal="center"/>
    </xf>
    <xf numFmtId="3" fontId="0" fillId="3" borderId="12" xfId="0" applyNumberFormat="1" applyFill="1" applyBorder="1" applyAlignment="1">
      <alignment horizontal="center"/>
    </xf>
    <xf numFmtId="0" fontId="0" fillId="3" borderId="13"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164" fontId="0" fillId="2" borderId="21" xfId="1" applyNumberFormat="1" applyFont="1" applyFill="1" applyBorder="1" applyAlignment="1">
      <alignment horizontal="center" vertical="center" wrapText="1"/>
    </xf>
    <xf numFmtId="164" fontId="0" fillId="2" borderId="0" xfId="1" applyNumberFormat="1" applyFont="1" applyFill="1" applyBorder="1" applyAlignment="1">
      <alignment horizontal="center" vertical="center" wrapText="1"/>
    </xf>
    <xf numFmtId="164" fontId="0" fillId="2" borderId="24" xfId="1" applyNumberFormat="1" applyFont="1" applyFill="1" applyBorder="1" applyAlignment="1">
      <alignment horizontal="center" vertical="center" wrapText="1"/>
    </xf>
    <xf numFmtId="164" fontId="0" fillId="2" borderId="20" xfId="1" applyNumberFormat="1" applyFont="1" applyFill="1" applyBorder="1" applyAlignment="1">
      <alignment horizontal="center" vertical="center" wrapText="1"/>
    </xf>
    <xf numFmtId="164" fontId="0" fillId="2" borderId="3" xfId="1" applyNumberFormat="1" applyFont="1" applyFill="1" applyBorder="1" applyAlignment="1">
      <alignment horizontal="center" vertical="center" wrapText="1"/>
    </xf>
    <xf numFmtId="164" fontId="0" fillId="2" borderId="23" xfId="1" applyNumberFormat="1" applyFont="1" applyFill="1" applyBorder="1" applyAlignment="1">
      <alignment horizontal="center" vertical="center" wrapText="1"/>
    </xf>
    <xf numFmtId="164" fontId="0" fillId="2" borderId="9" xfId="1" applyNumberFormat="1" applyFont="1" applyFill="1" applyBorder="1" applyAlignment="1">
      <alignment horizontal="center" vertical="center" wrapText="1"/>
    </xf>
    <xf numFmtId="164" fontId="0" fillId="2" borderId="13" xfId="1" applyNumberFormat="1" applyFont="1" applyFill="1" applyBorder="1" applyAlignment="1">
      <alignment horizontal="center" vertical="center" wrapText="1"/>
    </xf>
    <xf numFmtId="164" fontId="0" fillId="2" borderId="15" xfId="1" applyNumberFormat="1" applyFont="1" applyFill="1" applyBorder="1" applyAlignment="1">
      <alignment horizontal="center" vertical="center" wrapText="1"/>
    </xf>
    <xf numFmtId="0" fontId="7" fillId="0" borderId="0" xfId="0" applyFont="1" applyAlignment="1">
      <alignment horizontal="center"/>
    </xf>
    <xf numFmtId="164" fontId="0" fillId="2" borderId="8" xfId="1" applyNumberFormat="1" applyFont="1" applyFill="1" applyBorder="1" applyAlignment="1">
      <alignment horizontal="center" vertical="center" wrapText="1"/>
    </xf>
    <xf numFmtId="164" fontId="0" fillId="2" borderId="12" xfId="1" applyNumberFormat="1" applyFont="1" applyFill="1" applyBorder="1" applyAlignment="1">
      <alignment horizontal="center" vertical="center" wrapText="1"/>
    </xf>
    <xf numFmtId="164" fontId="0" fillId="2" borderId="14" xfId="1" applyNumberFormat="1" applyFont="1" applyFill="1" applyBorder="1" applyAlignment="1">
      <alignment horizontal="center" vertical="center" wrapText="1"/>
    </xf>
    <xf numFmtId="0" fontId="0" fillId="3" borderId="12" xfId="0" applyFill="1" applyBorder="1" applyAlignment="1">
      <alignment horizontal="center"/>
    </xf>
    <xf numFmtId="0" fontId="0" fillId="0" borderId="0" xfId="0" applyAlignment="1">
      <alignment horizontal="center"/>
    </xf>
    <xf numFmtId="4" fontId="4" fillId="4" borderId="2" xfId="2" applyNumberFormat="1" applyFill="1" applyBorder="1" applyAlignment="1">
      <alignment horizontal="right"/>
    </xf>
    <xf numFmtId="4" fontId="4" fillId="4" borderId="1" xfId="2" applyNumberFormat="1" applyFill="1" applyBorder="1"/>
    <xf numFmtId="164" fontId="0" fillId="4" borderId="2" xfId="1" applyNumberFormat="1" applyFont="1" applyFill="1" applyBorder="1" applyAlignment="1">
      <alignment horizontal="right"/>
    </xf>
    <xf numFmtId="0" fontId="0" fillId="4" borderId="26" xfId="0" applyFill="1" applyBorder="1"/>
    <xf numFmtId="4" fontId="4" fillId="0" borderId="2" xfId="2" applyNumberFormat="1" applyFill="1" applyBorder="1" applyAlignment="1">
      <alignment horizontal="right"/>
    </xf>
    <xf numFmtId="44" fontId="4" fillId="0" borderId="0" xfId="2" applyNumberFormat="1" applyAlignment="1">
      <alignment horizontal="left"/>
    </xf>
    <xf numFmtId="4" fontId="0" fillId="0" borderId="26" xfId="0" applyNumberFormat="1" applyBorder="1"/>
  </cellXfs>
  <cellStyles count="6">
    <cellStyle name="Comma" xfId="5" builtinId="3"/>
    <cellStyle name="Comma 2" xfId="4" xr:uid="{86B75757-4F7A-4E64-8D76-1DB4F5FA90C3}"/>
    <cellStyle name="Currency" xfId="1" builtinId="4"/>
    <cellStyle name="Normal" xfId="0" builtinId="0"/>
    <cellStyle name="Normal 2" xfId="2" xr:uid="{7F847F3F-56A5-46AD-9FBB-6B4BA6FC1B4F}"/>
    <cellStyle name="Percent 2" xfId="3" xr:uid="{4B5B2219-0550-4469-B902-61E270626ECA}"/>
  </cellStyles>
  <dxfs count="54">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knempocoil-my.sharepoint.com/personal/office_kn-empo_co_il/Documents/OneDrive-Empo/&#1508;&#1512;&#1493;&#1497;&#1511;&#1496;&#1497;&#1501;%20&#1489;&#1489;&#1497;&#1510;&#1493;&#1506;/&#1504;&#1514;&#1506;/&#1495;&#1493;&#1500;&#1493;&#1503;/&#1495;&#1513;&#1489;&#1493;&#1504;&#1493;&#1514;/&#1495;&#1513;&#1489;&#1493;&#1503;%203/&#1495;&#1513;&#1489;&#1493;&#1503;%20&#1495;&#1500;&#1511;&#1497;%203%20&#1508;&#1493;&#1512;&#1502;&#1496;%20&#1504;&#1514;&#1506;.xlsx" TargetMode="External"/><Relationship Id="rId1" Type="http://schemas.openxmlformats.org/officeDocument/2006/relationships/externalLinkPath" Target="https://matrixil.sharepoint.com/sites/DanaENG_M1AcousticShield/Shared%20Documents/General/15_&#1511;&#1489;&#1500;&#1504;&#1497;&#1501;/&#1495;&#1513;&#1489;&#1493;&#1504;&#1493;&#1514;/&#1505;&#1502;&#1505;&#1493;&#1501;/&#1495;&#1513;&#1489;&#1493;&#1503;%204-%2007.26/&#1502;&#1488;&#1493;&#1513;&#1512;%20&#1502;&#1504;&#1492;&#1508;/&#1495;&#1513;&#1489;&#1493;&#1503;%20&#1495;&#1500;&#1511;&#1497;%203%20&#1508;&#1493;&#1512;&#1502;&#1496;%20&#1504;&#1514;&#150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knempocoil-my.sharepoint.com/personal/office_kn-empo_co_il/Documents/OneDrive-Empo/&#1508;&#1512;&#1493;&#1497;&#1511;&#1496;&#1497;&#1501;%20&#1489;&#1489;&#1497;&#1510;&#1493;&#1506;/&#1504;&#1514;&#1506;/&#1495;&#1493;&#1500;&#1493;&#1503;/&#1495;&#1513;&#1489;&#1493;&#1504;&#1493;&#1514;/&#1495;&#1513;&#1489;&#1493;&#1503;%203/&#1502;&#1497;&#1490;&#1493;&#1503;%20&#1488;&#1511;&#1493;&#1505;&#1496;&#1497;%20&#1502;&#1495;&#1497;&#1512;&#1493;&#1503;%20&#1500;&#1513;&#1500;&#1497;&#1495;&#1492;%20&#1502;&#1506;&#1493;&#1491;&#1499;&#1503;%20&#1502;&#1495;&#1497;&#1512;&#1493;&#1503;%20&#1497;&#1504;&#1493;&#1488;&#1512;.xlsx" TargetMode="External"/><Relationship Id="rId1" Type="http://schemas.openxmlformats.org/officeDocument/2006/relationships/externalLinkPath" Target="https://matrixil.sharepoint.com/personal/office_kn-empo_co_il/Documents/OneDrive-Empo/&#1508;&#1512;&#1493;&#1497;&#1511;&#1496;&#1497;&#1501;%20&#1489;&#1489;&#1497;&#1510;&#1493;&#1506;/&#1504;&#1514;&#1506;/&#1495;&#1493;&#1500;&#1493;&#1503;/&#1495;&#1513;&#1489;&#1493;&#1504;&#1493;&#1514;/&#1495;&#1513;&#1489;&#1493;&#1503;%203/&#1502;&#1497;&#1490;&#1493;&#1503;%20&#1488;&#1511;&#1493;&#1505;&#1496;&#1497;%20&#1502;&#1495;&#1497;&#1512;&#1493;&#1503;%20&#1500;&#1513;&#1500;&#1497;&#1495;&#1492;%20&#1502;&#1506;&#1493;&#1491;&#1499;&#1503;%20&#1502;&#1495;&#1497;&#1512;&#1493;&#1503;%20&#1497;&#1504;&#1493;&#1488;&#151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knempocoil-my.sharepoint.com/personal/office_kn-empo_co_il/Documents/OneDrive-Empo/&#1508;&#1512;&#1493;&#1497;&#1511;&#1496;&#1497;&#1501;%20&#1489;&#1489;&#1497;&#1510;&#1493;&#1506;/&#1504;&#1514;&#1506;/&#1492;&#1494;&#1502;&#1504;&#1514;%20&#1506;&#1489;&#1493;&#1491;&#1492;%201/&#1495;&#1513;&#1489;&#1493;&#1504;&#1493;&#1514;/&#1495;&#1513;&#1489;&#1493;&#1503;%201/&#1495;&#1513;&#1489;&#1493;&#1503;%20&#1495;&#1500;&#1511;&#1497;%201%20&#1508;&#1493;&#1512;&#1502;&#1496;%20&#1504;&#1514;&#1506;.xlsx" TargetMode="External"/><Relationship Id="rId1" Type="http://schemas.openxmlformats.org/officeDocument/2006/relationships/externalLinkPath" Target="https://matrixil.sharepoint.com/sites/DanaENG_M1AcousticShield/Shared%20Documents/General/15_&#1511;&#1489;&#1500;&#1504;&#1497;&#1501;/&#1495;&#1513;&#1489;&#1493;&#1504;&#1493;&#1514;/&#1505;&#1502;&#1505;&#1493;&#1501;/&#1495;&#1513;&#1489;&#1493;&#1503;%204-%2007.26/&#1502;&#1488;&#1493;&#1513;&#1512;%20&#1502;&#1504;&#1492;&#1508;/&#1495;&#1513;&#1489;&#1493;&#1503;%20&#1495;&#1500;&#1511;&#1497;%201%20&#1508;&#1493;&#1512;&#1502;&#1496;%20&#1504;&#1514;&#150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knempocoil-my.sharepoint.com/personal/office_kn-empo_co_il/Documents/OneDrive-Empo/&#1508;&#1512;&#1493;&#1497;&#1511;&#1496;&#1497;&#1501;%20&#1489;&#1489;&#1497;&#1510;&#1493;&#1506;/&#1504;&#1514;&#1506;/&#1495;&#1493;&#1500;&#1493;&#1503;/&#1495;&#1513;&#1489;&#1493;&#1504;&#1493;&#1514;/&#1495;&#1513;&#1489;&#1493;&#1503;%204/&#1495;&#1513;&#1489;&#1493;&#1503;%20&#1495;&#1500;&#1511;&#1497;%203.xlsx" TargetMode="External"/><Relationship Id="rId1" Type="http://schemas.openxmlformats.org/officeDocument/2006/relationships/externalLinkPath" Target="https://matrixil.sharepoint.com/personal/office_kn-empo_co_il/Documents/OneDrive-Empo/&#1508;&#1512;&#1493;&#1497;&#1511;&#1496;&#1497;&#1501;%20&#1489;&#1489;&#1497;&#1510;&#1493;&#1506;/&#1504;&#1514;&#1506;/&#1495;&#1493;&#1500;&#1493;&#1503;/&#1502;&#1504;&#1495;&#1501;%20&#1489;&#1490;&#1497;&#1503;%2048/&#1502;&#1494;&#1500;/&#1495;&#1513;&#1489;&#1493;&#1503;%20&#1495;&#1500;&#1511;&#1497;%203.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knempocoil-my.sharepoint.com/personal/office_kn-empo_co_il/Documents/OneDrive-Empo/&#1508;&#1512;&#1493;&#1497;&#1511;&#1496;&#1497;&#1501;%20&#1489;&#1489;&#1497;&#1510;&#1493;&#1506;/&#1504;&#1514;&#1506;/&#1495;&#1493;&#1500;&#1493;&#1503;/&#1495;&#1513;&#1489;&#1493;&#1504;&#1493;&#1514;/&#1495;&#1513;&#1489;&#1493;&#1503;%204/&#1495;&#1513;&#1489;&#1493;&#1503;%20&#1495;&#1500;&#1511;&#1497;%203.xlsx" TargetMode="External"/><Relationship Id="rId1" Type="http://schemas.openxmlformats.org/officeDocument/2006/relationships/externalLinkPath" Target="https://matrixil.sharepoint.com/personal/office_kn-empo_co_il/Documents/OneDrive-Empo/&#1508;&#1512;&#1493;&#1497;&#1511;&#1496;&#1497;&#1501;%20&#1489;&#1489;&#1497;&#1510;&#1493;&#1506;/&#1504;&#1514;&#1506;/&#1495;&#1493;&#1500;&#1493;&#1503;/&#1502;&#1513;&#1492;%20&#1512;&#1497;&#1504;&#1514;%2010/&#1488;&#1512;&#1502;&#1492;/&#1495;&#1513;&#1489;&#1493;&#1503;%20&#1495;&#1500;&#1511;&#1497;%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2 - אלומיניום"/>
      <sheetName val="8 - חשמל"/>
      <sheetName val="15 - מיזוג אוויר"/>
      <sheetName val="יתר סעיפי מחירון"/>
      <sheetName val="סעיפים חסרים"/>
      <sheetName val="ריכוז"/>
    </sheetNames>
    <sheetDataSet>
      <sheetData sheetId="0"/>
      <sheetData sheetId="1"/>
      <sheetData sheetId="2"/>
      <sheetData sheetId="3"/>
      <sheetData sheetId="4">
        <row r="1">
          <cell r="A1" t="str">
            <v>מחירון נובמבר 2025</v>
          </cell>
        </row>
        <row r="2">
          <cell r="A2" t="str">
            <v>סעיף</v>
          </cell>
          <cell r="B2" t="str">
            <v>תאור</v>
          </cell>
        </row>
        <row r="3">
          <cell r="A3" t="str">
            <v>09.011.9030</v>
          </cell>
          <cell r="B3" t="str">
            <v>תיקוני טיח פנים קיים על שטחים מישוריים ברצועות רוחב מעל 15 ס"מ ועד 30 ס"מ לאחר הנחת קווי מים, חשמל וכד' בקירות, סביב משקופי חלונות ודלתות שהורכבו בקירות קיימים, במפגשים בין קירות ו/או תקרות חדשים לקיימים הכל לרבות סיתות והתאמת עובי הטיח החדש לקיים</v>
          </cell>
        </row>
        <row r="4">
          <cell r="A4" t="str">
            <v>11.011.9660</v>
          </cell>
          <cell r="B4" t="str">
            <v>חידוש צבע פנים על קירות בדירת חדר מרוהטת בשטח 25-35 מ"ר ובגובה עד 2.70 מ'. הקירות ייצבעו בצבע אקרילי, ללא צביעת התקרות, לרבות הסרת צבע רופף, תיקונים קלים וסתימת חורים, ליטוש הקיר וניקוי שאריות הצבע בגמר העבודה</v>
          </cell>
        </row>
        <row r="5">
          <cell r="A5" t="str">
            <v>12.067.0201</v>
          </cell>
          <cell r="B5" t="str">
            <v>רשת יתושים קטנה מפיברגלס, עבור חלון הזזה (הרשת על חצי הפתח) לרבות מסגרת מפרופיל אלומיניום מאולגן במידות 40/15 מ"מ, לרבות מסילה בתוך משקוף החלון, בשטח מעל 1.0 מ"ר ועד 2.0 מ"ר. המדידה לפי שטח הרשת</v>
          </cell>
        </row>
        <row r="6">
          <cell r="A6" t="str">
            <v>12.068.1216</v>
          </cell>
          <cell r="B6" t="str">
            <v>זכוכית שקופה בידודית מחוסמת משני הצדדים 6+10+8 מ"מ</v>
          </cell>
        </row>
        <row r="7">
          <cell r="A7" t="str">
            <v>12.068.1172</v>
          </cell>
          <cell r="B7" t="str">
            <v>זכוכית שקופה בידודית מחוסמת משני הצדדים 5+6+6 מ"מ</v>
          </cell>
        </row>
        <row r="8">
          <cell r="A8" t="str">
            <v>15.041.1210</v>
          </cell>
          <cell r="B8" t="str">
            <v>מזגן מפוצל אינוורטר (התקנה סטנדרטית) כדוגמת "אלקטרה" או ש"ע לתפוקת קירור נומינלית BTU/HR 12,000 (1.2 כ"ס) לרבות 2.0 מ"א ראשונים של צנרת גז וחשמל, מותקן מושלם</v>
          </cell>
        </row>
        <row r="9">
          <cell r="A9" t="str">
            <v>15.041.4010</v>
          </cell>
          <cell r="B9" t="str">
            <v>צנרת גז וחשמל למזגן עם מעטה למיזוג אוויר (צמ"א) הכוללת 2 צינורות נחושת מבודדים בקטרים "1/2, "7/8, צינור חשמל עם כבל רב גידי, הכל מאוגד יחדיו בשרוול (מעל 2.0 מ"א הראשונים הכלולים במחיר התקנת מזגן), לרבות מילוי גז ושמן כנדרש לתוספת צנרת זו</v>
          </cell>
        </row>
        <row r="10">
          <cell r="A10" t="str">
            <v>60.020.0065</v>
          </cell>
          <cell r="B10" t="str">
            <v>זגג מקצועי</v>
          </cell>
        </row>
        <row r="11">
          <cell r="A11" t="str">
            <v>60.020.0067</v>
          </cell>
          <cell r="B11" t="str">
            <v>צוות לעב' אלומיניום - 2 פועלים (מרכיב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v>
          </cell>
        </row>
        <row r="12">
          <cell r="A12" t="str">
            <v>60.030.0605</v>
          </cell>
          <cell r="B12" t="str">
            <v>משאית מנוף 23-30 טון, אורך זרוע 15-20 מ' (כושר הרמה לפי מפרט היצרן). המחיר הינו לשעתיים עבודה</v>
          </cell>
        </row>
        <row r="13">
          <cell r="A13" t="str">
            <v>60.030.0634</v>
          </cell>
          <cell r="B13" t="str">
            <v>משאית מנוף 55-70 טון, אורך זרוע 30-35 מ' (כושר הרמה לפי מפרט היצרן). המחיר הינו לשעתיים עבודה</v>
          </cell>
        </row>
        <row r="14">
          <cell r="A14" t="str">
            <v>85.095.0950</v>
          </cell>
          <cell r="B14" t="str">
            <v>חומר בלבד: "דבטק" טקסאונד SY50 - יריעה פולימרית סינטטית לבידוד אקוסטי בעובי 2.5 מ"מ (מזרון דק), לא דליק, לקירות בבניין ותעשייה, משקל 5 ק"ג למ"ר - אריזת גליל 7.32 מ"ר, ברוחב 1.22 ובאורך 6.05 (המחיר ביח' לגליל)</v>
          </cell>
        </row>
        <row r="15">
          <cell r="A15" t="str">
            <v>12.99.0001</v>
          </cell>
          <cell r="B15" t="str">
            <v>תוספת ידיות מיוחדות ומנגנון נעילה מיוחד לויטרינות</v>
          </cell>
        </row>
        <row r="16">
          <cell r="A16" t="str">
            <v>12.99.0002</v>
          </cell>
          <cell r="B16" t="str">
            <v>תוספת ידיות מיוחדות ומנגנון נעילה מיוחד לחלונות</v>
          </cell>
        </row>
        <row r="17">
          <cell r="A17" t="str">
            <v>12.065.0001</v>
          </cell>
          <cell r="B17" t="str">
            <v>פירוק ארגז תריס קיים 35/200</v>
          </cell>
        </row>
        <row r="18">
          <cell r="A18" t="str">
            <v>12.065.0002</v>
          </cell>
          <cell r="B18" t="str">
            <v>פירוק ארגז תריס קיים 35/250</v>
          </cell>
        </row>
        <row r="19">
          <cell r="A19" t="str">
            <v>12.065.0003</v>
          </cell>
          <cell r="B19" t="str">
            <v>פירוק ארגז תריס קיים 35/300</v>
          </cell>
        </row>
        <row r="20">
          <cell r="A20" t="str">
            <v>12.065.0004</v>
          </cell>
          <cell r="B20" t="str">
            <v>פירוק ארגז תריס קיים 35/350</v>
          </cell>
        </row>
        <row r="21">
          <cell r="A21" t="str">
            <v>12.065.0005</v>
          </cell>
          <cell r="B21" t="str">
            <v>פירוק ארגז תריס קיים 35/400</v>
          </cell>
        </row>
        <row r="22">
          <cell r="A22" t="str">
            <v>12.065.0006</v>
          </cell>
          <cell r="B22" t="str">
            <v>פירוק ארגז תריס קיים 35/450</v>
          </cell>
        </row>
        <row r="23">
          <cell r="A23" t="str">
            <v>30.050.9010</v>
          </cell>
          <cell r="B23" t="str">
            <v>פירוק צלונים/וילונות ונציאניים מסוגים שונים לשימוש חוזר, לרבות קונסטרוקצית תליה וכבלים</v>
          </cell>
        </row>
        <row r="24">
          <cell r="A24" t="str">
            <v>60.020.0090</v>
          </cell>
          <cell r="B24" t="str">
            <v>חשמלאי מוסמך</v>
          </cell>
        </row>
        <row r="25">
          <cell r="A25" t="str">
            <v>60.010.0010</v>
          </cell>
          <cell r="B25" t="str">
            <v>פועל בנין מקצועי</v>
          </cell>
        </row>
        <row r="26">
          <cell r="A26" t="str">
            <v>12.042.1800</v>
          </cell>
          <cell r="B26" t="str">
            <v>מדבקה/התזת חול בדוגמא סטנדרטית. מדביקה בשטח הקטן מ-1.0 מ"ר ליחידה, יחושב כ-1.0 מ"ר
(הסעיף מופיע בפרק 22 במקור, כתבתי 12 כדי לא להוסיף פרק חדש רק בשביל מדבקה)</v>
          </cell>
        </row>
        <row r="27">
          <cell r="A27" t="str">
            <v>60.010.0020</v>
          </cell>
          <cell r="B27" t="str">
            <v>פועל בנין פשוט</v>
          </cell>
        </row>
        <row r="28">
          <cell r="A28" t="str">
            <v>60.030.0644</v>
          </cell>
          <cell r="B28" t="str">
            <v>משאית מנוף 95-100 טון, אורך זרוע 35-40 מ' (כושר הרמה לפי מפרט היצרן). המחיר הינו לשעתיים עבודה</v>
          </cell>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הצעה כספית זעטוט "/>
      <sheetName val="12 - אלומיניום"/>
      <sheetName val="8 - חשמל"/>
      <sheetName val="15 - מיזוג אוויר"/>
      <sheetName val="יתר סעיפי מחירון "/>
      <sheetName val="סעיפים חסרים"/>
      <sheetName val="ריכוז"/>
    </sheetNames>
    <sheetDataSet>
      <sheetData sheetId="0" refreshError="1"/>
      <sheetData sheetId="1" refreshError="1">
        <row r="1">
          <cell r="A1" t="str">
            <v>זעטוט הנדסה בע"מ</v>
          </cell>
        </row>
        <row r="3">
          <cell r="A3" t="str">
            <v>מחירון ינואר 2026</v>
          </cell>
        </row>
        <row r="4">
          <cell r="A4" t="str">
            <v>סעיף</v>
          </cell>
          <cell r="D4" t="str">
            <v>מחיר לפי מחירון</v>
          </cell>
        </row>
        <row r="5">
          <cell r="A5" t="str">
            <v>12.011.0200</v>
          </cell>
          <cell r="D5">
            <v>1970</v>
          </cell>
        </row>
        <row r="6">
          <cell r="A6" t="str">
            <v>12.011.0210</v>
          </cell>
          <cell r="D6">
            <v>1760</v>
          </cell>
        </row>
        <row r="7">
          <cell r="A7" t="str">
            <v>12.011.0220</v>
          </cell>
          <cell r="D7">
            <v>1660</v>
          </cell>
        </row>
        <row r="8">
          <cell r="A8" t="str">
            <v>12.011.0230</v>
          </cell>
          <cell r="D8">
            <v>1540</v>
          </cell>
        </row>
        <row r="9">
          <cell r="A9" t="str">
            <v>12.011.0260</v>
          </cell>
          <cell r="D9">
            <v>2440</v>
          </cell>
        </row>
        <row r="10">
          <cell r="A10" t="str">
            <v>12.011.0265</v>
          </cell>
          <cell r="D10">
            <v>2120</v>
          </cell>
        </row>
        <row r="11">
          <cell r="A11" t="str">
            <v>12.011.0270</v>
          </cell>
          <cell r="D11">
            <v>1980</v>
          </cell>
        </row>
        <row r="12">
          <cell r="A12" t="str">
            <v>12.011.0275</v>
          </cell>
          <cell r="D12">
            <v>1760</v>
          </cell>
        </row>
        <row r="13">
          <cell r="A13" t="str">
            <v>12.011.0280</v>
          </cell>
          <cell r="D13">
            <v>1630</v>
          </cell>
        </row>
        <row r="14">
          <cell r="A14" t="str">
            <v>12.011.0285</v>
          </cell>
          <cell r="D14">
            <v>1490</v>
          </cell>
        </row>
        <row r="15">
          <cell r="A15" t="str">
            <v>12.011.0300</v>
          </cell>
          <cell r="D15">
            <v>1740</v>
          </cell>
        </row>
        <row r="16">
          <cell r="A16" t="str">
            <v>12.011.0310</v>
          </cell>
          <cell r="D16">
            <v>1440</v>
          </cell>
        </row>
        <row r="17">
          <cell r="A17" t="str">
            <v>12.011.0320</v>
          </cell>
          <cell r="D17">
            <v>1340</v>
          </cell>
        </row>
        <row r="18">
          <cell r="A18" t="str">
            <v>12.011.0340</v>
          </cell>
          <cell r="D18">
            <v>2780</v>
          </cell>
        </row>
        <row r="19">
          <cell r="A19" t="str">
            <v>12.011.0345</v>
          </cell>
          <cell r="D19">
            <v>2480</v>
          </cell>
        </row>
        <row r="20">
          <cell r="A20" t="str">
            <v>12.011.0350</v>
          </cell>
          <cell r="D20">
            <v>2330</v>
          </cell>
        </row>
        <row r="21">
          <cell r="A21" t="str">
            <v>12.011.0355</v>
          </cell>
          <cell r="D21">
            <v>2120</v>
          </cell>
        </row>
        <row r="22">
          <cell r="A22" t="str">
            <v>12.011.0371</v>
          </cell>
          <cell r="D22">
            <v>0.1</v>
          </cell>
        </row>
        <row r="23">
          <cell r="A23" t="str">
            <v>12.011.0980</v>
          </cell>
          <cell r="D23">
            <v>140</v>
          </cell>
        </row>
        <row r="24">
          <cell r="A24" t="str">
            <v>12.011.0990</v>
          </cell>
          <cell r="D24">
            <v>142</v>
          </cell>
        </row>
        <row r="25">
          <cell r="A25" t="str">
            <v>12.011.0992</v>
          </cell>
          <cell r="D25">
            <v>97</v>
          </cell>
        </row>
        <row r="26">
          <cell r="A26" t="str">
            <v>12.011.1001</v>
          </cell>
          <cell r="D26">
            <v>0.15</v>
          </cell>
        </row>
        <row r="27">
          <cell r="A27" t="str">
            <v>12.011.9000</v>
          </cell>
          <cell r="D27">
            <v>140</v>
          </cell>
        </row>
        <row r="28">
          <cell r="A28" t="str">
            <v>12.011.9010</v>
          </cell>
          <cell r="D28">
            <v>230</v>
          </cell>
        </row>
        <row r="29">
          <cell r="A29" t="str">
            <v>12.011.9016</v>
          </cell>
          <cell r="D29">
            <v>240</v>
          </cell>
        </row>
        <row r="30">
          <cell r="A30" t="str">
            <v>12.011.9017</v>
          </cell>
          <cell r="D30">
            <v>310</v>
          </cell>
        </row>
        <row r="31">
          <cell r="A31" t="str">
            <v>12.011.9100</v>
          </cell>
          <cell r="D31">
            <v>610</v>
          </cell>
        </row>
        <row r="32">
          <cell r="A32" t="str">
            <v>12.011.9200</v>
          </cell>
          <cell r="D32">
            <v>162</v>
          </cell>
        </row>
        <row r="33">
          <cell r="A33" t="str">
            <v>12.011.9210</v>
          </cell>
          <cell r="D33">
            <v>94</v>
          </cell>
        </row>
        <row r="34">
          <cell r="A34" t="str">
            <v>12.011.9220</v>
          </cell>
          <cell r="D34">
            <v>37</v>
          </cell>
        </row>
        <row r="35">
          <cell r="A35" t="str">
            <v>12.011.9230</v>
          </cell>
          <cell r="D35">
            <v>80</v>
          </cell>
        </row>
        <row r="36">
          <cell r="A36" t="str">
            <v>12.011.9300</v>
          </cell>
          <cell r="D36">
            <v>720</v>
          </cell>
        </row>
        <row r="37">
          <cell r="A37" t="str">
            <v>12.011.9310</v>
          </cell>
          <cell r="D37">
            <v>800</v>
          </cell>
        </row>
        <row r="38">
          <cell r="A38" t="str">
            <v>12.012.0010</v>
          </cell>
          <cell r="D38">
            <v>2190</v>
          </cell>
        </row>
        <row r="39">
          <cell r="A39" t="str">
            <v>12.012.0020</v>
          </cell>
          <cell r="D39">
            <v>1970</v>
          </cell>
        </row>
        <row r="40">
          <cell r="A40" t="str">
            <v>12.012.0030</v>
          </cell>
          <cell r="D40">
            <v>1930</v>
          </cell>
        </row>
        <row r="41">
          <cell r="A41" t="str">
            <v>12.012.0100</v>
          </cell>
          <cell r="D41">
            <v>2210</v>
          </cell>
        </row>
        <row r="42">
          <cell r="A42" t="str">
            <v>12.012.0110</v>
          </cell>
          <cell r="D42">
            <v>2110</v>
          </cell>
        </row>
        <row r="43">
          <cell r="A43" t="str">
            <v>12.012.0120</v>
          </cell>
          <cell r="D43">
            <v>2060</v>
          </cell>
        </row>
        <row r="44">
          <cell r="A44" t="str">
            <v>12.012.0130</v>
          </cell>
          <cell r="D44">
            <v>1970</v>
          </cell>
        </row>
        <row r="45">
          <cell r="A45" t="str">
            <v>12.012.0200</v>
          </cell>
          <cell r="D45">
            <v>2280</v>
          </cell>
        </row>
        <row r="46">
          <cell r="A46" t="str">
            <v>12.012.0210</v>
          </cell>
          <cell r="D46">
            <v>2100</v>
          </cell>
        </row>
        <row r="47">
          <cell r="A47" t="str">
            <v>12.012.0220</v>
          </cell>
          <cell r="D47">
            <v>1840</v>
          </cell>
        </row>
        <row r="48">
          <cell r="A48" t="str">
            <v>12.012.0230</v>
          </cell>
          <cell r="D48">
            <v>1670</v>
          </cell>
        </row>
        <row r="49">
          <cell r="A49" t="str">
            <v>12.012.0300</v>
          </cell>
          <cell r="D49">
            <v>2050</v>
          </cell>
        </row>
        <row r="50">
          <cell r="A50" t="str">
            <v>12.012.0310</v>
          </cell>
          <cell r="D50">
            <v>1890</v>
          </cell>
        </row>
        <row r="51">
          <cell r="A51" t="str">
            <v>12.012.0320</v>
          </cell>
          <cell r="D51">
            <v>1820</v>
          </cell>
        </row>
        <row r="52">
          <cell r="A52" t="str">
            <v>12.012.0330</v>
          </cell>
          <cell r="D52">
            <v>1650</v>
          </cell>
        </row>
        <row r="53">
          <cell r="A53" t="str">
            <v>12.012.0500</v>
          </cell>
          <cell r="D53">
            <v>2040</v>
          </cell>
        </row>
        <row r="54">
          <cell r="A54" t="str">
            <v>12.012.0510</v>
          </cell>
          <cell r="D54">
            <v>1980</v>
          </cell>
        </row>
        <row r="55">
          <cell r="A55" t="str">
            <v>12.012.0520</v>
          </cell>
          <cell r="D55">
            <v>1820</v>
          </cell>
        </row>
        <row r="56">
          <cell r="A56" t="str">
            <v>12.012.0530</v>
          </cell>
          <cell r="D56">
            <v>1610</v>
          </cell>
        </row>
        <row r="57">
          <cell r="A57" t="str">
            <v>12.012.0551</v>
          </cell>
          <cell r="D57">
            <v>2299</v>
          </cell>
        </row>
        <row r="58">
          <cell r="A58" t="str">
            <v>12.012.0560</v>
          </cell>
          <cell r="D58">
            <v>2300</v>
          </cell>
        </row>
        <row r="59">
          <cell r="A59" t="str">
            <v>12.012.0570</v>
          </cell>
          <cell r="D59">
            <v>2110</v>
          </cell>
        </row>
        <row r="60">
          <cell r="A60" t="str">
            <v>12.012.0580</v>
          </cell>
          <cell r="D60">
            <v>1950</v>
          </cell>
        </row>
        <row r="61">
          <cell r="A61" t="str">
            <v>12.012.0700</v>
          </cell>
          <cell r="D61">
            <v>1670</v>
          </cell>
        </row>
        <row r="62">
          <cell r="A62" t="str">
            <v>12.012.0710</v>
          </cell>
          <cell r="D62">
            <v>1530</v>
          </cell>
        </row>
        <row r="63">
          <cell r="A63" t="str">
            <v>12.012.0720</v>
          </cell>
          <cell r="D63">
            <v>1470</v>
          </cell>
        </row>
        <row r="64">
          <cell r="A64" t="str">
            <v>12.012.0750</v>
          </cell>
          <cell r="D64">
            <v>2160</v>
          </cell>
        </row>
        <row r="65">
          <cell r="A65" t="str">
            <v>12.012.0755</v>
          </cell>
          <cell r="D65">
            <v>2130</v>
          </cell>
        </row>
        <row r="66">
          <cell r="A66" t="str">
            <v>12.012.0760</v>
          </cell>
          <cell r="D66">
            <v>1880</v>
          </cell>
        </row>
        <row r="67">
          <cell r="A67" t="str">
            <v>12.012.0765</v>
          </cell>
          <cell r="D67">
            <v>1740</v>
          </cell>
        </row>
        <row r="68">
          <cell r="A68" t="str">
            <v>12.012.0781</v>
          </cell>
          <cell r="D68">
            <v>0.15</v>
          </cell>
        </row>
        <row r="69">
          <cell r="A69" t="str">
            <v>12.012.0980</v>
          </cell>
          <cell r="D69">
            <v>140</v>
          </cell>
        </row>
        <row r="70">
          <cell r="A70" t="str">
            <v>12.012.1001</v>
          </cell>
          <cell r="D70">
            <v>0.15</v>
          </cell>
        </row>
        <row r="71">
          <cell r="A71" t="str">
            <v>12.013.0012</v>
          </cell>
          <cell r="D71">
            <v>3760</v>
          </cell>
        </row>
        <row r="72">
          <cell r="A72" t="str">
            <v>12.013.0021</v>
          </cell>
          <cell r="D72">
            <v>3670</v>
          </cell>
        </row>
        <row r="73">
          <cell r="A73" t="str">
            <v>12.013.0052</v>
          </cell>
          <cell r="D73">
            <v>3940</v>
          </cell>
        </row>
        <row r="74">
          <cell r="A74" t="str">
            <v>12.013.0061</v>
          </cell>
          <cell r="D74">
            <v>3740</v>
          </cell>
        </row>
        <row r="75">
          <cell r="A75" t="str">
            <v>12.013.0102</v>
          </cell>
          <cell r="D75">
            <v>4400</v>
          </cell>
        </row>
        <row r="76">
          <cell r="A76" t="str">
            <v>12.013.0111</v>
          </cell>
          <cell r="D76">
            <v>4180</v>
          </cell>
        </row>
        <row r="77">
          <cell r="A77" t="str">
            <v>12.013.0121</v>
          </cell>
          <cell r="D77">
            <v>4140</v>
          </cell>
        </row>
        <row r="78">
          <cell r="A78" t="str">
            <v>12.013.0152</v>
          </cell>
          <cell r="D78">
            <v>4700</v>
          </cell>
        </row>
        <row r="79">
          <cell r="A79" t="str">
            <v>12.013.0161</v>
          </cell>
          <cell r="D79">
            <v>4400</v>
          </cell>
        </row>
        <row r="80">
          <cell r="A80" t="str">
            <v>12.013.0171</v>
          </cell>
          <cell r="D80">
            <v>4250</v>
          </cell>
        </row>
        <row r="81">
          <cell r="A81" t="str">
            <v>12.013.0400</v>
          </cell>
          <cell r="D81">
            <v>2630</v>
          </cell>
        </row>
        <row r="82">
          <cell r="A82" t="str">
            <v>12.013.0405</v>
          </cell>
          <cell r="D82">
            <v>2540</v>
          </cell>
        </row>
        <row r="83">
          <cell r="A83" t="str">
            <v>12.013.0410</v>
          </cell>
          <cell r="D83">
            <v>2810</v>
          </cell>
        </row>
        <row r="84">
          <cell r="A84" t="str">
            <v>12.013.0415</v>
          </cell>
          <cell r="D84">
            <v>2620</v>
          </cell>
        </row>
        <row r="85">
          <cell r="A85" t="str">
            <v>12.013.0450</v>
          </cell>
          <cell r="D85">
            <v>3840</v>
          </cell>
        </row>
        <row r="86">
          <cell r="A86" t="str">
            <v>12.013.0455</v>
          </cell>
          <cell r="D86">
            <v>3730</v>
          </cell>
        </row>
        <row r="87">
          <cell r="A87" t="str">
            <v>12.013.0460</v>
          </cell>
          <cell r="D87">
            <v>3670</v>
          </cell>
        </row>
        <row r="88">
          <cell r="A88" t="str">
            <v>12.013.0465</v>
          </cell>
          <cell r="D88">
            <v>3950</v>
          </cell>
        </row>
        <row r="89">
          <cell r="A89" t="str">
            <v>12.013.0470</v>
          </cell>
          <cell r="D89">
            <v>3780</v>
          </cell>
        </row>
        <row r="90">
          <cell r="A90" t="str">
            <v>12.013.0475</v>
          </cell>
          <cell r="D90">
            <v>3730</v>
          </cell>
        </row>
        <row r="91">
          <cell r="A91" t="str">
            <v>12.013.0601</v>
          </cell>
          <cell r="D91">
            <v>0.1</v>
          </cell>
        </row>
        <row r="92">
          <cell r="A92" t="str">
            <v>12.014.0200</v>
          </cell>
          <cell r="D92">
            <v>2180</v>
          </cell>
        </row>
        <row r="93">
          <cell r="A93" t="str">
            <v>12.014.0210</v>
          </cell>
          <cell r="D93">
            <v>3880</v>
          </cell>
        </row>
        <row r="94">
          <cell r="A94" t="str">
            <v>12.014.0220</v>
          </cell>
          <cell r="D94">
            <v>3040</v>
          </cell>
        </row>
        <row r="95">
          <cell r="A95" t="str">
            <v>12.014.0230</v>
          </cell>
          <cell r="D95">
            <v>2430</v>
          </cell>
        </row>
        <row r="96">
          <cell r="A96" t="str">
            <v>12.014.0250</v>
          </cell>
          <cell r="D96">
            <v>4280</v>
          </cell>
        </row>
        <row r="97">
          <cell r="A97" t="str">
            <v>12.014.0260</v>
          </cell>
          <cell r="D97">
            <v>4760</v>
          </cell>
        </row>
        <row r="98">
          <cell r="A98" t="str">
            <v>12.014.0280</v>
          </cell>
          <cell r="D98">
            <v>8360</v>
          </cell>
        </row>
        <row r="99">
          <cell r="A99" t="str">
            <v>12.014.0290</v>
          </cell>
          <cell r="D99">
            <v>9230</v>
          </cell>
        </row>
        <row r="100">
          <cell r="A100" t="str">
            <v>12.014.0300</v>
          </cell>
          <cell r="D100">
            <v>9960</v>
          </cell>
        </row>
        <row r="101">
          <cell r="A101" t="str">
            <v>12.014.0320</v>
          </cell>
          <cell r="D101">
            <v>6890</v>
          </cell>
        </row>
        <row r="102">
          <cell r="A102" t="str">
            <v>12.014.0330</v>
          </cell>
          <cell r="D102">
            <v>8000</v>
          </cell>
        </row>
        <row r="103">
          <cell r="A103" t="str">
            <v>12.014.0400</v>
          </cell>
          <cell r="D103">
            <v>2220</v>
          </cell>
        </row>
        <row r="104">
          <cell r="A104" t="str">
            <v>12.014.0410</v>
          </cell>
          <cell r="D104">
            <v>2300</v>
          </cell>
        </row>
        <row r="105">
          <cell r="A105" t="str">
            <v>12.014.0450</v>
          </cell>
          <cell r="D105">
            <v>2740</v>
          </cell>
        </row>
        <row r="106">
          <cell r="A106" t="str">
            <v>12.014.0460</v>
          </cell>
          <cell r="D106">
            <v>2440</v>
          </cell>
        </row>
        <row r="107">
          <cell r="A107" t="str">
            <v>12.014.0500</v>
          </cell>
          <cell r="D107">
            <v>2420</v>
          </cell>
        </row>
        <row r="108">
          <cell r="A108" t="str">
            <v>12.014.0600</v>
          </cell>
          <cell r="D108">
            <v>4490</v>
          </cell>
        </row>
        <row r="109">
          <cell r="A109" t="str">
            <v>12.014.0610</v>
          </cell>
          <cell r="D109">
            <v>4180</v>
          </cell>
        </row>
        <row r="110">
          <cell r="A110" t="str">
            <v>12.014.0650</v>
          </cell>
          <cell r="D110">
            <v>2790</v>
          </cell>
        </row>
        <row r="111">
          <cell r="A111" t="str">
            <v>12.014.0660</v>
          </cell>
          <cell r="D111">
            <v>2700</v>
          </cell>
        </row>
        <row r="112">
          <cell r="A112" t="str">
            <v>12.014.0750</v>
          </cell>
          <cell r="D112">
            <v>5060</v>
          </cell>
        </row>
        <row r="113">
          <cell r="A113" t="str">
            <v>12.014.0760</v>
          </cell>
          <cell r="D113">
            <v>4390</v>
          </cell>
        </row>
        <row r="114">
          <cell r="A114" t="str">
            <v>12.014.0800</v>
          </cell>
          <cell r="D114">
            <v>3120</v>
          </cell>
        </row>
        <row r="115">
          <cell r="A115" t="str">
            <v>12.014.0810</v>
          </cell>
          <cell r="D115">
            <v>3660</v>
          </cell>
        </row>
        <row r="116">
          <cell r="A116" t="str">
            <v>12.014.0820</v>
          </cell>
          <cell r="D116">
            <v>3260</v>
          </cell>
        </row>
        <row r="117">
          <cell r="A117" t="str">
            <v>12.014.9011</v>
          </cell>
          <cell r="D117">
            <v>173</v>
          </cell>
        </row>
        <row r="118">
          <cell r="A118" t="str">
            <v>12.014.9030</v>
          </cell>
          <cell r="D118">
            <v>67</v>
          </cell>
        </row>
        <row r="119">
          <cell r="A119" t="str">
            <v>12.014.9040</v>
          </cell>
          <cell r="D119">
            <v>156</v>
          </cell>
        </row>
        <row r="120">
          <cell r="A120" t="str">
            <v>12.014.9050</v>
          </cell>
          <cell r="D120">
            <v>340</v>
          </cell>
        </row>
        <row r="121">
          <cell r="A121" t="str">
            <v>12.014.9052</v>
          </cell>
          <cell r="D121">
            <v>330</v>
          </cell>
        </row>
        <row r="122">
          <cell r="A122" t="str">
            <v>12.014.9053</v>
          </cell>
          <cell r="D122">
            <v>370</v>
          </cell>
        </row>
        <row r="123">
          <cell r="A123" t="str">
            <v>12.014.9060</v>
          </cell>
          <cell r="D123">
            <v>640</v>
          </cell>
        </row>
        <row r="124">
          <cell r="A124" t="str">
            <v>12.014.9300</v>
          </cell>
          <cell r="D124">
            <v>2730</v>
          </cell>
        </row>
        <row r="125">
          <cell r="A125" t="str">
            <v>12.014.9310</v>
          </cell>
          <cell r="D125">
            <v>3560</v>
          </cell>
        </row>
        <row r="126">
          <cell r="A126" t="str">
            <v>12.014.9330</v>
          </cell>
          <cell r="D126">
            <v>4170</v>
          </cell>
        </row>
        <row r="127">
          <cell r="A127" t="str">
            <v>12.014.9340</v>
          </cell>
          <cell r="D127">
            <v>4970</v>
          </cell>
        </row>
        <row r="128">
          <cell r="A128" t="str">
            <v>12.014.9350</v>
          </cell>
          <cell r="D128">
            <v>4650</v>
          </cell>
        </row>
        <row r="129">
          <cell r="A129" t="str">
            <v>12.014.9360</v>
          </cell>
          <cell r="D129">
            <v>5410</v>
          </cell>
        </row>
        <row r="130">
          <cell r="A130" t="str">
            <v>12.016.0330</v>
          </cell>
          <cell r="D130">
            <v>1710</v>
          </cell>
        </row>
        <row r="131">
          <cell r="A131" t="str">
            <v>12.016.0340</v>
          </cell>
          <cell r="D131">
            <v>1860</v>
          </cell>
        </row>
        <row r="132">
          <cell r="A132" t="str">
            <v>12.016.0350</v>
          </cell>
          <cell r="D132">
            <v>2050</v>
          </cell>
        </row>
        <row r="133">
          <cell r="A133" t="str">
            <v>12.016.0360</v>
          </cell>
          <cell r="D133">
            <v>1960</v>
          </cell>
        </row>
        <row r="134">
          <cell r="A134" t="str">
            <v>12.016.0370</v>
          </cell>
          <cell r="D134">
            <v>2130</v>
          </cell>
        </row>
        <row r="135">
          <cell r="A135" t="str">
            <v>12.016.0380</v>
          </cell>
          <cell r="D135">
            <v>2340</v>
          </cell>
        </row>
        <row r="136">
          <cell r="A136" t="str">
            <v>12.016.0400</v>
          </cell>
          <cell r="D136">
            <v>2040</v>
          </cell>
        </row>
        <row r="137">
          <cell r="A137" t="str">
            <v>12.016.0410</v>
          </cell>
          <cell r="D137">
            <v>2230</v>
          </cell>
        </row>
        <row r="138">
          <cell r="A138" t="str">
            <v>12.016.0420</v>
          </cell>
          <cell r="D138">
            <v>2720</v>
          </cell>
        </row>
        <row r="139">
          <cell r="A139" t="str">
            <v>12.016.0600</v>
          </cell>
          <cell r="D139">
            <v>1310</v>
          </cell>
        </row>
        <row r="140">
          <cell r="A140" t="str">
            <v>12.016.0610</v>
          </cell>
          <cell r="D140">
            <v>2090</v>
          </cell>
        </row>
        <row r="141">
          <cell r="A141" t="str">
            <v>12.016.0620</v>
          </cell>
          <cell r="D141">
            <v>2560</v>
          </cell>
        </row>
        <row r="142">
          <cell r="A142" t="str">
            <v>12.016.0750</v>
          </cell>
          <cell r="D142">
            <v>2960</v>
          </cell>
        </row>
        <row r="143">
          <cell r="A143" t="str">
            <v>12.016.0760</v>
          </cell>
          <cell r="D143">
            <v>3320</v>
          </cell>
        </row>
        <row r="144">
          <cell r="A144" t="str">
            <v>12.016.0770</v>
          </cell>
          <cell r="D144">
            <v>3930</v>
          </cell>
        </row>
        <row r="145">
          <cell r="A145" t="str">
            <v>12.016.0780</v>
          </cell>
          <cell r="D145">
            <v>4790</v>
          </cell>
        </row>
        <row r="146">
          <cell r="A146" t="str">
            <v>12.016.9010</v>
          </cell>
          <cell r="D146">
            <v>179</v>
          </cell>
        </row>
        <row r="147">
          <cell r="A147" t="str">
            <v>12.016.9020</v>
          </cell>
          <cell r="D147">
            <v>90</v>
          </cell>
        </row>
        <row r="148">
          <cell r="A148" t="str">
            <v>12.018.0270</v>
          </cell>
          <cell r="D148">
            <v>1080</v>
          </cell>
        </row>
        <row r="149">
          <cell r="A149" t="str">
            <v>12.018.0280</v>
          </cell>
          <cell r="D149">
            <v>1170</v>
          </cell>
        </row>
        <row r="150">
          <cell r="A150" t="str">
            <v>12.018.0290</v>
          </cell>
          <cell r="D150">
            <v>1250</v>
          </cell>
        </row>
        <row r="151">
          <cell r="A151" t="str">
            <v>12.018.0300</v>
          </cell>
          <cell r="D151">
            <v>1350</v>
          </cell>
        </row>
        <row r="152">
          <cell r="A152" t="str">
            <v>12.018.0310</v>
          </cell>
          <cell r="D152">
            <v>1420</v>
          </cell>
        </row>
        <row r="153">
          <cell r="A153" t="str">
            <v>12.018.0320</v>
          </cell>
          <cell r="D153">
            <v>1520</v>
          </cell>
        </row>
        <row r="154">
          <cell r="A154" t="str">
            <v>12.018.0330</v>
          </cell>
          <cell r="D154">
            <v>2250</v>
          </cell>
        </row>
        <row r="155">
          <cell r="A155" t="str">
            <v>12.018.9009</v>
          </cell>
          <cell r="D155">
            <v>109</v>
          </cell>
        </row>
        <row r="156">
          <cell r="A156" t="str">
            <v>12.018.9010</v>
          </cell>
          <cell r="D156">
            <v>132</v>
          </cell>
        </row>
        <row r="157">
          <cell r="A157" t="str">
            <v>12.018.9020</v>
          </cell>
          <cell r="D157">
            <v>153</v>
          </cell>
        </row>
        <row r="158">
          <cell r="A158" t="str">
            <v>12.018.9100</v>
          </cell>
          <cell r="D158">
            <v>115</v>
          </cell>
        </row>
        <row r="159">
          <cell r="A159" t="str">
            <v>12.018.9120</v>
          </cell>
          <cell r="D159">
            <v>191</v>
          </cell>
        </row>
        <row r="160">
          <cell r="A160" t="str">
            <v>12.018.9130</v>
          </cell>
          <cell r="D160">
            <v>215</v>
          </cell>
        </row>
        <row r="161">
          <cell r="A161" t="str">
            <v>12.018.9150</v>
          </cell>
          <cell r="D161">
            <v>270</v>
          </cell>
        </row>
        <row r="162">
          <cell r="A162" t="str">
            <v>12.051.0410</v>
          </cell>
          <cell r="D162">
            <v>1540</v>
          </cell>
        </row>
        <row r="163">
          <cell r="A163" t="str">
            <v>12.051.0460</v>
          </cell>
          <cell r="D163">
            <v>1630</v>
          </cell>
        </row>
        <row r="164">
          <cell r="A164" t="str">
            <v>12.051.0470</v>
          </cell>
          <cell r="D164">
            <v>1580</v>
          </cell>
        </row>
        <row r="165">
          <cell r="A165" t="str">
            <v>12.051.0510</v>
          </cell>
          <cell r="D165">
            <v>1960</v>
          </cell>
        </row>
        <row r="166">
          <cell r="A166" t="str">
            <v>12.051.0520</v>
          </cell>
          <cell r="D166">
            <v>1690</v>
          </cell>
        </row>
        <row r="167">
          <cell r="A167" t="str">
            <v>12.051.0560</v>
          </cell>
          <cell r="D167">
            <v>2320</v>
          </cell>
        </row>
        <row r="168">
          <cell r="A168" t="str">
            <v>12.051.0570</v>
          </cell>
          <cell r="D168">
            <v>2100</v>
          </cell>
        </row>
        <row r="169">
          <cell r="A169" t="str">
            <v>12.051.0610</v>
          </cell>
          <cell r="D169">
            <v>3880</v>
          </cell>
        </row>
        <row r="170">
          <cell r="A170" t="str">
            <v>12.051.0620</v>
          </cell>
          <cell r="D170">
            <v>3510</v>
          </cell>
        </row>
        <row r="171">
          <cell r="A171" t="str">
            <v>12.051.0650</v>
          </cell>
          <cell r="D171">
            <v>1970</v>
          </cell>
        </row>
        <row r="172">
          <cell r="A172" t="str">
            <v>12.051.0660</v>
          </cell>
          <cell r="D172">
            <v>1890</v>
          </cell>
        </row>
        <row r="173">
          <cell r="A173" t="str">
            <v>12.051.0691</v>
          </cell>
          <cell r="D173">
            <v>0.15</v>
          </cell>
        </row>
        <row r="174">
          <cell r="A174" t="str">
            <v>12.051.9000</v>
          </cell>
          <cell r="D174">
            <v>276</v>
          </cell>
        </row>
        <row r="175">
          <cell r="A175" t="str">
            <v>12.051.9010</v>
          </cell>
          <cell r="D175">
            <v>360</v>
          </cell>
        </row>
        <row r="176">
          <cell r="A176" t="str">
            <v>12.051.9100</v>
          </cell>
          <cell r="D176">
            <v>940</v>
          </cell>
        </row>
        <row r="177">
          <cell r="A177" t="str">
            <v>12.051.9150</v>
          </cell>
          <cell r="D177">
            <v>540</v>
          </cell>
        </row>
        <row r="178">
          <cell r="A178" t="str">
            <v>12.051.9160</v>
          </cell>
          <cell r="D178">
            <v>590</v>
          </cell>
        </row>
        <row r="179">
          <cell r="A179" t="str">
            <v>12.051.9200</v>
          </cell>
          <cell r="D179">
            <v>134</v>
          </cell>
        </row>
        <row r="180">
          <cell r="A180" t="str">
            <v>12.051.9210</v>
          </cell>
          <cell r="D180">
            <v>131</v>
          </cell>
        </row>
        <row r="181">
          <cell r="A181" t="str">
            <v>12.051.9220</v>
          </cell>
          <cell r="D181">
            <v>118</v>
          </cell>
        </row>
        <row r="182">
          <cell r="A182" t="str">
            <v>12.052.0010</v>
          </cell>
          <cell r="D182">
            <v>1960</v>
          </cell>
        </row>
        <row r="183">
          <cell r="A183" t="str">
            <v>12.052.0020</v>
          </cell>
          <cell r="D183">
            <v>1760</v>
          </cell>
        </row>
        <row r="184">
          <cell r="A184" t="str">
            <v>12.052.0030</v>
          </cell>
          <cell r="D184">
            <v>1610</v>
          </cell>
        </row>
        <row r="185">
          <cell r="A185" t="str">
            <v>12.052.0060</v>
          </cell>
          <cell r="D185">
            <v>2060</v>
          </cell>
        </row>
        <row r="186">
          <cell r="A186" t="str">
            <v>12.052.0070</v>
          </cell>
          <cell r="D186">
            <v>1850</v>
          </cell>
        </row>
        <row r="187">
          <cell r="A187" t="str">
            <v>12.052.0080</v>
          </cell>
          <cell r="D187">
            <v>1680</v>
          </cell>
        </row>
        <row r="188">
          <cell r="A188" t="str">
            <v>12.052.0100</v>
          </cell>
          <cell r="D188">
            <v>2270</v>
          </cell>
        </row>
        <row r="189">
          <cell r="A189" t="str">
            <v>12.052.0110</v>
          </cell>
          <cell r="D189">
            <v>2010</v>
          </cell>
        </row>
        <row r="190">
          <cell r="A190" t="str">
            <v>12.052.0120</v>
          </cell>
          <cell r="D190">
            <v>1950</v>
          </cell>
        </row>
        <row r="191">
          <cell r="A191" t="str">
            <v>12.052.0150</v>
          </cell>
          <cell r="D191">
            <v>2590</v>
          </cell>
        </row>
        <row r="192">
          <cell r="A192" t="str">
            <v>12.052.0160</v>
          </cell>
          <cell r="D192">
            <v>2230</v>
          </cell>
        </row>
        <row r="193">
          <cell r="A193" t="str">
            <v>12.052.0170</v>
          </cell>
          <cell r="D193">
            <v>1900</v>
          </cell>
        </row>
        <row r="194">
          <cell r="A194" t="str">
            <v>12.052.0200</v>
          </cell>
          <cell r="D194">
            <v>7230</v>
          </cell>
        </row>
        <row r="195">
          <cell r="A195" t="str">
            <v>12.052.0210</v>
          </cell>
          <cell r="D195">
            <v>6060</v>
          </cell>
        </row>
        <row r="196">
          <cell r="A196" t="str">
            <v>12.052.0220</v>
          </cell>
          <cell r="D196">
            <v>5630</v>
          </cell>
        </row>
        <row r="197">
          <cell r="A197" t="str">
            <v>12.052.0250</v>
          </cell>
          <cell r="D197">
            <v>2110</v>
          </cell>
        </row>
        <row r="198">
          <cell r="A198" t="str">
            <v>12.052.0260</v>
          </cell>
          <cell r="D198">
            <v>1910</v>
          </cell>
        </row>
        <row r="199">
          <cell r="A199" t="str">
            <v>12.052.0270</v>
          </cell>
          <cell r="D199">
            <v>1750</v>
          </cell>
        </row>
        <row r="200">
          <cell r="A200" t="str">
            <v>12.052.0291</v>
          </cell>
          <cell r="D200">
            <v>0.1</v>
          </cell>
        </row>
        <row r="201">
          <cell r="A201" t="str">
            <v>12.052.0501</v>
          </cell>
          <cell r="D201">
            <v>1550</v>
          </cell>
        </row>
        <row r="202">
          <cell r="A202" t="str">
            <v>12.052.0511</v>
          </cell>
          <cell r="D202">
            <v>1510</v>
          </cell>
        </row>
        <row r="203">
          <cell r="A203" t="str">
            <v>12.052.0521</v>
          </cell>
          <cell r="D203">
            <v>1500</v>
          </cell>
        </row>
        <row r="204">
          <cell r="A204" t="str">
            <v>12.052.0550</v>
          </cell>
          <cell r="D204">
            <v>1830</v>
          </cell>
        </row>
        <row r="205">
          <cell r="A205" t="str">
            <v>12.052.0560</v>
          </cell>
          <cell r="D205">
            <v>1540</v>
          </cell>
        </row>
        <row r="206">
          <cell r="A206" t="str">
            <v>12.052.0570</v>
          </cell>
          <cell r="D206">
            <v>1560</v>
          </cell>
        </row>
        <row r="207">
          <cell r="A207" t="str">
            <v>12.052.0700</v>
          </cell>
          <cell r="D207">
            <v>1620</v>
          </cell>
        </row>
        <row r="208">
          <cell r="A208" t="str">
            <v>12.052.0710</v>
          </cell>
          <cell r="D208">
            <v>1500</v>
          </cell>
        </row>
        <row r="209">
          <cell r="A209" t="str">
            <v>12.052.0720</v>
          </cell>
          <cell r="D209">
            <v>1500</v>
          </cell>
        </row>
        <row r="210">
          <cell r="A210" t="str">
            <v>12.052.0750</v>
          </cell>
          <cell r="D210">
            <v>2000</v>
          </cell>
        </row>
        <row r="211">
          <cell r="A211" t="str">
            <v>12.052.0760</v>
          </cell>
          <cell r="D211">
            <v>1840</v>
          </cell>
        </row>
        <row r="212">
          <cell r="A212" t="str">
            <v>12.052.0770</v>
          </cell>
          <cell r="D212">
            <v>1890</v>
          </cell>
        </row>
        <row r="213">
          <cell r="A213" t="str">
            <v>12.052.0810</v>
          </cell>
          <cell r="D213">
            <v>5120</v>
          </cell>
        </row>
        <row r="214">
          <cell r="A214" t="str">
            <v>12.052.0820</v>
          </cell>
          <cell r="D214">
            <v>4910</v>
          </cell>
        </row>
        <row r="215">
          <cell r="A215" t="str">
            <v>12.052.0860</v>
          </cell>
          <cell r="D215">
            <v>1870</v>
          </cell>
        </row>
        <row r="216">
          <cell r="A216" t="str">
            <v>12.052.0870</v>
          </cell>
          <cell r="D216">
            <v>1760</v>
          </cell>
        </row>
        <row r="217">
          <cell r="A217" t="str">
            <v>12.052.0891</v>
          </cell>
          <cell r="D217">
            <v>0.1</v>
          </cell>
        </row>
        <row r="218">
          <cell r="A218" t="str">
            <v>12.053.0100</v>
          </cell>
          <cell r="D218">
            <v>2640</v>
          </cell>
        </row>
        <row r="219">
          <cell r="A219" t="str">
            <v>12.053.0110</v>
          </cell>
          <cell r="D219">
            <v>2160</v>
          </cell>
        </row>
        <row r="220">
          <cell r="A220" t="str">
            <v>12.053.0200</v>
          </cell>
          <cell r="D220">
            <v>2850</v>
          </cell>
        </row>
        <row r="221">
          <cell r="A221" t="str">
            <v>12.053.0210</v>
          </cell>
          <cell r="D221">
            <v>2300</v>
          </cell>
        </row>
        <row r="222">
          <cell r="A222" t="str">
            <v>12.053.0250</v>
          </cell>
          <cell r="D222">
            <v>3220</v>
          </cell>
        </row>
        <row r="223">
          <cell r="A223" t="str">
            <v>12.053.0260</v>
          </cell>
          <cell r="D223">
            <v>2760</v>
          </cell>
        </row>
        <row r="224">
          <cell r="A224" t="str">
            <v>12.053.0270</v>
          </cell>
          <cell r="D224">
            <v>4070</v>
          </cell>
        </row>
        <row r="225">
          <cell r="A225" t="str">
            <v>12.053.0272</v>
          </cell>
          <cell r="D225">
            <v>3560</v>
          </cell>
        </row>
        <row r="226">
          <cell r="A226" t="str">
            <v>12.053.0300</v>
          </cell>
          <cell r="D226">
            <v>4080</v>
          </cell>
        </row>
        <row r="227">
          <cell r="A227" t="str">
            <v>12.053.0310</v>
          </cell>
          <cell r="D227">
            <v>3510</v>
          </cell>
        </row>
        <row r="228">
          <cell r="A228" t="str">
            <v>12.053.0350</v>
          </cell>
          <cell r="D228">
            <v>3180</v>
          </cell>
        </row>
        <row r="229">
          <cell r="A229" t="str">
            <v>12.053.0360</v>
          </cell>
          <cell r="D229">
            <v>3010</v>
          </cell>
        </row>
        <row r="230">
          <cell r="A230" t="str">
            <v>12.053.0400</v>
          </cell>
          <cell r="D230">
            <v>2380</v>
          </cell>
        </row>
        <row r="231">
          <cell r="A231" t="str">
            <v>12.053.0410</v>
          </cell>
          <cell r="D231">
            <v>2270</v>
          </cell>
        </row>
        <row r="232">
          <cell r="A232" t="str">
            <v>12.053.0450</v>
          </cell>
          <cell r="D232">
            <v>3250</v>
          </cell>
        </row>
        <row r="233">
          <cell r="A233" t="str">
            <v>12.053.0460</v>
          </cell>
          <cell r="D233">
            <v>2590</v>
          </cell>
        </row>
        <row r="234">
          <cell r="A234" t="str">
            <v>12.053.0500</v>
          </cell>
          <cell r="D234">
            <v>2510</v>
          </cell>
        </row>
        <row r="235">
          <cell r="A235" t="str">
            <v>12.053.0510</v>
          </cell>
          <cell r="D235">
            <v>2480</v>
          </cell>
        </row>
        <row r="236">
          <cell r="A236" t="str">
            <v>12.053.0520</v>
          </cell>
          <cell r="D236">
            <v>3650</v>
          </cell>
        </row>
        <row r="237">
          <cell r="A237" t="str">
            <v>12.053.0522</v>
          </cell>
          <cell r="D237">
            <v>3600</v>
          </cell>
        </row>
        <row r="238">
          <cell r="A238" t="str">
            <v>12.053.0550</v>
          </cell>
          <cell r="D238">
            <v>3970</v>
          </cell>
        </row>
        <row r="239">
          <cell r="A239" t="str">
            <v>12.053.0560</v>
          </cell>
          <cell r="D239">
            <v>3380</v>
          </cell>
        </row>
        <row r="240">
          <cell r="A240" t="str">
            <v>12.053.0600</v>
          </cell>
          <cell r="D240">
            <v>2950</v>
          </cell>
        </row>
        <row r="241">
          <cell r="A241" t="str">
            <v>12.053.0610</v>
          </cell>
          <cell r="D241">
            <v>2640</v>
          </cell>
        </row>
        <row r="242">
          <cell r="A242" t="str">
            <v>12.053.1000</v>
          </cell>
          <cell r="D242">
            <v>0.2</v>
          </cell>
        </row>
        <row r="243">
          <cell r="A243" t="str">
            <v>12.053.2000</v>
          </cell>
          <cell r="D243">
            <v>16500</v>
          </cell>
        </row>
        <row r="244">
          <cell r="A244" t="str">
            <v>12.053.9010</v>
          </cell>
          <cell r="D244">
            <v>220</v>
          </cell>
        </row>
        <row r="245">
          <cell r="A245" t="str">
            <v>12.053.9015</v>
          </cell>
          <cell r="D245">
            <v>167</v>
          </cell>
        </row>
        <row r="246">
          <cell r="A246" t="str">
            <v>12.053.9020</v>
          </cell>
          <cell r="D246">
            <v>540</v>
          </cell>
        </row>
        <row r="247">
          <cell r="A247" t="str">
            <v>12.053.9030</v>
          </cell>
          <cell r="D247">
            <v>390</v>
          </cell>
        </row>
        <row r="248">
          <cell r="A248" t="str">
            <v>12.053.9040</v>
          </cell>
          <cell r="D248">
            <v>440</v>
          </cell>
        </row>
        <row r="249">
          <cell r="A249" t="str">
            <v>12.053.9045</v>
          </cell>
          <cell r="D249">
            <v>620</v>
          </cell>
        </row>
        <row r="250">
          <cell r="A250" t="str">
            <v>12.053.9050</v>
          </cell>
          <cell r="D250">
            <v>380</v>
          </cell>
        </row>
        <row r="251">
          <cell r="A251" t="str">
            <v>12.053.9100</v>
          </cell>
          <cell r="D251">
            <v>214</v>
          </cell>
        </row>
        <row r="252">
          <cell r="A252" t="str">
            <v>12.055.0010</v>
          </cell>
          <cell r="D252">
            <v>27700</v>
          </cell>
        </row>
        <row r="253">
          <cell r="A253" t="str">
            <v>12.055.0200</v>
          </cell>
          <cell r="D253">
            <v>22780</v>
          </cell>
        </row>
        <row r="254">
          <cell r="A254" t="str">
            <v>12.055.0300</v>
          </cell>
          <cell r="D254">
            <v>36100</v>
          </cell>
        </row>
        <row r="255">
          <cell r="A255" t="str">
            <v>12.061.0015</v>
          </cell>
          <cell r="D255">
            <v>13280</v>
          </cell>
        </row>
        <row r="256">
          <cell r="A256" t="str">
            <v>12.061.0017</v>
          </cell>
          <cell r="D256">
            <v>14390</v>
          </cell>
        </row>
        <row r="257">
          <cell r="A257" t="str">
            <v>12.061.0019</v>
          </cell>
          <cell r="D257">
            <v>15500</v>
          </cell>
        </row>
        <row r="258">
          <cell r="A258" t="str">
            <v>12.061.0036</v>
          </cell>
          <cell r="D258">
            <v>15940</v>
          </cell>
        </row>
        <row r="259">
          <cell r="A259" t="str">
            <v>12.061.0100</v>
          </cell>
          <cell r="D259">
            <v>5910</v>
          </cell>
        </row>
        <row r="260">
          <cell r="A260" t="str">
            <v>12.061.0200</v>
          </cell>
          <cell r="D260">
            <v>7128</v>
          </cell>
        </row>
        <row r="261">
          <cell r="A261" t="str">
            <v>12.061.0300</v>
          </cell>
          <cell r="D261">
            <v>4860</v>
          </cell>
        </row>
        <row r="262">
          <cell r="A262" t="str">
            <v>12.061.9000</v>
          </cell>
          <cell r="D262">
            <v>88</v>
          </cell>
        </row>
        <row r="263">
          <cell r="A263" t="str">
            <v>12.062.0010</v>
          </cell>
          <cell r="D263">
            <v>1860</v>
          </cell>
        </row>
        <row r="264">
          <cell r="A264" t="str">
            <v>12.062.0015</v>
          </cell>
          <cell r="D264">
            <v>2250</v>
          </cell>
        </row>
        <row r="265">
          <cell r="A265" t="str">
            <v>12.062.0017</v>
          </cell>
          <cell r="D265">
            <v>2210</v>
          </cell>
        </row>
        <row r="266">
          <cell r="A266" t="str">
            <v>12.062.0019</v>
          </cell>
          <cell r="D266">
            <v>2050</v>
          </cell>
        </row>
        <row r="267">
          <cell r="A267" t="str">
            <v>12.062.0030</v>
          </cell>
          <cell r="D267">
            <v>6140</v>
          </cell>
        </row>
        <row r="268">
          <cell r="A268" t="str">
            <v>12.062.0032</v>
          </cell>
          <cell r="D268">
            <v>6700</v>
          </cell>
        </row>
        <row r="269">
          <cell r="A269" t="str">
            <v>12.062.0035</v>
          </cell>
          <cell r="D269">
            <v>7120</v>
          </cell>
        </row>
        <row r="270">
          <cell r="A270" t="str">
            <v>12.062.0037</v>
          </cell>
          <cell r="D270">
            <v>6670</v>
          </cell>
        </row>
        <row r="271">
          <cell r="A271" t="str">
            <v>12.062.0040</v>
          </cell>
          <cell r="D271">
            <v>11660</v>
          </cell>
        </row>
        <row r="272">
          <cell r="A272" t="str">
            <v>12.062.0045</v>
          </cell>
          <cell r="D272">
            <v>12720</v>
          </cell>
        </row>
        <row r="273">
          <cell r="A273" t="str">
            <v>12.062.0050</v>
          </cell>
          <cell r="D273">
            <v>13560</v>
          </cell>
        </row>
        <row r="274">
          <cell r="A274" t="str">
            <v>12.062.0055</v>
          </cell>
          <cell r="D274">
            <v>12670</v>
          </cell>
        </row>
        <row r="275">
          <cell r="A275" t="str">
            <v>12.062.0200</v>
          </cell>
          <cell r="D275">
            <v>14150</v>
          </cell>
        </row>
        <row r="276">
          <cell r="A276" t="str">
            <v>12.062.0210</v>
          </cell>
          <cell r="D276">
            <v>2700</v>
          </cell>
        </row>
        <row r="277">
          <cell r="A277" t="str">
            <v>12.062.0220</v>
          </cell>
          <cell r="D277">
            <v>2500</v>
          </cell>
        </row>
        <row r="278">
          <cell r="A278" t="str">
            <v>12.062.0250</v>
          </cell>
          <cell r="D278">
            <v>8210</v>
          </cell>
        </row>
        <row r="279">
          <cell r="A279" t="str">
            <v>12.062.0300</v>
          </cell>
          <cell r="D279">
            <v>1330</v>
          </cell>
        </row>
        <row r="280">
          <cell r="A280" t="str">
            <v>12.065.1000</v>
          </cell>
          <cell r="D280">
            <v>1270</v>
          </cell>
        </row>
        <row r="281">
          <cell r="A281" t="str">
            <v>12.065.1010</v>
          </cell>
          <cell r="D281">
            <v>1090</v>
          </cell>
        </row>
        <row r="282">
          <cell r="A282" t="str">
            <v>12.065.1030</v>
          </cell>
          <cell r="D282">
            <v>1600</v>
          </cell>
        </row>
        <row r="283">
          <cell r="A283" t="str">
            <v>12.065.1040</v>
          </cell>
          <cell r="D283">
            <v>1250</v>
          </cell>
        </row>
        <row r="284">
          <cell r="A284" t="str">
            <v>12.065.1050</v>
          </cell>
          <cell r="D284">
            <v>1050</v>
          </cell>
        </row>
        <row r="285">
          <cell r="A285" t="str">
            <v>12.065.1100</v>
          </cell>
          <cell r="D285">
            <v>1110</v>
          </cell>
        </row>
        <row r="286">
          <cell r="A286" t="str">
            <v>12.065.1110</v>
          </cell>
          <cell r="D286">
            <v>1730</v>
          </cell>
        </row>
        <row r="287">
          <cell r="A287" t="str">
            <v>12.065.1200</v>
          </cell>
          <cell r="D287">
            <v>800</v>
          </cell>
        </row>
        <row r="288">
          <cell r="A288" t="str">
            <v>12.065.1210</v>
          </cell>
          <cell r="D288">
            <v>650</v>
          </cell>
        </row>
        <row r="289">
          <cell r="A289" t="str">
            <v>12.065.1220</v>
          </cell>
          <cell r="D289">
            <v>530</v>
          </cell>
        </row>
        <row r="290">
          <cell r="A290" t="str">
            <v>12.065.1250</v>
          </cell>
          <cell r="D290">
            <v>1020</v>
          </cell>
        </row>
        <row r="291">
          <cell r="A291" t="str">
            <v>12.065.1260</v>
          </cell>
          <cell r="D291">
            <v>900</v>
          </cell>
        </row>
        <row r="292">
          <cell r="A292" t="str">
            <v>12.065.1270</v>
          </cell>
          <cell r="D292">
            <v>760</v>
          </cell>
        </row>
        <row r="293">
          <cell r="A293" t="str">
            <v>12.065.1300</v>
          </cell>
          <cell r="D293">
            <v>980</v>
          </cell>
        </row>
        <row r="294">
          <cell r="A294" t="str">
            <v>12.065.1310</v>
          </cell>
          <cell r="D294">
            <v>810</v>
          </cell>
        </row>
        <row r="295">
          <cell r="A295" t="str">
            <v>12.065.1320</v>
          </cell>
          <cell r="D295">
            <v>720</v>
          </cell>
        </row>
        <row r="296">
          <cell r="A296" t="str">
            <v>12.065.1350</v>
          </cell>
          <cell r="D296">
            <v>1100</v>
          </cell>
        </row>
        <row r="297">
          <cell r="A297" t="str">
            <v>12.065.1360</v>
          </cell>
          <cell r="D297">
            <v>910</v>
          </cell>
        </row>
        <row r="298">
          <cell r="A298" t="str">
            <v>12.065.1370</v>
          </cell>
          <cell r="D298">
            <v>670</v>
          </cell>
        </row>
        <row r="299">
          <cell r="A299" t="str">
            <v>12.065.1400</v>
          </cell>
          <cell r="D299">
            <v>910</v>
          </cell>
        </row>
        <row r="300">
          <cell r="A300" t="str">
            <v>12.065.1450</v>
          </cell>
          <cell r="D300">
            <v>1490</v>
          </cell>
        </row>
        <row r="301">
          <cell r="A301" t="str">
            <v>12.065.1460</v>
          </cell>
          <cell r="D301">
            <v>1200</v>
          </cell>
        </row>
        <row r="302">
          <cell r="A302" t="str">
            <v>12.065.1510</v>
          </cell>
          <cell r="D302">
            <v>306</v>
          </cell>
        </row>
        <row r="303">
          <cell r="A303" t="str">
            <v>12.065.1520</v>
          </cell>
          <cell r="D303">
            <v>142</v>
          </cell>
        </row>
        <row r="304">
          <cell r="A304" t="str">
            <v>12.065.1530</v>
          </cell>
          <cell r="D304">
            <v>131</v>
          </cell>
        </row>
        <row r="305">
          <cell r="A305" t="str">
            <v>12.065.1540</v>
          </cell>
          <cell r="D305">
            <v>97</v>
          </cell>
        </row>
        <row r="306">
          <cell r="A306" t="str">
            <v>12.065.1600</v>
          </cell>
          <cell r="D306">
            <v>730</v>
          </cell>
        </row>
        <row r="307">
          <cell r="A307" t="str">
            <v>12.065.1602</v>
          </cell>
          <cell r="D307">
            <v>715</v>
          </cell>
        </row>
        <row r="308">
          <cell r="A308" t="str">
            <v>12.065.1604</v>
          </cell>
          <cell r="D308">
            <v>494</v>
          </cell>
        </row>
        <row r="309">
          <cell r="A309" t="str">
            <v>12.065.1611</v>
          </cell>
          <cell r="D309">
            <v>910</v>
          </cell>
        </row>
        <row r="310">
          <cell r="A310" t="str">
            <v>12.065.1613</v>
          </cell>
          <cell r="D310">
            <v>717</v>
          </cell>
        </row>
        <row r="311">
          <cell r="A311" t="str">
            <v>12.065.1615</v>
          </cell>
          <cell r="D311">
            <v>582</v>
          </cell>
        </row>
        <row r="312">
          <cell r="A312" t="str">
            <v>12.065.1621</v>
          </cell>
          <cell r="D312">
            <v>1230</v>
          </cell>
        </row>
        <row r="313">
          <cell r="A313" t="str">
            <v>12.065.1631</v>
          </cell>
          <cell r="D313">
            <v>1510</v>
          </cell>
        </row>
        <row r="314">
          <cell r="A314" t="str">
            <v>12.065.1641</v>
          </cell>
          <cell r="D314">
            <v>1430</v>
          </cell>
        </row>
        <row r="315">
          <cell r="A315" t="str">
            <v>12.065.1651</v>
          </cell>
          <cell r="D315">
            <v>1000</v>
          </cell>
        </row>
        <row r="316">
          <cell r="A316" t="str">
            <v>12.065.1661</v>
          </cell>
          <cell r="D316">
            <v>1840</v>
          </cell>
        </row>
        <row r="317">
          <cell r="A317" t="str">
            <v>12.065.1671</v>
          </cell>
          <cell r="D317">
            <v>1730</v>
          </cell>
        </row>
        <row r="318">
          <cell r="A318" t="str">
            <v>12.065.1681</v>
          </cell>
          <cell r="D318">
            <v>1440</v>
          </cell>
        </row>
        <row r="319">
          <cell r="A319" t="str">
            <v>12.065.1700</v>
          </cell>
          <cell r="D319">
            <v>1120</v>
          </cell>
        </row>
        <row r="320">
          <cell r="A320" t="str">
            <v>12.065.1710</v>
          </cell>
          <cell r="D320">
            <v>800</v>
          </cell>
        </row>
        <row r="321">
          <cell r="A321" t="str">
            <v>12.065.1720</v>
          </cell>
          <cell r="D321">
            <v>880</v>
          </cell>
        </row>
        <row r="322">
          <cell r="A322" t="str">
            <v>12.065.1730</v>
          </cell>
          <cell r="D322">
            <v>840</v>
          </cell>
        </row>
        <row r="323">
          <cell r="A323" t="str">
            <v>12.065.2000</v>
          </cell>
          <cell r="D323">
            <v>620</v>
          </cell>
        </row>
        <row r="324">
          <cell r="A324" t="str">
            <v>12.065.2010</v>
          </cell>
          <cell r="D324">
            <v>750</v>
          </cell>
        </row>
        <row r="325">
          <cell r="A325" t="str">
            <v>12.065.2020</v>
          </cell>
          <cell r="D325">
            <v>1020</v>
          </cell>
        </row>
        <row r="326">
          <cell r="A326" t="str">
            <v>12.065.2030</v>
          </cell>
          <cell r="D326">
            <v>1370</v>
          </cell>
        </row>
        <row r="327">
          <cell r="A327" t="str">
            <v>12.065.2040</v>
          </cell>
          <cell r="D327">
            <v>1650</v>
          </cell>
        </row>
        <row r="328">
          <cell r="A328" t="str">
            <v>12.065.2050</v>
          </cell>
          <cell r="D328">
            <v>1820</v>
          </cell>
        </row>
        <row r="329">
          <cell r="A329" t="str">
            <v>12.065.2060</v>
          </cell>
          <cell r="D329">
            <v>1090</v>
          </cell>
        </row>
        <row r="330">
          <cell r="A330" t="str">
            <v>12.065.2070</v>
          </cell>
          <cell r="D330">
            <v>1220</v>
          </cell>
        </row>
        <row r="331">
          <cell r="A331" t="str">
            <v>12.065.2080</v>
          </cell>
          <cell r="D331">
            <v>1430</v>
          </cell>
        </row>
        <row r="332">
          <cell r="A332" t="str">
            <v>12.065.2090</v>
          </cell>
          <cell r="D332">
            <v>1640</v>
          </cell>
        </row>
        <row r="333">
          <cell r="A333" t="str">
            <v>12.065.2100</v>
          </cell>
          <cell r="D333">
            <v>284</v>
          </cell>
        </row>
        <row r="334">
          <cell r="A334" t="str">
            <v>12.065.2110</v>
          </cell>
          <cell r="D334">
            <v>640</v>
          </cell>
        </row>
        <row r="335">
          <cell r="A335" t="str">
            <v>12.065.2120</v>
          </cell>
          <cell r="D335">
            <v>920</v>
          </cell>
        </row>
        <row r="336">
          <cell r="A336" t="str">
            <v>12.065.3000</v>
          </cell>
          <cell r="D336">
            <v>520</v>
          </cell>
        </row>
        <row r="337">
          <cell r="A337" t="str">
            <v>12.065.3010</v>
          </cell>
          <cell r="D337">
            <v>900</v>
          </cell>
        </row>
        <row r="338">
          <cell r="A338" t="str">
            <v>12.065.3030</v>
          </cell>
          <cell r="D338">
            <v>980</v>
          </cell>
        </row>
        <row r="339">
          <cell r="A339" t="str">
            <v>12.065.3040</v>
          </cell>
          <cell r="D339">
            <v>1150</v>
          </cell>
        </row>
        <row r="340">
          <cell r="A340" t="str">
            <v>12.065.3050</v>
          </cell>
          <cell r="D340">
            <v>1210</v>
          </cell>
        </row>
        <row r="341">
          <cell r="A341" t="str">
            <v>12.065.3060</v>
          </cell>
          <cell r="D341">
            <v>1540</v>
          </cell>
        </row>
        <row r="342">
          <cell r="A342" t="str">
            <v>12.065.3070</v>
          </cell>
          <cell r="D342">
            <v>2490</v>
          </cell>
        </row>
        <row r="343">
          <cell r="A343" t="str">
            <v>12.065.3080</v>
          </cell>
          <cell r="D343">
            <v>3890</v>
          </cell>
        </row>
        <row r="344">
          <cell r="A344" t="str">
            <v>12.065.9000</v>
          </cell>
          <cell r="D344">
            <v>130</v>
          </cell>
        </row>
        <row r="345">
          <cell r="A345" t="str">
            <v>12.065.9010</v>
          </cell>
          <cell r="D345">
            <v>193</v>
          </cell>
        </row>
        <row r="346">
          <cell r="A346" t="str">
            <v>12.065.9020</v>
          </cell>
          <cell r="D346">
            <v>60</v>
          </cell>
        </row>
        <row r="347">
          <cell r="A347" t="str">
            <v>12.065.9100</v>
          </cell>
          <cell r="D347">
            <v>109</v>
          </cell>
        </row>
        <row r="348">
          <cell r="A348" t="str">
            <v>12.065.9110</v>
          </cell>
          <cell r="D348">
            <v>121</v>
          </cell>
        </row>
        <row r="349">
          <cell r="A349" t="str">
            <v>12.065.9120</v>
          </cell>
          <cell r="D349">
            <v>450</v>
          </cell>
        </row>
        <row r="350">
          <cell r="A350" t="str">
            <v>12.065.9200</v>
          </cell>
          <cell r="D350">
            <v>360</v>
          </cell>
        </row>
        <row r="351">
          <cell r="A351" t="str">
            <v>12.065.9210</v>
          </cell>
          <cell r="D351">
            <v>194</v>
          </cell>
        </row>
        <row r="352">
          <cell r="A352" t="str">
            <v>12.065.9300</v>
          </cell>
          <cell r="D352">
            <v>214</v>
          </cell>
        </row>
        <row r="353">
          <cell r="A353" t="str">
            <v>12.065.9305</v>
          </cell>
          <cell r="D353">
            <v>320</v>
          </cell>
        </row>
        <row r="354">
          <cell r="A354" t="str">
            <v>12.065.9310</v>
          </cell>
          <cell r="D354">
            <v>164</v>
          </cell>
        </row>
        <row r="355">
          <cell r="A355" t="str">
            <v>12.065.9320</v>
          </cell>
          <cell r="D355">
            <v>114</v>
          </cell>
        </row>
        <row r="356">
          <cell r="A356" t="str">
            <v>12.065.9325</v>
          </cell>
          <cell r="D356">
            <v>100</v>
          </cell>
        </row>
        <row r="357">
          <cell r="A357" t="str">
            <v>12.065.9330</v>
          </cell>
          <cell r="D357">
            <v>43</v>
          </cell>
        </row>
        <row r="358">
          <cell r="A358" t="str">
            <v>12.065.9341</v>
          </cell>
          <cell r="D358">
            <v>63</v>
          </cell>
        </row>
        <row r="359">
          <cell r="A359" t="str">
            <v>12.065.9343</v>
          </cell>
          <cell r="D359">
            <v>71</v>
          </cell>
        </row>
        <row r="360">
          <cell r="A360" t="str">
            <v>12.065.9350</v>
          </cell>
          <cell r="D360">
            <v>95</v>
          </cell>
        </row>
        <row r="361">
          <cell r="A361" t="str">
            <v>12.065.9360</v>
          </cell>
          <cell r="D361">
            <v>157</v>
          </cell>
        </row>
        <row r="362">
          <cell r="A362" t="str">
            <v>12.065.9370</v>
          </cell>
          <cell r="D362">
            <v>196</v>
          </cell>
        </row>
        <row r="363">
          <cell r="A363" t="str">
            <v>12.066.0010</v>
          </cell>
          <cell r="D363">
            <v>780</v>
          </cell>
        </row>
        <row r="364">
          <cell r="A364" t="str">
            <v>12.066.0020</v>
          </cell>
          <cell r="D364">
            <v>770</v>
          </cell>
        </row>
        <row r="365">
          <cell r="A365" t="str">
            <v>12.066.0200</v>
          </cell>
          <cell r="D365">
            <v>4310</v>
          </cell>
        </row>
        <row r="366">
          <cell r="A366" t="str">
            <v>12.066.0300</v>
          </cell>
          <cell r="D366">
            <v>7840</v>
          </cell>
        </row>
        <row r="367">
          <cell r="A367" t="str">
            <v>12.066.0310</v>
          </cell>
          <cell r="D367">
            <v>9060</v>
          </cell>
        </row>
        <row r="368">
          <cell r="A368" t="str">
            <v>12.066.0320</v>
          </cell>
          <cell r="D368">
            <v>9760</v>
          </cell>
        </row>
        <row r="369">
          <cell r="A369" t="str">
            <v>12.067.0100</v>
          </cell>
          <cell r="D369">
            <v>560</v>
          </cell>
        </row>
        <row r="370">
          <cell r="A370" t="str">
            <v>12.067.0110</v>
          </cell>
          <cell r="D370">
            <v>447</v>
          </cell>
        </row>
        <row r="371">
          <cell r="A371" t="str">
            <v>12.067.0120</v>
          </cell>
          <cell r="D371">
            <v>364</v>
          </cell>
        </row>
        <row r="372">
          <cell r="A372" t="str">
            <v>12.067.0150</v>
          </cell>
          <cell r="D372">
            <v>600</v>
          </cell>
        </row>
        <row r="373">
          <cell r="A373" t="str">
            <v>12.067.0160</v>
          </cell>
          <cell r="D373">
            <v>447</v>
          </cell>
        </row>
        <row r="374">
          <cell r="A374" t="str">
            <v>12.067.0200</v>
          </cell>
          <cell r="D374">
            <v>880</v>
          </cell>
        </row>
        <row r="375">
          <cell r="A375" t="str">
            <v>12.067.0210</v>
          </cell>
          <cell r="D375">
            <v>650</v>
          </cell>
        </row>
        <row r="376">
          <cell r="A376" t="str">
            <v>12.067.0250</v>
          </cell>
          <cell r="D376">
            <v>740</v>
          </cell>
        </row>
        <row r="377">
          <cell r="A377" t="str">
            <v>12.067.0260</v>
          </cell>
          <cell r="D377">
            <v>590</v>
          </cell>
        </row>
        <row r="378">
          <cell r="A378" t="str">
            <v>12.067.0300</v>
          </cell>
          <cell r="D378">
            <v>419</v>
          </cell>
        </row>
        <row r="379">
          <cell r="A379" t="str">
            <v>12.067.0310</v>
          </cell>
          <cell r="D379">
            <v>460</v>
          </cell>
        </row>
        <row r="380">
          <cell r="A380" t="str">
            <v>12.067.0350</v>
          </cell>
          <cell r="D380">
            <v>620</v>
          </cell>
        </row>
        <row r="381">
          <cell r="A381" t="str">
            <v>12.067.0400</v>
          </cell>
          <cell r="D381">
            <v>600</v>
          </cell>
        </row>
        <row r="382">
          <cell r="A382" t="str">
            <v>12.067.0410</v>
          </cell>
          <cell r="D382">
            <v>1020</v>
          </cell>
        </row>
        <row r="383">
          <cell r="A383" t="str">
            <v>12.067.9000</v>
          </cell>
          <cell r="D383">
            <v>53</v>
          </cell>
        </row>
        <row r="384">
          <cell r="A384" t="str">
            <v>12.067.9020</v>
          </cell>
          <cell r="D384">
            <v>162</v>
          </cell>
        </row>
        <row r="385">
          <cell r="A385" t="str">
            <v>12.067.9040</v>
          </cell>
          <cell r="D385">
            <v>73</v>
          </cell>
        </row>
        <row r="386">
          <cell r="A386" t="str">
            <v>12.068.0621</v>
          </cell>
          <cell r="D386">
            <v>3500</v>
          </cell>
        </row>
        <row r="387">
          <cell r="A387" t="str">
            <v>12.068.0623</v>
          </cell>
          <cell r="D387">
            <v>4380</v>
          </cell>
        </row>
        <row r="388">
          <cell r="A388" t="str">
            <v>12.068.0626</v>
          </cell>
          <cell r="D388">
            <v>5880</v>
          </cell>
        </row>
        <row r="389">
          <cell r="A389" t="str">
            <v>12.068.0636</v>
          </cell>
          <cell r="D389">
            <v>6500</v>
          </cell>
        </row>
        <row r="390">
          <cell r="A390" t="str">
            <v>12.068.0640</v>
          </cell>
          <cell r="D390">
            <v>1250</v>
          </cell>
        </row>
        <row r="391">
          <cell r="A391" t="str">
            <v>12.068.0700</v>
          </cell>
          <cell r="D391">
            <v>190</v>
          </cell>
        </row>
        <row r="392">
          <cell r="A392" t="str">
            <v>12.068.0710</v>
          </cell>
          <cell r="D392">
            <v>247</v>
          </cell>
        </row>
        <row r="393">
          <cell r="A393" t="str">
            <v>12.068.0741</v>
          </cell>
          <cell r="D393">
            <v>2150</v>
          </cell>
        </row>
        <row r="394">
          <cell r="A394" t="str">
            <v>12.068.0751</v>
          </cell>
          <cell r="D394">
            <v>520</v>
          </cell>
        </row>
        <row r="395">
          <cell r="A395" t="str">
            <v>12.068.0800</v>
          </cell>
          <cell r="D395">
            <v>243</v>
          </cell>
        </row>
        <row r="396">
          <cell r="A396" t="str">
            <v>12.068.0810</v>
          </cell>
          <cell r="D396">
            <v>219</v>
          </cell>
        </row>
        <row r="397">
          <cell r="A397" t="str">
            <v>12.068.0815</v>
          </cell>
          <cell r="D397">
            <v>210</v>
          </cell>
        </row>
        <row r="398">
          <cell r="A398" t="str">
            <v>12.068.0820</v>
          </cell>
          <cell r="D398">
            <v>421</v>
          </cell>
        </row>
        <row r="399">
          <cell r="A399" t="str">
            <v>12.068.0840</v>
          </cell>
          <cell r="D399">
            <v>298</v>
          </cell>
        </row>
        <row r="400">
          <cell r="A400" t="str">
            <v>12.068.0850</v>
          </cell>
          <cell r="D400">
            <v>309</v>
          </cell>
        </row>
        <row r="401">
          <cell r="A401" t="str">
            <v>12.068.0860</v>
          </cell>
          <cell r="D401">
            <v>375</v>
          </cell>
        </row>
        <row r="402">
          <cell r="A402" t="str">
            <v>12.068.0870</v>
          </cell>
          <cell r="D402">
            <v>385</v>
          </cell>
        </row>
        <row r="403">
          <cell r="A403" t="str">
            <v>12.068.0880</v>
          </cell>
          <cell r="D403">
            <v>744</v>
          </cell>
        </row>
        <row r="404">
          <cell r="A404" t="str">
            <v>12.068.0900</v>
          </cell>
          <cell r="D404">
            <v>75</v>
          </cell>
        </row>
        <row r="405">
          <cell r="A405" t="str">
            <v>12.068.0902</v>
          </cell>
          <cell r="D405">
            <v>94</v>
          </cell>
        </row>
        <row r="406">
          <cell r="A406" t="str">
            <v>12.068.0904</v>
          </cell>
          <cell r="D406">
            <v>111</v>
          </cell>
        </row>
        <row r="407">
          <cell r="A407" t="str">
            <v>12.068.0906</v>
          </cell>
          <cell r="D407">
            <v>172</v>
          </cell>
        </row>
        <row r="408">
          <cell r="A408" t="str">
            <v>12.068.0908</v>
          </cell>
          <cell r="D408">
            <v>208</v>
          </cell>
        </row>
        <row r="409">
          <cell r="A409" t="str">
            <v>12.068.0910</v>
          </cell>
          <cell r="D409">
            <v>358</v>
          </cell>
        </row>
        <row r="410">
          <cell r="A410" t="str">
            <v>12.068.0930</v>
          </cell>
          <cell r="D410">
            <v>133</v>
          </cell>
        </row>
        <row r="411">
          <cell r="A411" t="str">
            <v>12.068.0932</v>
          </cell>
          <cell r="D411">
            <v>194</v>
          </cell>
        </row>
        <row r="412">
          <cell r="A412" t="str">
            <v>12.068.0934</v>
          </cell>
          <cell r="D412">
            <v>218</v>
          </cell>
        </row>
        <row r="413">
          <cell r="A413" t="str">
            <v>12.068.0936</v>
          </cell>
          <cell r="D413">
            <v>109</v>
          </cell>
        </row>
        <row r="414">
          <cell r="A414" t="str">
            <v>12.068.0938</v>
          </cell>
          <cell r="D414">
            <v>151</v>
          </cell>
        </row>
        <row r="415">
          <cell r="A415" t="str">
            <v>12.068.0960</v>
          </cell>
          <cell r="D415">
            <v>122</v>
          </cell>
        </row>
        <row r="416">
          <cell r="A416" t="str">
            <v>12.068.0962</v>
          </cell>
          <cell r="D416">
            <v>142</v>
          </cell>
        </row>
        <row r="417">
          <cell r="A417" t="str">
            <v>12.068.0964</v>
          </cell>
          <cell r="D417">
            <v>177</v>
          </cell>
        </row>
        <row r="418">
          <cell r="A418" t="str">
            <v>12.068.0980</v>
          </cell>
          <cell r="D418">
            <v>200</v>
          </cell>
        </row>
        <row r="419">
          <cell r="A419" t="str">
            <v>12.068.0990</v>
          </cell>
          <cell r="D419">
            <v>257</v>
          </cell>
        </row>
        <row r="420">
          <cell r="A420" t="str">
            <v>12.068.0992</v>
          </cell>
          <cell r="D420">
            <v>167</v>
          </cell>
        </row>
        <row r="421">
          <cell r="A421" t="str">
            <v>12.068.0994</v>
          </cell>
          <cell r="D421">
            <v>223</v>
          </cell>
        </row>
        <row r="422">
          <cell r="A422" t="str">
            <v>12.068.1000</v>
          </cell>
          <cell r="D422">
            <v>129</v>
          </cell>
        </row>
        <row r="423">
          <cell r="A423" t="str">
            <v>12.068.1002</v>
          </cell>
          <cell r="D423">
            <v>157</v>
          </cell>
        </row>
        <row r="424">
          <cell r="A424" t="str">
            <v>12.068.1004</v>
          </cell>
          <cell r="D424">
            <v>172</v>
          </cell>
        </row>
        <row r="425">
          <cell r="A425" t="str">
            <v>12.068.1006</v>
          </cell>
          <cell r="D425">
            <v>315</v>
          </cell>
        </row>
        <row r="426">
          <cell r="A426" t="str">
            <v>12.068.1008</v>
          </cell>
          <cell r="D426">
            <v>372</v>
          </cell>
        </row>
        <row r="427">
          <cell r="A427" t="str">
            <v>12.068.1010</v>
          </cell>
          <cell r="D427">
            <v>570</v>
          </cell>
        </row>
        <row r="428">
          <cell r="A428" t="str">
            <v>12.068.1050</v>
          </cell>
          <cell r="D428">
            <v>186</v>
          </cell>
        </row>
        <row r="429">
          <cell r="A429" t="str">
            <v>12.068.1052</v>
          </cell>
          <cell r="D429">
            <v>229</v>
          </cell>
        </row>
        <row r="430">
          <cell r="A430" t="str">
            <v>12.068.1053</v>
          </cell>
          <cell r="D430">
            <v>238</v>
          </cell>
        </row>
        <row r="431">
          <cell r="A431" t="str">
            <v>12.068.1054</v>
          </cell>
          <cell r="D431">
            <v>257</v>
          </cell>
        </row>
        <row r="432">
          <cell r="A432" t="str">
            <v>12.068.1056</v>
          </cell>
          <cell r="D432">
            <v>400</v>
          </cell>
        </row>
        <row r="433">
          <cell r="A433" t="str">
            <v>12.068.1070</v>
          </cell>
          <cell r="D433">
            <v>257</v>
          </cell>
        </row>
        <row r="434">
          <cell r="A434" t="str">
            <v>12.068.1080</v>
          </cell>
          <cell r="D434">
            <v>315</v>
          </cell>
        </row>
        <row r="435">
          <cell r="A435" t="str">
            <v>12.068.1150</v>
          </cell>
          <cell r="D435">
            <v>272</v>
          </cell>
        </row>
        <row r="436">
          <cell r="A436" t="str">
            <v>12.068.1160</v>
          </cell>
          <cell r="D436">
            <v>300</v>
          </cell>
        </row>
        <row r="437">
          <cell r="A437" t="str">
            <v>12.068.1170</v>
          </cell>
          <cell r="D437">
            <v>322</v>
          </cell>
        </row>
        <row r="438">
          <cell r="A438" t="str">
            <v>12.068.1172</v>
          </cell>
          <cell r="D438">
            <v>317</v>
          </cell>
        </row>
        <row r="439">
          <cell r="A439" t="str">
            <v>12.068.1174</v>
          </cell>
          <cell r="D439">
            <v>325</v>
          </cell>
        </row>
        <row r="440">
          <cell r="A440" t="str">
            <v>12.068.1180</v>
          </cell>
          <cell r="D440">
            <v>286</v>
          </cell>
        </row>
        <row r="441">
          <cell r="A441" t="str">
            <v>12.068.1190</v>
          </cell>
          <cell r="D441">
            <v>315</v>
          </cell>
        </row>
        <row r="442">
          <cell r="A442" t="str">
            <v>12.068.1200</v>
          </cell>
          <cell r="D442">
            <v>400</v>
          </cell>
        </row>
        <row r="443">
          <cell r="A443" t="str">
            <v>12.068.1210</v>
          </cell>
          <cell r="D443">
            <v>415</v>
          </cell>
        </row>
        <row r="444">
          <cell r="A444" t="str">
            <v>12.068.1216</v>
          </cell>
          <cell r="D444">
            <v>375</v>
          </cell>
        </row>
        <row r="445">
          <cell r="A445" t="str">
            <v>12.068.1218</v>
          </cell>
          <cell r="D445">
            <v>389</v>
          </cell>
        </row>
        <row r="446">
          <cell r="A446" t="str">
            <v>12.068.1220</v>
          </cell>
          <cell r="D446">
            <v>443</v>
          </cell>
        </row>
        <row r="447">
          <cell r="A447" t="str">
            <v>12.068.1230</v>
          </cell>
          <cell r="D447">
            <v>472</v>
          </cell>
        </row>
        <row r="448">
          <cell r="A448" t="str">
            <v>12.068.1250</v>
          </cell>
          <cell r="D448">
            <v>570</v>
          </cell>
        </row>
        <row r="449">
          <cell r="A449" t="str">
            <v>12.068.1300</v>
          </cell>
          <cell r="D449">
            <v>151</v>
          </cell>
        </row>
        <row r="450">
          <cell r="A450" t="str">
            <v>12.068.1302</v>
          </cell>
          <cell r="D450">
            <v>194</v>
          </cell>
        </row>
        <row r="451">
          <cell r="A451" t="str">
            <v>12.068.1304</v>
          </cell>
          <cell r="D451">
            <v>215</v>
          </cell>
        </row>
        <row r="452">
          <cell r="A452" t="str">
            <v>12.068.1306</v>
          </cell>
          <cell r="D452">
            <v>251</v>
          </cell>
        </row>
        <row r="453">
          <cell r="A453" t="str">
            <v>12.068.1308</v>
          </cell>
          <cell r="D453">
            <v>222</v>
          </cell>
        </row>
        <row r="454">
          <cell r="A454" t="str">
            <v>12.068.1310</v>
          </cell>
          <cell r="D454">
            <v>243</v>
          </cell>
        </row>
        <row r="455">
          <cell r="A455" t="str">
            <v>12.068.1312</v>
          </cell>
          <cell r="D455">
            <v>358</v>
          </cell>
        </row>
        <row r="456">
          <cell r="A456" t="str">
            <v>12.068.1314</v>
          </cell>
          <cell r="D456">
            <v>257</v>
          </cell>
        </row>
        <row r="457">
          <cell r="A457" t="str">
            <v>12.068.1316</v>
          </cell>
          <cell r="D457">
            <v>400</v>
          </cell>
        </row>
        <row r="458">
          <cell r="A458" t="str">
            <v>12.068.1318</v>
          </cell>
          <cell r="D458">
            <v>232</v>
          </cell>
        </row>
        <row r="459">
          <cell r="A459" t="str">
            <v>12.068.1320</v>
          </cell>
          <cell r="D459">
            <v>265</v>
          </cell>
        </row>
        <row r="460">
          <cell r="A460" t="str">
            <v>12.068.1322</v>
          </cell>
          <cell r="D460">
            <v>372</v>
          </cell>
        </row>
        <row r="461">
          <cell r="A461" t="str">
            <v>12.068.1324</v>
          </cell>
          <cell r="D461">
            <v>372</v>
          </cell>
        </row>
        <row r="462">
          <cell r="A462" t="str">
            <v>12.068.1326</v>
          </cell>
          <cell r="D462">
            <v>472</v>
          </cell>
        </row>
        <row r="463">
          <cell r="A463" t="str">
            <v>12.068.1350</v>
          </cell>
          <cell r="D463">
            <v>458</v>
          </cell>
        </row>
        <row r="464">
          <cell r="A464" t="str">
            <v>12.068.1352</v>
          </cell>
          <cell r="D464">
            <v>472</v>
          </cell>
        </row>
        <row r="465">
          <cell r="A465" t="str">
            <v>12.068.1354</v>
          </cell>
          <cell r="D465">
            <v>515</v>
          </cell>
        </row>
        <row r="466">
          <cell r="A466" t="str">
            <v>12.068.1356</v>
          </cell>
          <cell r="D466">
            <v>750</v>
          </cell>
        </row>
        <row r="467">
          <cell r="A467" t="str">
            <v>12.068.1358</v>
          </cell>
          <cell r="D467">
            <v>890</v>
          </cell>
        </row>
        <row r="468">
          <cell r="A468" t="str">
            <v>12.068.1360</v>
          </cell>
          <cell r="D468">
            <v>186</v>
          </cell>
        </row>
        <row r="469">
          <cell r="A469" t="str">
            <v>12.068.1370</v>
          </cell>
          <cell r="D469">
            <v>229</v>
          </cell>
        </row>
        <row r="470">
          <cell r="A470" t="str">
            <v>12.068.1380</v>
          </cell>
          <cell r="D470">
            <v>257</v>
          </cell>
        </row>
        <row r="471">
          <cell r="A471" t="str">
            <v>12.068.1400</v>
          </cell>
          <cell r="D471">
            <v>343</v>
          </cell>
        </row>
        <row r="472">
          <cell r="A472" t="str">
            <v>12.068.1410</v>
          </cell>
          <cell r="D472">
            <v>429</v>
          </cell>
        </row>
        <row r="473">
          <cell r="A473" t="str">
            <v>12.068.1420</v>
          </cell>
          <cell r="D473">
            <v>515</v>
          </cell>
        </row>
        <row r="474">
          <cell r="A474" t="str">
            <v>12.068.1500</v>
          </cell>
          <cell r="D474">
            <v>1500</v>
          </cell>
        </row>
        <row r="475">
          <cell r="A475" t="str">
            <v>12.068.3000</v>
          </cell>
          <cell r="D475">
            <v>1500</v>
          </cell>
        </row>
        <row r="476">
          <cell r="A476" t="str">
            <v>12.070.0042</v>
          </cell>
          <cell r="D476">
            <v>750</v>
          </cell>
        </row>
        <row r="477">
          <cell r="A477" t="str">
            <v>12.070.0051</v>
          </cell>
          <cell r="D477">
            <v>900</v>
          </cell>
        </row>
        <row r="478">
          <cell r="A478" t="str">
            <v>12.070.0100</v>
          </cell>
          <cell r="D478">
            <v>2530</v>
          </cell>
        </row>
        <row r="479">
          <cell r="A479" t="str">
            <v>12.070.0101</v>
          </cell>
          <cell r="D479">
            <v>3080</v>
          </cell>
        </row>
        <row r="480">
          <cell r="A480" t="str">
            <v>12.070.0105</v>
          </cell>
          <cell r="D480">
            <v>3870</v>
          </cell>
        </row>
        <row r="481">
          <cell r="A481" t="str">
            <v>12.070.0200</v>
          </cell>
          <cell r="D481">
            <v>1330</v>
          </cell>
        </row>
        <row r="482">
          <cell r="A482" t="str">
            <v>12.070.0202</v>
          </cell>
          <cell r="D482">
            <v>1540</v>
          </cell>
        </row>
        <row r="483">
          <cell r="A483" t="str">
            <v>12.070.0210</v>
          </cell>
          <cell r="D483">
            <v>1730</v>
          </cell>
        </row>
        <row r="484">
          <cell r="A484" t="str">
            <v>12.070.0211</v>
          </cell>
          <cell r="D484">
            <v>1330</v>
          </cell>
        </row>
        <row r="485">
          <cell r="A485" t="str">
            <v>12.070.0213</v>
          </cell>
          <cell r="D485">
            <v>1330</v>
          </cell>
        </row>
        <row r="486">
          <cell r="A486" t="str">
            <v>12.070.0221</v>
          </cell>
          <cell r="D486">
            <v>1450</v>
          </cell>
        </row>
        <row r="487">
          <cell r="A487" t="str">
            <v>12.070.0225</v>
          </cell>
          <cell r="D487">
            <v>1820</v>
          </cell>
        </row>
        <row r="488">
          <cell r="A488" t="str">
            <v>12.070.0227</v>
          </cell>
          <cell r="D488">
            <v>1870</v>
          </cell>
        </row>
        <row r="489">
          <cell r="A489" t="str">
            <v>12.070.0230</v>
          </cell>
          <cell r="D489">
            <v>1650</v>
          </cell>
        </row>
        <row r="490">
          <cell r="A490" t="str">
            <v>12.070.0232</v>
          </cell>
          <cell r="D490">
            <v>1870</v>
          </cell>
        </row>
        <row r="491">
          <cell r="A491" t="str">
            <v>12.070.0240</v>
          </cell>
          <cell r="D491">
            <v>1930</v>
          </cell>
        </row>
        <row r="492">
          <cell r="A492" t="str">
            <v>12.070.0242</v>
          </cell>
          <cell r="D492">
            <v>2040</v>
          </cell>
        </row>
        <row r="493">
          <cell r="A493" t="str">
            <v>12.070.0244</v>
          </cell>
          <cell r="D493">
            <v>2040</v>
          </cell>
        </row>
        <row r="494">
          <cell r="A494" t="str">
            <v>12.070.0250</v>
          </cell>
          <cell r="D494">
            <v>2180</v>
          </cell>
        </row>
        <row r="495">
          <cell r="A495" t="str">
            <v>12.070.9000</v>
          </cell>
          <cell r="D495">
            <v>77</v>
          </cell>
        </row>
        <row r="496">
          <cell r="A496" t="str">
            <v>12.070.9010</v>
          </cell>
          <cell r="D496">
            <v>111</v>
          </cell>
        </row>
        <row r="497">
          <cell r="A497" t="str">
            <v>12.072.0011</v>
          </cell>
          <cell r="D497">
            <v>660</v>
          </cell>
        </row>
        <row r="498">
          <cell r="A498" t="str">
            <v>12.072.0021</v>
          </cell>
          <cell r="D498">
            <v>940</v>
          </cell>
        </row>
        <row r="499">
          <cell r="A499" t="str">
            <v>12.072.0050</v>
          </cell>
          <cell r="D499">
            <v>350</v>
          </cell>
        </row>
        <row r="500">
          <cell r="A500" t="str">
            <v>12.072.0055</v>
          </cell>
          <cell r="D500">
            <v>410</v>
          </cell>
        </row>
        <row r="501">
          <cell r="A501" t="str">
            <v>12.072.0060</v>
          </cell>
          <cell r="D501">
            <v>57</v>
          </cell>
        </row>
        <row r="502">
          <cell r="A502" t="str">
            <v>12.072.0070</v>
          </cell>
          <cell r="D502">
            <v>121</v>
          </cell>
        </row>
        <row r="503">
          <cell r="A503" t="str">
            <v>12.072.0301</v>
          </cell>
          <cell r="D503">
            <v>360</v>
          </cell>
        </row>
        <row r="504">
          <cell r="A504" t="str">
            <v>12.072.0303</v>
          </cell>
          <cell r="D504">
            <v>270</v>
          </cell>
        </row>
        <row r="505">
          <cell r="A505" t="str">
            <v>12.072.0321</v>
          </cell>
          <cell r="D505">
            <v>400</v>
          </cell>
        </row>
        <row r="506">
          <cell r="A506" t="str">
            <v>12.072.0323</v>
          </cell>
          <cell r="D506">
            <v>310</v>
          </cell>
        </row>
        <row r="507">
          <cell r="A507" t="str">
            <v>12.072.0350</v>
          </cell>
          <cell r="D507">
            <v>1106</v>
          </cell>
        </row>
        <row r="508">
          <cell r="A508" t="str">
            <v>12.072.0360</v>
          </cell>
          <cell r="D508">
            <v>983</v>
          </cell>
        </row>
        <row r="509">
          <cell r="A509" t="str">
            <v>12.072.0370</v>
          </cell>
          <cell r="D509">
            <v>1010</v>
          </cell>
        </row>
        <row r="510">
          <cell r="A510" t="str">
            <v>12.072.9000</v>
          </cell>
          <cell r="D510">
            <v>79</v>
          </cell>
        </row>
        <row r="511">
          <cell r="A511" t="str">
            <v>12.072.9010</v>
          </cell>
          <cell r="D511">
            <v>178</v>
          </cell>
        </row>
        <row r="512">
          <cell r="A512" t="str">
            <v>12.072.9020</v>
          </cell>
          <cell r="D512">
            <v>109</v>
          </cell>
        </row>
        <row r="513">
          <cell r="A513" t="str">
            <v>12.072.9100</v>
          </cell>
          <cell r="D513">
            <v>105</v>
          </cell>
        </row>
        <row r="514">
          <cell r="A514" t="str">
            <v>12.072.9120</v>
          </cell>
          <cell r="D514">
            <v>368</v>
          </cell>
        </row>
        <row r="515">
          <cell r="A515" t="str">
            <v>12.072.9130</v>
          </cell>
          <cell r="D515">
            <v>430</v>
          </cell>
        </row>
        <row r="516">
          <cell r="A516" t="str">
            <v>12.072.9140</v>
          </cell>
          <cell r="D516">
            <v>28</v>
          </cell>
        </row>
        <row r="517">
          <cell r="A517" t="str">
            <v>12.072.9150</v>
          </cell>
          <cell r="D517">
            <v>2.8</v>
          </cell>
        </row>
        <row r="518">
          <cell r="A518" t="str">
            <v>12.074.0010</v>
          </cell>
          <cell r="D518">
            <v>1740</v>
          </cell>
        </row>
        <row r="519">
          <cell r="A519" t="str">
            <v>12.074.0020</v>
          </cell>
          <cell r="D519">
            <v>1850</v>
          </cell>
        </row>
        <row r="520">
          <cell r="A520" t="str">
            <v>12.074.0030</v>
          </cell>
          <cell r="D520">
            <v>3380</v>
          </cell>
        </row>
        <row r="521">
          <cell r="A521" t="str">
            <v>12.074.0200</v>
          </cell>
          <cell r="D521">
            <v>4220</v>
          </cell>
        </row>
        <row r="522">
          <cell r="A522" t="str">
            <v>12.074.0210</v>
          </cell>
          <cell r="D522">
            <v>3830</v>
          </cell>
        </row>
        <row r="523">
          <cell r="A523" t="str">
            <v>12.074.0215</v>
          </cell>
          <cell r="D523">
            <v>2130</v>
          </cell>
        </row>
        <row r="524">
          <cell r="A524" t="str">
            <v>12.074.0221</v>
          </cell>
          <cell r="D524">
            <v>2130</v>
          </cell>
        </row>
        <row r="525">
          <cell r="A525" t="str">
            <v>12.074.0222</v>
          </cell>
          <cell r="D525">
            <v>2490</v>
          </cell>
        </row>
        <row r="526">
          <cell r="A526" t="str">
            <v>12.074.0250</v>
          </cell>
          <cell r="D526">
            <v>2770</v>
          </cell>
        </row>
        <row r="527">
          <cell r="A527" t="str">
            <v>12.081.0010</v>
          </cell>
          <cell r="D527">
            <v>2760</v>
          </cell>
        </row>
        <row r="528">
          <cell r="A528" t="str">
            <v>12.081.0020</v>
          </cell>
          <cell r="D528">
            <v>3320</v>
          </cell>
        </row>
        <row r="529">
          <cell r="A529" t="str">
            <v>12.081.0100</v>
          </cell>
          <cell r="D529">
            <v>2630</v>
          </cell>
        </row>
        <row r="530">
          <cell r="A530" t="str">
            <v>12.081.0150</v>
          </cell>
          <cell r="D530">
            <v>1380</v>
          </cell>
        </row>
        <row r="531">
          <cell r="A531" t="str">
            <v>12.091.0010</v>
          </cell>
          <cell r="D531">
            <v>1390</v>
          </cell>
        </row>
        <row r="532">
          <cell r="A532" t="str">
            <v>12.091.0020</v>
          </cell>
          <cell r="D532">
            <v>1190</v>
          </cell>
        </row>
        <row r="533">
          <cell r="A533" t="str">
            <v>12.091.0030</v>
          </cell>
          <cell r="D533">
            <v>1000</v>
          </cell>
        </row>
        <row r="534">
          <cell r="A534" t="str">
            <v>12.091.0040</v>
          </cell>
          <cell r="D534">
            <v>900</v>
          </cell>
        </row>
        <row r="535">
          <cell r="A535" t="str">
            <v>12.091.0050</v>
          </cell>
          <cell r="D535">
            <v>840</v>
          </cell>
        </row>
        <row r="536">
          <cell r="A536" t="str">
            <v>12.091.0101</v>
          </cell>
          <cell r="D536">
            <v>1110</v>
          </cell>
        </row>
        <row r="537">
          <cell r="A537" t="str">
            <v>12.091.0111</v>
          </cell>
          <cell r="D537">
            <v>950</v>
          </cell>
        </row>
        <row r="538">
          <cell r="A538" t="str">
            <v>12.091.0121</v>
          </cell>
          <cell r="D538">
            <v>800</v>
          </cell>
        </row>
        <row r="539">
          <cell r="A539" t="str">
            <v>12.091.0131</v>
          </cell>
          <cell r="D539">
            <v>720</v>
          </cell>
        </row>
        <row r="540">
          <cell r="A540" t="str">
            <v>12.091.0141</v>
          </cell>
          <cell r="D540">
            <v>680</v>
          </cell>
        </row>
        <row r="541">
          <cell r="A541" t="str">
            <v>12.091.0150</v>
          </cell>
          <cell r="D541">
            <v>1390</v>
          </cell>
        </row>
        <row r="542">
          <cell r="A542" t="str">
            <v>12.091.0152</v>
          </cell>
          <cell r="D542">
            <v>1180</v>
          </cell>
        </row>
        <row r="543">
          <cell r="A543" t="str">
            <v>12.091.0154</v>
          </cell>
          <cell r="D543">
            <v>1000</v>
          </cell>
        </row>
        <row r="544">
          <cell r="A544" t="str">
            <v>12.091.0156</v>
          </cell>
          <cell r="D544">
            <v>910</v>
          </cell>
        </row>
        <row r="545">
          <cell r="A545" t="str">
            <v>12.091.0158</v>
          </cell>
          <cell r="D545">
            <v>840</v>
          </cell>
        </row>
        <row r="546">
          <cell r="A546" t="str">
            <v>12.091.0200</v>
          </cell>
          <cell r="D546">
            <v>1540</v>
          </cell>
        </row>
        <row r="547">
          <cell r="A547" t="str">
            <v>12.091.0210</v>
          </cell>
          <cell r="D547">
            <v>1320</v>
          </cell>
        </row>
        <row r="548">
          <cell r="A548" t="str">
            <v>12.091.0220</v>
          </cell>
          <cell r="D548">
            <v>1090</v>
          </cell>
        </row>
        <row r="549">
          <cell r="A549" t="str">
            <v>12.091.0400</v>
          </cell>
          <cell r="D549">
            <v>1100</v>
          </cell>
        </row>
        <row r="550">
          <cell r="A550" t="str">
            <v>12.091.0410</v>
          </cell>
          <cell r="D550">
            <v>1070</v>
          </cell>
        </row>
        <row r="551">
          <cell r="A551" t="str">
            <v>12.091.1010</v>
          </cell>
          <cell r="D551">
            <v>1390</v>
          </cell>
        </row>
        <row r="552">
          <cell r="A552" t="str">
            <v>12.091.1020</v>
          </cell>
          <cell r="D552">
            <v>1130</v>
          </cell>
        </row>
        <row r="553">
          <cell r="A553" t="str">
            <v>12.091.1030</v>
          </cell>
          <cell r="D553">
            <v>970</v>
          </cell>
        </row>
        <row r="554">
          <cell r="A554" t="str">
            <v>12.091.1040</v>
          </cell>
          <cell r="D554">
            <v>880</v>
          </cell>
        </row>
        <row r="555">
          <cell r="A555" t="str">
            <v>12.091.1050</v>
          </cell>
          <cell r="D555">
            <v>790</v>
          </cell>
        </row>
        <row r="556">
          <cell r="A556" t="str">
            <v>12.091.1101</v>
          </cell>
          <cell r="D556">
            <v>1110</v>
          </cell>
        </row>
        <row r="557">
          <cell r="A557" t="str">
            <v>12.091.1111</v>
          </cell>
          <cell r="D557">
            <v>910</v>
          </cell>
        </row>
        <row r="558">
          <cell r="A558" t="str">
            <v>12.091.1121</v>
          </cell>
          <cell r="D558">
            <v>770</v>
          </cell>
        </row>
        <row r="559">
          <cell r="A559" t="str">
            <v>12.091.1131</v>
          </cell>
          <cell r="D559">
            <v>700</v>
          </cell>
        </row>
        <row r="560">
          <cell r="A560" t="str">
            <v>12.091.1141</v>
          </cell>
          <cell r="D560">
            <v>640</v>
          </cell>
        </row>
        <row r="561">
          <cell r="A561" t="str">
            <v>12.091.1150</v>
          </cell>
          <cell r="D561">
            <v>1390</v>
          </cell>
        </row>
        <row r="562">
          <cell r="A562" t="str">
            <v>12.091.1152</v>
          </cell>
          <cell r="D562">
            <v>1130</v>
          </cell>
        </row>
        <row r="563">
          <cell r="A563" t="str">
            <v>12.091.1154</v>
          </cell>
          <cell r="D563">
            <v>970</v>
          </cell>
        </row>
        <row r="564">
          <cell r="A564" t="str">
            <v>12.091.1156</v>
          </cell>
          <cell r="D564">
            <v>880</v>
          </cell>
        </row>
        <row r="565">
          <cell r="A565" t="str">
            <v>12.091.1158</v>
          </cell>
          <cell r="D565">
            <v>790</v>
          </cell>
        </row>
        <row r="566">
          <cell r="A566" t="str">
            <v>12.091.1200</v>
          </cell>
          <cell r="D566">
            <v>1650</v>
          </cell>
        </row>
        <row r="567">
          <cell r="A567" t="str">
            <v>12.091.1210</v>
          </cell>
          <cell r="D567">
            <v>1460</v>
          </cell>
        </row>
        <row r="568">
          <cell r="A568" t="str">
            <v>12.091.1220</v>
          </cell>
          <cell r="D568">
            <v>1300</v>
          </cell>
        </row>
        <row r="569">
          <cell r="A569" t="str">
            <v>12.091.1230</v>
          </cell>
          <cell r="D569">
            <v>980</v>
          </cell>
        </row>
        <row r="570">
          <cell r="A570" t="str">
            <v>12.091.1310</v>
          </cell>
          <cell r="D570">
            <v>1350</v>
          </cell>
        </row>
        <row r="571">
          <cell r="A571" t="str">
            <v>12.091.1320</v>
          </cell>
          <cell r="D571">
            <v>1210</v>
          </cell>
        </row>
        <row r="572">
          <cell r="A572" t="str">
            <v>12.091.1330</v>
          </cell>
          <cell r="D572">
            <v>910</v>
          </cell>
        </row>
        <row r="573">
          <cell r="A573" t="str">
            <v>12.091.9590</v>
          </cell>
          <cell r="D573">
            <v>114</v>
          </cell>
        </row>
        <row r="574">
          <cell r="A574" t="str">
            <v>12.091.9592</v>
          </cell>
          <cell r="D574">
            <v>125</v>
          </cell>
        </row>
        <row r="575">
          <cell r="A575" t="str">
            <v>12.091.9594</v>
          </cell>
          <cell r="D575">
            <v>131</v>
          </cell>
        </row>
        <row r="576">
          <cell r="A576" t="str">
            <v>12.091.9596</v>
          </cell>
          <cell r="D576">
            <v>141</v>
          </cell>
        </row>
        <row r="577">
          <cell r="A577" t="str">
            <v>12.091.9600</v>
          </cell>
          <cell r="D577">
            <v>84</v>
          </cell>
        </row>
        <row r="578">
          <cell r="A578" t="str">
            <v>12.091.9602</v>
          </cell>
          <cell r="D578">
            <v>90</v>
          </cell>
        </row>
        <row r="579">
          <cell r="A579" t="str">
            <v>12.091.9604</v>
          </cell>
          <cell r="D579">
            <v>97</v>
          </cell>
        </row>
        <row r="580">
          <cell r="A580" t="str">
            <v>12.091.9606</v>
          </cell>
          <cell r="D580">
            <v>104</v>
          </cell>
        </row>
        <row r="581">
          <cell r="A581" t="str">
            <v>12.091.9610</v>
          </cell>
          <cell r="D581">
            <v>71</v>
          </cell>
        </row>
        <row r="582">
          <cell r="A582" t="str">
            <v>12.091.9612</v>
          </cell>
          <cell r="D582">
            <v>77</v>
          </cell>
        </row>
        <row r="583">
          <cell r="A583" t="str">
            <v>12.091.9614</v>
          </cell>
          <cell r="D583">
            <v>82</v>
          </cell>
        </row>
        <row r="584">
          <cell r="A584" t="str">
            <v>12.091.9616</v>
          </cell>
          <cell r="D584">
            <v>88</v>
          </cell>
        </row>
        <row r="585">
          <cell r="A585" t="str">
            <v>12.091.9620</v>
          </cell>
          <cell r="D585">
            <v>147</v>
          </cell>
        </row>
        <row r="586">
          <cell r="A586" t="str">
            <v>12.091.9622</v>
          </cell>
          <cell r="D586">
            <v>159</v>
          </cell>
        </row>
        <row r="587">
          <cell r="A587" t="str">
            <v>12.091.9624</v>
          </cell>
          <cell r="D587">
            <v>170</v>
          </cell>
        </row>
        <row r="588">
          <cell r="A588" t="str">
            <v>12.091.9626</v>
          </cell>
          <cell r="D588">
            <v>183</v>
          </cell>
        </row>
        <row r="589">
          <cell r="A589" t="str">
            <v>12.091.9670</v>
          </cell>
          <cell r="D589">
            <v>125</v>
          </cell>
        </row>
        <row r="590">
          <cell r="A590" t="str">
            <v>12.091.9672</v>
          </cell>
          <cell r="D590">
            <v>141</v>
          </cell>
        </row>
        <row r="591">
          <cell r="A591" t="str">
            <v>12.091.9674</v>
          </cell>
          <cell r="D591">
            <v>151</v>
          </cell>
        </row>
        <row r="592">
          <cell r="A592" t="str">
            <v>12.091.9676</v>
          </cell>
          <cell r="D592">
            <v>163</v>
          </cell>
        </row>
        <row r="593">
          <cell r="A593" t="str">
            <v>12.091.9680</v>
          </cell>
          <cell r="D593">
            <v>96</v>
          </cell>
        </row>
        <row r="594">
          <cell r="A594" t="str">
            <v>12.091.9682</v>
          </cell>
          <cell r="D594">
            <v>103</v>
          </cell>
        </row>
        <row r="595">
          <cell r="A595" t="str">
            <v>12.091.9684</v>
          </cell>
          <cell r="D595">
            <v>110</v>
          </cell>
        </row>
        <row r="596">
          <cell r="A596" t="str">
            <v>12.091.9686</v>
          </cell>
          <cell r="D596">
            <v>119</v>
          </cell>
        </row>
        <row r="597">
          <cell r="A597" t="str">
            <v>12.093.0010</v>
          </cell>
          <cell r="D597">
            <v>0.05</v>
          </cell>
        </row>
        <row r="598">
          <cell r="A598" t="str">
            <v>12.093.0020</v>
          </cell>
          <cell r="D598">
            <v>0.06</v>
          </cell>
        </row>
        <row r="599">
          <cell r="A599" t="str">
            <v>12.093.0022</v>
          </cell>
          <cell r="D599">
            <v>0.06</v>
          </cell>
        </row>
        <row r="600">
          <cell r="A600" t="str">
            <v>12.093.0031</v>
          </cell>
          <cell r="D600">
            <v>0.02</v>
          </cell>
        </row>
        <row r="601">
          <cell r="A601" t="str">
            <v>12.093.0041</v>
          </cell>
          <cell r="D601">
            <v>0.04</v>
          </cell>
        </row>
        <row r="602">
          <cell r="A602" t="str">
            <v>12.093.0100</v>
          </cell>
          <cell r="D602">
            <v>40</v>
          </cell>
        </row>
        <row r="603">
          <cell r="A603" t="str">
            <v>12.093.0110</v>
          </cell>
          <cell r="D603">
            <v>61</v>
          </cell>
        </row>
        <row r="604">
          <cell r="A604" t="str">
            <v>12.093.0120</v>
          </cell>
          <cell r="D604">
            <v>71</v>
          </cell>
        </row>
        <row r="605">
          <cell r="A605" t="str">
            <v>12.093.0150</v>
          </cell>
          <cell r="D605">
            <v>55</v>
          </cell>
        </row>
        <row r="606">
          <cell r="A606" t="str">
            <v>12.093.0155</v>
          </cell>
          <cell r="D606">
            <v>123</v>
          </cell>
        </row>
        <row r="607">
          <cell r="A607" t="str">
            <v>12.093.0160</v>
          </cell>
          <cell r="D607">
            <v>47</v>
          </cell>
        </row>
        <row r="608">
          <cell r="A608" t="str">
            <v>12.093.0200</v>
          </cell>
          <cell r="D608">
            <v>1000</v>
          </cell>
        </row>
        <row r="609">
          <cell r="A609" t="str">
            <v>12.093.0210</v>
          </cell>
          <cell r="D609">
            <v>420</v>
          </cell>
        </row>
        <row r="610">
          <cell r="A610" t="str">
            <v>12.093.0300</v>
          </cell>
          <cell r="D610">
            <v>557</v>
          </cell>
        </row>
        <row r="611">
          <cell r="A611" t="str">
            <v>12.093.0305</v>
          </cell>
          <cell r="D611">
            <v>714</v>
          </cell>
        </row>
        <row r="612">
          <cell r="A612" t="str">
            <v>12.093.0310</v>
          </cell>
          <cell r="D612">
            <v>872</v>
          </cell>
        </row>
        <row r="613">
          <cell r="A613" t="str">
            <v>12.093.0315</v>
          </cell>
          <cell r="D613">
            <v>1029</v>
          </cell>
        </row>
        <row r="614">
          <cell r="A614" t="str">
            <v>12.093.9000</v>
          </cell>
          <cell r="D614">
            <v>1900</v>
          </cell>
        </row>
        <row r="615">
          <cell r="A615" t="str">
            <v>12.094.0010</v>
          </cell>
          <cell r="D615">
            <v>924</v>
          </cell>
        </row>
        <row r="616">
          <cell r="A616" t="str">
            <v>12.094.0200</v>
          </cell>
          <cell r="D616">
            <v>2621</v>
          </cell>
        </row>
        <row r="617">
          <cell r="A617" t="str">
            <v>12.094.0500</v>
          </cell>
          <cell r="D617">
            <v>80</v>
          </cell>
        </row>
        <row r="618">
          <cell r="A618" t="str">
            <v>12.094.0510</v>
          </cell>
          <cell r="D618">
            <v>70</v>
          </cell>
        </row>
        <row r="619">
          <cell r="A619" t="str">
            <v>12.095.0100</v>
          </cell>
          <cell r="D619">
            <v>960</v>
          </cell>
        </row>
        <row r="620">
          <cell r="A620" t="str">
            <v>12.095.0110</v>
          </cell>
          <cell r="D620">
            <v>1230</v>
          </cell>
        </row>
        <row r="621">
          <cell r="A621" t="str">
            <v>12.095.0120</v>
          </cell>
          <cell r="D621">
            <v>940</v>
          </cell>
        </row>
        <row r="622">
          <cell r="A622" t="str">
            <v>12.095.0220</v>
          </cell>
          <cell r="D622">
            <v>1050</v>
          </cell>
        </row>
        <row r="623">
          <cell r="A623" t="str">
            <v>12.095.0222</v>
          </cell>
          <cell r="D623">
            <v>1050</v>
          </cell>
        </row>
        <row r="624">
          <cell r="A624" t="str">
            <v>12.095.0230</v>
          </cell>
          <cell r="D624">
            <v>1050</v>
          </cell>
        </row>
        <row r="625">
          <cell r="A625" t="str">
            <v>12.095.0232</v>
          </cell>
          <cell r="D625">
            <v>1050</v>
          </cell>
        </row>
        <row r="626">
          <cell r="A626" t="str">
            <v>12.095.0241</v>
          </cell>
          <cell r="D626">
            <v>1260</v>
          </cell>
        </row>
        <row r="627">
          <cell r="A627" t="str">
            <v>12.095.0243</v>
          </cell>
          <cell r="D627">
            <v>1260</v>
          </cell>
        </row>
        <row r="628">
          <cell r="A628" t="str">
            <v>12.095.0245</v>
          </cell>
          <cell r="D628">
            <v>1420</v>
          </cell>
        </row>
        <row r="629">
          <cell r="A629" t="str">
            <v>12.095.0247</v>
          </cell>
          <cell r="D629">
            <v>1420</v>
          </cell>
        </row>
        <row r="630">
          <cell r="A630" t="str">
            <v>12.095.0250</v>
          </cell>
          <cell r="D630">
            <v>2270</v>
          </cell>
        </row>
        <row r="631">
          <cell r="A631" t="str">
            <v>12.095.0252</v>
          </cell>
          <cell r="D631">
            <v>2270</v>
          </cell>
        </row>
        <row r="632">
          <cell r="A632" t="str">
            <v>12.095.0260</v>
          </cell>
          <cell r="D632">
            <v>1680</v>
          </cell>
        </row>
        <row r="633">
          <cell r="A633" t="str">
            <v>12.095.0262</v>
          </cell>
          <cell r="D633">
            <v>1680</v>
          </cell>
        </row>
        <row r="634">
          <cell r="A634" t="str">
            <v>12.095.0270</v>
          </cell>
          <cell r="D634">
            <v>2100</v>
          </cell>
        </row>
        <row r="635">
          <cell r="A635" t="str">
            <v>12.095.0272</v>
          </cell>
          <cell r="D635">
            <v>2100</v>
          </cell>
        </row>
        <row r="636">
          <cell r="A636" t="str">
            <v>12.095.0300</v>
          </cell>
          <cell r="D636">
            <v>660</v>
          </cell>
        </row>
        <row r="637">
          <cell r="A637" t="str">
            <v>12.095.0310</v>
          </cell>
          <cell r="D637">
            <v>142</v>
          </cell>
        </row>
        <row r="638">
          <cell r="A638" t="str">
            <v>12.095.0320</v>
          </cell>
          <cell r="D638">
            <v>262</v>
          </cell>
        </row>
        <row r="639">
          <cell r="A639" t="str">
            <v>12.095.0330</v>
          </cell>
          <cell r="D639">
            <v>400</v>
          </cell>
        </row>
        <row r="640">
          <cell r="A640" t="str">
            <v>12.095.0340</v>
          </cell>
          <cell r="D640">
            <v>327</v>
          </cell>
        </row>
        <row r="641">
          <cell r="A641" t="str">
            <v>12.095.0350</v>
          </cell>
          <cell r="D641">
            <v>472</v>
          </cell>
        </row>
        <row r="642">
          <cell r="A642" t="str">
            <v>12.095.0360</v>
          </cell>
          <cell r="D642">
            <v>136</v>
          </cell>
        </row>
        <row r="643">
          <cell r="A643" t="str">
            <v>12.095.0370</v>
          </cell>
          <cell r="D643">
            <v>304</v>
          </cell>
        </row>
        <row r="644">
          <cell r="A644" t="str">
            <v>12.095.0500</v>
          </cell>
          <cell r="D644">
            <v>2460</v>
          </cell>
        </row>
        <row r="645">
          <cell r="A645" t="str">
            <v>12.095.0510</v>
          </cell>
          <cell r="D645">
            <v>2300</v>
          </cell>
        </row>
      </sheetData>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2 - אלומיניום"/>
      <sheetName val="8 - חשמל"/>
      <sheetName val="15 - מיזוג אוויר"/>
      <sheetName val="יתר סעיפי מחירון"/>
      <sheetName val="סעיפים חסרים"/>
      <sheetName val="ריכוז"/>
    </sheetNames>
    <sheetDataSet>
      <sheetData sheetId="0" refreshError="1">
        <row r="3">
          <cell r="A3" t="str">
            <v>מחירון נובמבר 2025</v>
          </cell>
        </row>
        <row r="4">
          <cell r="A4" t="str">
            <v>סעיף</v>
          </cell>
        </row>
        <row r="5">
          <cell r="A5" t="str">
            <v>12.011.0200</v>
          </cell>
        </row>
        <row r="6">
          <cell r="A6" t="str">
            <v>12.011.0210</v>
          </cell>
        </row>
        <row r="7">
          <cell r="A7" t="str">
            <v>12.011.0220</v>
          </cell>
        </row>
        <row r="8">
          <cell r="A8" t="str">
            <v>12.011.0230</v>
          </cell>
        </row>
        <row r="9">
          <cell r="A9" t="str">
            <v>12.011.0260</v>
          </cell>
        </row>
        <row r="10">
          <cell r="A10" t="str">
            <v>12.011.0265</v>
          </cell>
        </row>
        <row r="11">
          <cell r="A11" t="str">
            <v>12.011.0270</v>
          </cell>
        </row>
        <row r="12">
          <cell r="A12" t="str">
            <v>12.011.0275</v>
          </cell>
        </row>
        <row r="13">
          <cell r="A13" t="str">
            <v>12.011.0280</v>
          </cell>
        </row>
        <row r="14">
          <cell r="A14" t="str">
            <v>12.011.0285</v>
          </cell>
        </row>
        <row r="15">
          <cell r="A15" t="str">
            <v>12.011.0300</v>
          </cell>
        </row>
        <row r="16">
          <cell r="A16" t="str">
            <v>12.011.0310</v>
          </cell>
        </row>
        <row r="17">
          <cell r="A17" t="str">
            <v>12.011.0320</v>
          </cell>
        </row>
        <row r="18">
          <cell r="A18" t="str">
            <v>12.011.0340</v>
          </cell>
        </row>
        <row r="19">
          <cell r="A19" t="str">
            <v>12.011.0345</v>
          </cell>
        </row>
        <row r="20">
          <cell r="A20" t="str">
            <v>12.011.0350</v>
          </cell>
        </row>
        <row r="21">
          <cell r="A21" t="str">
            <v>12.011.0355</v>
          </cell>
        </row>
        <row r="22">
          <cell r="A22" t="str">
            <v>12.011.0371</v>
          </cell>
        </row>
        <row r="23">
          <cell r="A23" t="str">
            <v>12.011.0980</v>
          </cell>
        </row>
        <row r="24">
          <cell r="A24" t="str">
            <v>12.011.0990</v>
          </cell>
        </row>
        <row r="25">
          <cell r="A25" t="str">
            <v>12.011.0992</v>
          </cell>
        </row>
        <row r="26">
          <cell r="A26" t="str">
            <v>12.011.1001</v>
          </cell>
        </row>
        <row r="27">
          <cell r="A27" t="str">
            <v>12.011.9000</v>
          </cell>
        </row>
        <row r="28">
          <cell r="A28" t="str">
            <v>12.011.9010</v>
          </cell>
        </row>
        <row r="29">
          <cell r="A29" t="str">
            <v>12.011.9016</v>
          </cell>
        </row>
        <row r="30">
          <cell r="A30" t="str">
            <v>12.011.9017</v>
          </cell>
        </row>
        <row r="31">
          <cell r="A31" t="str">
            <v>12.011.9100</v>
          </cell>
        </row>
        <row r="32">
          <cell r="A32" t="str">
            <v>12.011.9200</v>
          </cell>
        </row>
        <row r="33">
          <cell r="A33" t="str">
            <v>12.011.9210</v>
          </cell>
        </row>
        <row r="34">
          <cell r="A34" t="str">
            <v>12.011.9220</v>
          </cell>
        </row>
        <row r="35">
          <cell r="A35" t="str">
            <v>12.011.9230</v>
          </cell>
        </row>
        <row r="36">
          <cell r="A36" t="str">
            <v>12.011.9300</v>
          </cell>
        </row>
        <row r="37">
          <cell r="A37" t="str">
            <v>12.011.9310</v>
          </cell>
        </row>
        <row r="38">
          <cell r="A38" t="str">
            <v>12.012.0010</v>
          </cell>
        </row>
        <row r="39">
          <cell r="A39" t="str">
            <v>12.012.0020</v>
          </cell>
        </row>
        <row r="40">
          <cell r="A40" t="str">
            <v>12.012.0030</v>
          </cell>
        </row>
        <row r="41">
          <cell r="A41" t="str">
            <v>12.012.0100</v>
          </cell>
        </row>
        <row r="42">
          <cell r="A42" t="str">
            <v>12.012.0110</v>
          </cell>
        </row>
        <row r="43">
          <cell r="A43" t="str">
            <v>12.012.0120</v>
          </cell>
        </row>
        <row r="44">
          <cell r="A44" t="str">
            <v>12.012.0130</v>
          </cell>
        </row>
        <row r="45">
          <cell r="A45" t="str">
            <v>12.012.0200</v>
          </cell>
        </row>
        <row r="46">
          <cell r="A46" t="str">
            <v>12.012.0210</v>
          </cell>
        </row>
        <row r="47">
          <cell r="A47" t="str">
            <v>12.012.0220</v>
          </cell>
        </row>
        <row r="48">
          <cell r="A48" t="str">
            <v>12.012.0230</v>
          </cell>
        </row>
        <row r="49">
          <cell r="A49" t="str">
            <v>12.012.0300</v>
          </cell>
        </row>
        <row r="50">
          <cell r="A50" t="str">
            <v>12.012.0310</v>
          </cell>
        </row>
        <row r="51">
          <cell r="A51" t="str">
            <v>12.012.0320</v>
          </cell>
        </row>
        <row r="52">
          <cell r="A52" t="str">
            <v>12.012.0330</v>
          </cell>
        </row>
        <row r="53">
          <cell r="A53" t="str">
            <v>12.012.0500</v>
          </cell>
        </row>
        <row r="54">
          <cell r="A54" t="str">
            <v>12.012.0510</v>
          </cell>
        </row>
        <row r="55">
          <cell r="A55" t="str">
            <v>12.012.0520</v>
          </cell>
        </row>
        <row r="56">
          <cell r="A56" t="str">
            <v>12.012.0530</v>
          </cell>
        </row>
        <row r="57">
          <cell r="A57" t="str">
            <v>12.012.0551</v>
          </cell>
        </row>
        <row r="58">
          <cell r="A58" t="str">
            <v>12.012.0560</v>
          </cell>
        </row>
        <row r="59">
          <cell r="A59" t="str">
            <v>12.012.0570</v>
          </cell>
        </row>
        <row r="60">
          <cell r="A60" t="str">
            <v>12.012.0580</v>
          </cell>
        </row>
        <row r="61">
          <cell r="A61" t="str">
            <v>12.012.0700</v>
          </cell>
        </row>
        <row r="62">
          <cell r="A62" t="str">
            <v>12.012.0710</v>
          </cell>
        </row>
        <row r="63">
          <cell r="A63" t="str">
            <v>12.012.0720</v>
          </cell>
        </row>
        <row r="64">
          <cell r="A64" t="str">
            <v>12.012.0750</v>
          </cell>
        </row>
        <row r="65">
          <cell r="A65" t="str">
            <v>12.012.0755</v>
          </cell>
        </row>
        <row r="66">
          <cell r="A66" t="str">
            <v>12.012.0760</v>
          </cell>
        </row>
        <row r="67">
          <cell r="A67" t="str">
            <v>12.012.0765</v>
          </cell>
        </row>
        <row r="68">
          <cell r="A68" t="str">
            <v>12.012.0781</v>
          </cell>
        </row>
        <row r="69">
          <cell r="A69" t="str">
            <v>12.012.0980</v>
          </cell>
        </row>
        <row r="70">
          <cell r="A70" t="str">
            <v>12.012.1001</v>
          </cell>
        </row>
        <row r="71">
          <cell r="A71" t="str">
            <v>12.013.0012</v>
          </cell>
        </row>
        <row r="72">
          <cell r="A72" t="str">
            <v>12.013.0021</v>
          </cell>
        </row>
        <row r="73">
          <cell r="A73" t="str">
            <v>12.013.0052</v>
          </cell>
        </row>
        <row r="74">
          <cell r="A74" t="str">
            <v>12.013.0061</v>
          </cell>
        </row>
        <row r="75">
          <cell r="A75" t="str">
            <v>12.013.0102</v>
          </cell>
        </row>
        <row r="76">
          <cell r="A76" t="str">
            <v>12.013.0111</v>
          </cell>
        </row>
        <row r="77">
          <cell r="A77" t="str">
            <v>12.013.0121</v>
          </cell>
        </row>
        <row r="78">
          <cell r="A78" t="str">
            <v>12.013.0152</v>
          </cell>
        </row>
        <row r="79">
          <cell r="A79" t="str">
            <v>12.013.0161</v>
          </cell>
        </row>
        <row r="80">
          <cell r="A80" t="str">
            <v>12.013.0171</v>
          </cell>
        </row>
        <row r="81">
          <cell r="A81" t="str">
            <v>12.013.0400</v>
          </cell>
        </row>
        <row r="82">
          <cell r="A82" t="str">
            <v>12.013.0405</v>
          </cell>
        </row>
        <row r="83">
          <cell r="A83" t="str">
            <v>12.013.0410</v>
          </cell>
        </row>
        <row r="84">
          <cell r="A84" t="str">
            <v>12.013.0415</v>
          </cell>
        </row>
        <row r="85">
          <cell r="A85" t="str">
            <v>12.013.0450</v>
          </cell>
        </row>
        <row r="86">
          <cell r="A86" t="str">
            <v>12.013.0455</v>
          </cell>
        </row>
        <row r="87">
          <cell r="A87" t="str">
            <v>12.013.0460</v>
          </cell>
        </row>
        <row r="88">
          <cell r="A88" t="str">
            <v>12.013.0465</v>
          </cell>
        </row>
        <row r="89">
          <cell r="A89" t="str">
            <v>12.013.0470</v>
          </cell>
        </row>
        <row r="90">
          <cell r="A90" t="str">
            <v>12.013.0475</v>
          </cell>
        </row>
        <row r="91">
          <cell r="A91" t="str">
            <v>12.013.0601</v>
          </cell>
        </row>
        <row r="92">
          <cell r="A92" t="str">
            <v>12.014.0200</v>
          </cell>
        </row>
        <row r="93">
          <cell r="A93" t="str">
            <v>12.014.0210</v>
          </cell>
        </row>
        <row r="94">
          <cell r="A94" t="str">
            <v>12.014.0220</v>
          </cell>
        </row>
        <row r="95">
          <cell r="A95" t="str">
            <v>12.014.0230</v>
          </cell>
        </row>
        <row r="96">
          <cell r="A96" t="str">
            <v>12.014.0250</v>
          </cell>
        </row>
        <row r="97">
          <cell r="A97" t="str">
            <v>12.014.0260</v>
          </cell>
        </row>
        <row r="98">
          <cell r="A98" t="str">
            <v>12.014.0280</v>
          </cell>
        </row>
        <row r="99">
          <cell r="A99" t="str">
            <v>12.014.0290</v>
          </cell>
        </row>
        <row r="100">
          <cell r="A100" t="str">
            <v>12.014.0300</v>
          </cell>
        </row>
        <row r="101">
          <cell r="A101" t="str">
            <v>12.014.0320</v>
          </cell>
        </row>
        <row r="102">
          <cell r="A102" t="str">
            <v>12.014.0330</v>
          </cell>
        </row>
        <row r="103">
          <cell r="A103" t="str">
            <v>12.014.0400</v>
          </cell>
        </row>
        <row r="104">
          <cell r="A104" t="str">
            <v>12.014.0410</v>
          </cell>
        </row>
        <row r="105">
          <cell r="A105" t="str">
            <v>12.014.0450</v>
          </cell>
        </row>
        <row r="106">
          <cell r="A106" t="str">
            <v>12.014.0460</v>
          </cell>
        </row>
        <row r="107">
          <cell r="A107" t="str">
            <v>12.014.0500</v>
          </cell>
        </row>
        <row r="108">
          <cell r="A108" t="str">
            <v>12.014.0600</v>
          </cell>
        </row>
        <row r="109">
          <cell r="A109" t="str">
            <v>12.014.0610</v>
          </cell>
        </row>
        <row r="110">
          <cell r="A110" t="str">
            <v>12.014.0650</v>
          </cell>
        </row>
        <row r="111">
          <cell r="A111" t="str">
            <v>12.014.0660</v>
          </cell>
        </row>
        <row r="112">
          <cell r="A112" t="str">
            <v>12.014.0750</v>
          </cell>
        </row>
        <row r="113">
          <cell r="A113" t="str">
            <v>12.014.0760</v>
          </cell>
        </row>
        <row r="114">
          <cell r="A114" t="str">
            <v>12.014.0800</v>
          </cell>
        </row>
        <row r="115">
          <cell r="A115" t="str">
            <v>12.014.0810</v>
          </cell>
        </row>
        <row r="116">
          <cell r="A116" t="str">
            <v>12.014.0820</v>
          </cell>
        </row>
        <row r="117">
          <cell r="A117" t="str">
            <v>12.014.9011</v>
          </cell>
        </row>
        <row r="118">
          <cell r="A118" t="str">
            <v>12.014.9030</v>
          </cell>
        </row>
        <row r="119">
          <cell r="A119" t="str">
            <v>12.014.9040</v>
          </cell>
        </row>
        <row r="120">
          <cell r="A120" t="str">
            <v>12.014.9050</v>
          </cell>
        </row>
        <row r="121">
          <cell r="A121" t="str">
            <v>12.014.9052</v>
          </cell>
        </row>
        <row r="122">
          <cell r="A122" t="str">
            <v>12.014.9053</v>
          </cell>
        </row>
        <row r="123">
          <cell r="A123" t="str">
            <v>12.014.9060</v>
          </cell>
        </row>
        <row r="124">
          <cell r="A124" t="str">
            <v>12.014.9300</v>
          </cell>
        </row>
        <row r="125">
          <cell r="A125" t="str">
            <v>12.014.9310</v>
          </cell>
        </row>
        <row r="126">
          <cell r="A126" t="str">
            <v>12.014.9330</v>
          </cell>
        </row>
        <row r="127">
          <cell r="A127" t="str">
            <v>12.014.9340</v>
          </cell>
        </row>
        <row r="128">
          <cell r="A128" t="str">
            <v>12.014.9350</v>
          </cell>
        </row>
        <row r="129">
          <cell r="A129" t="str">
            <v>12.014.9360</v>
          </cell>
        </row>
        <row r="130">
          <cell r="A130" t="str">
            <v>12.016.0330</v>
          </cell>
        </row>
        <row r="131">
          <cell r="A131" t="str">
            <v>12.016.0340</v>
          </cell>
        </row>
        <row r="132">
          <cell r="A132" t="str">
            <v>12.016.0350</v>
          </cell>
        </row>
        <row r="133">
          <cell r="A133" t="str">
            <v>12.016.0360</v>
          </cell>
        </row>
        <row r="134">
          <cell r="A134" t="str">
            <v>12.016.0370</v>
          </cell>
        </row>
        <row r="135">
          <cell r="A135" t="str">
            <v>12.016.0380</v>
          </cell>
        </row>
        <row r="136">
          <cell r="A136" t="str">
            <v>12.016.0400</v>
          </cell>
        </row>
        <row r="137">
          <cell r="A137" t="str">
            <v>12.016.0410</v>
          </cell>
        </row>
        <row r="138">
          <cell r="A138" t="str">
            <v>12.016.0420</v>
          </cell>
        </row>
        <row r="139">
          <cell r="A139" t="str">
            <v>12.016.0600</v>
          </cell>
        </row>
        <row r="140">
          <cell r="A140" t="str">
            <v>12.016.0610</v>
          </cell>
        </row>
        <row r="141">
          <cell r="A141" t="str">
            <v>12.016.0620</v>
          </cell>
        </row>
        <row r="142">
          <cell r="A142" t="str">
            <v>12.016.0750</v>
          </cell>
        </row>
        <row r="143">
          <cell r="A143" t="str">
            <v>12.016.0760</v>
          </cell>
        </row>
        <row r="144">
          <cell r="A144" t="str">
            <v>12.016.0770</v>
          </cell>
        </row>
        <row r="145">
          <cell r="A145" t="str">
            <v>12.016.0780</v>
          </cell>
        </row>
        <row r="146">
          <cell r="A146" t="str">
            <v>12.016.9010</v>
          </cell>
        </row>
        <row r="147">
          <cell r="A147" t="str">
            <v>12.016.9020</v>
          </cell>
        </row>
        <row r="148">
          <cell r="A148" t="str">
            <v>12.018.0270</v>
          </cell>
        </row>
        <row r="149">
          <cell r="A149" t="str">
            <v>12.018.0280</v>
          </cell>
        </row>
        <row r="150">
          <cell r="A150" t="str">
            <v>12.018.0290</v>
          </cell>
        </row>
        <row r="151">
          <cell r="A151" t="str">
            <v>12.018.0300</v>
          </cell>
        </row>
        <row r="152">
          <cell r="A152" t="str">
            <v>12.018.0310</v>
          </cell>
        </row>
        <row r="153">
          <cell r="A153" t="str">
            <v>12.018.0320</v>
          </cell>
        </row>
        <row r="154">
          <cell r="A154" t="str">
            <v>12.018.0330</v>
          </cell>
        </row>
        <row r="155">
          <cell r="A155" t="str">
            <v>12.018.9009</v>
          </cell>
        </row>
        <row r="156">
          <cell r="A156" t="str">
            <v>12.018.9010</v>
          </cell>
        </row>
        <row r="157">
          <cell r="A157" t="str">
            <v>12.018.9020</v>
          </cell>
        </row>
        <row r="158">
          <cell r="A158" t="str">
            <v>12.018.9100</v>
          </cell>
        </row>
        <row r="159">
          <cell r="A159" t="str">
            <v>12.018.9120</v>
          </cell>
        </row>
        <row r="160">
          <cell r="A160" t="str">
            <v>12.018.9130</v>
          </cell>
        </row>
        <row r="161">
          <cell r="A161" t="str">
            <v>12.018.9150</v>
          </cell>
        </row>
        <row r="162">
          <cell r="A162" t="str">
            <v>12.051.0410</v>
          </cell>
        </row>
        <row r="163">
          <cell r="A163" t="str">
            <v>12.051.0460</v>
          </cell>
        </row>
        <row r="164">
          <cell r="A164" t="str">
            <v>12.051.0470</v>
          </cell>
        </row>
        <row r="165">
          <cell r="A165" t="str">
            <v>12.051.0510</v>
          </cell>
        </row>
        <row r="166">
          <cell r="A166" t="str">
            <v>12.051.0520</v>
          </cell>
        </row>
        <row r="167">
          <cell r="A167" t="str">
            <v>12.051.0560</v>
          </cell>
        </row>
        <row r="168">
          <cell r="A168" t="str">
            <v>12.051.0570</v>
          </cell>
        </row>
        <row r="169">
          <cell r="A169" t="str">
            <v>12.051.0610</v>
          </cell>
        </row>
        <row r="170">
          <cell r="A170" t="str">
            <v>12.051.0620</v>
          </cell>
        </row>
        <row r="171">
          <cell r="A171" t="str">
            <v>12.051.0650</v>
          </cell>
        </row>
        <row r="172">
          <cell r="A172" t="str">
            <v>12.051.0660</v>
          </cell>
        </row>
        <row r="173">
          <cell r="A173" t="str">
            <v>12.051.0691</v>
          </cell>
        </row>
        <row r="174">
          <cell r="A174" t="str">
            <v>12.051.9000</v>
          </cell>
        </row>
        <row r="175">
          <cell r="A175" t="str">
            <v>12.051.9010</v>
          </cell>
        </row>
        <row r="176">
          <cell r="A176" t="str">
            <v>12.051.9100</v>
          </cell>
        </row>
        <row r="177">
          <cell r="A177" t="str">
            <v>12.051.9150</v>
          </cell>
        </row>
        <row r="178">
          <cell r="A178" t="str">
            <v>12.051.9160</v>
          </cell>
        </row>
        <row r="179">
          <cell r="A179" t="str">
            <v>12.051.9200</v>
          </cell>
        </row>
        <row r="180">
          <cell r="A180" t="str">
            <v>12.051.9210</v>
          </cell>
        </row>
        <row r="181">
          <cell r="A181" t="str">
            <v>12.051.9220</v>
          </cell>
        </row>
        <row r="182">
          <cell r="A182" t="str">
            <v>12.052.0010</v>
          </cell>
        </row>
        <row r="183">
          <cell r="A183" t="str">
            <v>12.052.0020</v>
          </cell>
        </row>
        <row r="184">
          <cell r="A184" t="str">
            <v>12.052.0030</v>
          </cell>
        </row>
        <row r="185">
          <cell r="A185" t="str">
            <v>12.052.0060</v>
          </cell>
        </row>
        <row r="186">
          <cell r="A186" t="str">
            <v>12.052.0070</v>
          </cell>
        </row>
        <row r="187">
          <cell r="A187" t="str">
            <v>12.052.0080</v>
          </cell>
        </row>
        <row r="188">
          <cell r="A188" t="str">
            <v>12.052.0100</v>
          </cell>
        </row>
        <row r="189">
          <cell r="A189" t="str">
            <v>12.052.0110</v>
          </cell>
        </row>
        <row r="190">
          <cell r="A190" t="str">
            <v>12.052.0120</v>
          </cell>
        </row>
        <row r="191">
          <cell r="A191" t="str">
            <v>12.052.0150</v>
          </cell>
        </row>
        <row r="192">
          <cell r="A192" t="str">
            <v>12.052.0160</v>
          </cell>
        </row>
        <row r="193">
          <cell r="A193" t="str">
            <v>12.052.0170</v>
          </cell>
        </row>
        <row r="194">
          <cell r="A194" t="str">
            <v>12.052.0200</v>
          </cell>
        </row>
        <row r="195">
          <cell r="A195" t="str">
            <v>12.052.0210</v>
          </cell>
        </row>
        <row r="196">
          <cell r="A196" t="str">
            <v>12.052.0220</v>
          </cell>
        </row>
        <row r="197">
          <cell r="A197" t="str">
            <v>12.052.0250</v>
          </cell>
        </row>
        <row r="198">
          <cell r="A198" t="str">
            <v>12.052.0260</v>
          </cell>
        </row>
        <row r="199">
          <cell r="A199" t="str">
            <v>12.052.0270</v>
          </cell>
        </row>
        <row r="200">
          <cell r="A200" t="str">
            <v>12.052.0291</v>
          </cell>
        </row>
        <row r="201">
          <cell r="A201" t="str">
            <v>12.052.0501</v>
          </cell>
        </row>
        <row r="202">
          <cell r="A202" t="str">
            <v>12.052.0511</v>
          </cell>
        </row>
        <row r="203">
          <cell r="A203" t="str">
            <v>12.052.0521</v>
          </cell>
        </row>
        <row r="204">
          <cell r="A204" t="str">
            <v>12.052.0550</v>
          </cell>
        </row>
        <row r="205">
          <cell r="A205" t="str">
            <v>12.052.0560</v>
          </cell>
        </row>
        <row r="206">
          <cell r="A206" t="str">
            <v>12.052.0570</v>
          </cell>
        </row>
        <row r="207">
          <cell r="A207" t="str">
            <v>12.052.0700</v>
          </cell>
        </row>
        <row r="208">
          <cell r="A208" t="str">
            <v>12.052.0710</v>
          </cell>
        </row>
        <row r="209">
          <cell r="A209" t="str">
            <v>12.052.0720</v>
          </cell>
        </row>
        <row r="210">
          <cell r="A210" t="str">
            <v>12.052.0750</v>
          </cell>
        </row>
        <row r="211">
          <cell r="A211" t="str">
            <v>12.052.0760</v>
          </cell>
        </row>
        <row r="212">
          <cell r="A212" t="str">
            <v>12.052.0770</v>
          </cell>
        </row>
        <row r="213">
          <cell r="A213" t="str">
            <v>12.052.0810</v>
          </cell>
        </row>
        <row r="214">
          <cell r="A214" t="str">
            <v>12.052.0820</v>
          </cell>
        </row>
        <row r="215">
          <cell r="A215" t="str">
            <v>12.052.0860</v>
          </cell>
        </row>
        <row r="216">
          <cell r="A216" t="str">
            <v>12.052.0870</v>
          </cell>
        </row>
        <row r="217">
          <cell r="A217" t="str">
            <v>12.052.0891</v>
          </cell>
        </row>
        <row r="218">
          <cell r="A218" t="str">
            <v>12.053.0100</v>
          </cell>
        </row>
        <row r="219">
          <cell r="A219" t="str">
            <v>12.053.0110</v>
          </cell>
        </row>
        <row r="220">
          <cell r="A220" t="str">
            <v>12.053.0200</v>
          </cell>
        </row>
        <row r="221">
          <cell r="A221" t="str">
            <v>12.053.0210</v>
          </cell>
        </row>
        <row r="222">
          <cell r="A222" t="str">
            <v>12.053.0250</v>
          </cell>
        </row>
        <row r="223">
          <cell r="A223" t="str">
            <v>12.053.0260</v>
          </cell>
        </row>
        <row r="224">
          <cell r="A224" t="str">
            <v>12.053.0270</v>
          </cell>
        </row>
        <row r="225">
          <cell r="A225" t="str">
            <v>12.053.0272</v>
          </cell>
        </row>
        <row r="226">
          <cell r="A226" t="str">
            <v>12.053.0300</v>
          </cell>
        </row>
        <row r="227">
          <cell r="A227" t="str">
            <v>12.053.0310</v>
          </cell>
        </row>
        <row r="228">
          <cell r="A228" t="str">
            <v>12.053.0350</v>
          </cell>
        </row>
        <row r="229">
          <cell r="A229" t="str">
            <v>12.053.0360</v>
          </cell>
        </row>
        <row r="230">
          <cell r="A230" t="str">
            <v>12.053.0400</v>
          </cell>
        </row>
        <row r="231">
          <cell r="A231" t="str">
            <v>12.053.0410</v>
          </cell>
        </row>
        <row r="232">
          <cell r="A232" t="str">
            <v>12.053.0450</v>
          </cell>
        </row>
        <row r="233">
          <cell r="A233" t="str">
            <v>12.053.0460</v>
          </cell>
        </row>
        <row r="234">
          <cell r="A234" t="str">
            <v>12.053.0500</v>
          </cell>
        </row>
        <row r="235">
          <cell r="A235" t="str">
            <v>12.053.0510</v>
          </cell>
        </row>
        <row r="236">
          <cell r="A236" t="str">
            <v>12.053.0520</v>
          </cell>
        </row>
        <row r="237">
          <cell r="A237" t="str">
            <v>12.053.0522</v>
          </cell>
        </row>
        <row r="238">
          <cell r="A238" t="str">
            <v>12.053.0550</v>
          </cell>
        </row>
        <row r="239">
          <cell r="A239" t="str">
            <v>12.053.0560</v>
          </cell>
        </row>
        <row r="240">
          <cell r="A240" t="str">
            <v>12.053.0600</v>
          </cell>
        </row>
        <row r="241">
          <cell r="A241" t="str">
            <v>12.053.0610</v>
          </cell>
        </row>
        <row r="242">
          <cell r="A242" t="str">
            <v>12.053.1000</v>
          </cell>
        </row>
        <row r="243">
          <cell r="A243" t="str">
            <v>12.053.2000</v>
          </cell>
        </row>
        <row r="244">
          <cell r="A244" t="str">
            <v>12.053.9010</v>
          </cell>
        </row>
        <row r="245">
          <cell r="A245" t="str">
            <v>12.053.9015</v>
          </cell>
        </row>
        <row r="246">
          <cell r="A246" t="str">
            <v>12.053.9020</v>
          </cell>
        </row>
        <row r="247">
          <cell r="A247" t="str">
            <v>12.053.9030</v>
          </cell>
        </row>
        <row r="248">
          <cell r="A248" t="str">
            <v>12.053.9040</v>
          </cell>
        </row>
        <row r="249">
          <cell r="A249" t="str">
            <v>12.053.9045</v>
          </cell>
        </row>
        <row r="250">
          <cell r="A250" t="str">
            <v>12.053.9050</v>
          </cell>
        </row>
        <row r="251">
          <cell r="A251" t="str">
            <v>12.053.9100</v>
          </cell>
        </row>
        <row r="252">
          <cell r="A252" t="str">
            <v>12.055.0010</v>
          </cell>
        </row>
        <row r="253">
          <cell r="A253" t="str">
            <v>12.055.0200</v>
          </cell>
        </row>
        <row r="254">
          <cell r="A254" t="str">
            <v>12.055.0300</v>
          </cell>
        </row>
        <row r="255">
          <cell r="A255" t="str">
            <v>12.061.0015</v>
          </cell>
        </row>
        <row r="256">
          <cell r="A256" t="str">
            <v>12.061.0017</v>
          </cell>
        </row>
        <row r="257">
          <cell r="A257" t="str">
            <v>12.061.0019</v>
          </cell>
        </row>
        <row r="258">
          <cell r="A258" t="str">
            <v>12.061.0036</v>
          </cell>
        </row>
        <row r="259">
          <cell r="A259" t="str">
            <v>12.061.0100</v>
          </cell>
        </row>
        <row r="260">
          <cell r="A260" t="str">
            <v>12.061.0200</v>
          </cell>
        </row>
        <row r="261">
          <cell r="A261" t="str">
            <v>12.061.0300</v>
          </cell>
        </row>
        <row r="262">
          <cell r="A262" t="str">
            <v>12.061.9000</v>
          </cell>
        </row>
        <row r="263">
          <cell r="A263" t="str">
            <v>12.062.0010</v>
          </cell>
        </row>
        <row r="264">
          <cell r="A264" t="str">
            <v>12.062.0015</v>
          </cell>
        </row>
        <row r="265">
          <cell r="A265" t="str">
            <v>12.062.0017</v>
          </cell>
        </row>
        <row r="266">
          <cell r="A266" t="str">
            <v>12.062.0019</v>
          </cell>
        </row>
        <row r="267">
          <cell r="A267" t="str">
            <v>12.062.0030</v>
          </cell>
        </row>
        <row r="268">
          <cell r="A268" t="str">
            <v>12.062.0032</v>
          </cell>
        </row>
        <row r="269">
          <cell r="A269" t="str">
            <v>12.062.0035</v>
          </cell>
        </row>
        <row r="270">
          <cell r="A270" t="str">
            <v>12.062.0037</v>
          </cell>
        </row>
        <row r="271">
          <cell r="A271" t="str">
            <v>12.062.0040</v>
          </cell>
        </row>
        <row r="272">
          <cell r="A272" t="str">
            <v>12.062.0045</v>
          </cell>
        </row>
        <row r="273">
          <cell r="A273" t="str">
            <v>12.062.0050</v>
          </cell>
        </row>
        <row r="274">
          <cell r="A274" t="str">
            <v>12.062.0055</v>
          </cell>
        </row>
        <row r="275">
          <cell r="A275" t="str">
            <v>12.062.0200</v>
          </cell>
        </row>
        <row r="276">
          <cell r="A276" t="str">
            <v>12.062.0210</v>
          </cell>
        </row>
        <row r="277">
          <cell r="A277" t="str">
            <v>12.062.0220</v>
          </cell>
        </row>
        <row r="278">
          <cell r="A278" t="str">
            <v>12.062.0250</v>
          </cell>
        </row>
        <row r="279">
          <cell r="A279" t="str">
            <v>12.062.0300</v>
          </cell>
        </row>
        <row r="280">
          <cell r="A280" t="str">
            <v>12.065.1000</v>
          </cell>
        </row>
        <row r="281">
          <cell r="A281" t="str">
            <v>12.065.1010</v>
          </cell>
        </row>
        <row r="282">
          <cell r="A282" t="str">
            <v>12.065.1030</v>
          </cell>
        </row>
        <row r="283">
          <cell r="A283" t="str">
            <v>12.065.1040</v>
          </cell>
        </row>
        <row r="284">
          <cell r="A284" t="str">
            <v>12.065.1050</v>
          </cell>
        </row>
        <row r="285">
          <cell r="A285" t="str">
            <v>12.065.1100</v>
          </cell>
        </row>
        <row r="286">
          <cell r="A286" t="str">
            <v>12.065.1110</v>
          </cell>
        </row>
        <row r="287">
          <cell r="A287" t="str">
            <v>12.065.1200</v>
          </cell>
        </row>
        <row r="288">
          <cell r="A288" t="str">
            <v>12.065.1210</v>
          </cell>
        </row>
        <row r="289">
          <cell r="A289" t="str">
            <v>12.065.1220</v>
          </cell>
        </row>
        <row r="290">
          <cell r="A290" t="str">
            <v>12.065.1250</v>
          </cell>
        </row>
        <row r="291">
          <cell r="A291" t="str">
            <v>12.065.1260</v>
          </cell>
        </row>
        <row r="292">
          <cell r="A292" t="str">
            <v>12.065.1270</v>
          </cell>
        </row>
        <row r="293">
          <cell r="A293" t="str">
            <v>12.065.1300</v>
          </cell>
        </row>
        <row r="294">
          <cell r="A294" t="str">
            <v>12.065.1310</v>
          </cell>
        </row>
        <row r="295">
          <cell r="A295" t="str">
            <v>12.065.1320</v>
          </cell>
        </row>
        <row r="296">
          <cell r="A296" t="str">
            <v>12.065.1350</v>
          </cell>
        </row>
        <row r="297">
          <cell r="A297" t="str">
            <v>12.065.1360</v>
          </cell>
        </row>
        <row r="298">
          <cell r="A298" t="str">
            <v>12.065.1370</v>
          </cell>
        </row>
        <row r="299">
          <cell r="A299" t="str">
            <v>12.065.1400</v>
          </cell>
        </row>
        <row r="300">
          <cell r="A300" t="str">
            <v>12.065.1450</v>
          </cell>
        </row>
        <row r="301">
          <cell r="A301" t="str">
            <v>12.065.1460</v>
          </cell>
        </row>
        <row r="302">
          <cell r="A302" t="str">
            <v>12.065.1510</v>
          </cell>
        </row>
        <row r="303">
          <cell r="A303" t="str">
            <v>12.065.1520</v>
          </cell>
        </row>
        <row r="304">
          <cell r="A304" t="str">
            <v>12.065.1530</v>
          </cell>
        </row>
        <row r="305">
          <cell r="A305" t="str">
            <v>12.065.1540</v>
          </cell>
        </row>
        <row r="306">
          <cell r="A306" t="str">
            <v>12.065.1600</v>
          </cell>
        </row>
        <row r="307">
          <cell r="A307" t="str">
            <v>12.065.1602</v>
          </cell>
        </row>
        <row r="308">
          <cell r="A308" t="str">
            <v>12.065.1604</v>
          </cell>
        </row>
        <row r="309">
          <cell r="A309" t="str">
            <v>12.065.1611</v>
          </cell>
        </row>
        <row r="310">
          <cell r="A310" t="str">
            <v>12.065.1613</v>
          </cell>
        </row>
        <row r="311">
          <cell r="A311" t="str">
            <v>12.065.1615</v>
          </cell>
        </row>
        <row r="312">
          <cell r="A312" t="str">
            <v>12.065.1621</v>
          </cell>
        </row>
        <row r="313">
          <cell r="A313" t="str">
            <v>12.065.1631</v>
          </cell>
        </row>
        <row r="314">
          <cell r="A314" t="str">
            <v>12.065.1641</v>
          </cell>
        </row>
        <row r="315">
          <cell r="A315" t="str">
            <v>12.065.1651</v>
          </cell>
        </row>
        <row r="316">
          <cell r="A316" t="str">
            <v>12.065.1661</v>
          </cell>
        </row>
        <row r="317">
          <cell r="A317" t="str">
            <v>12.065.1671</v>
          </cell>
        </row>
        <row r="318">
          <cell r="A318" t="str">
            <v>12.065.1681</v>
          </cell>
        </row>
        <row r="319">
          <cell r="A319" t="str">
            <v>12.065.1700</v>
          </cell>
        </row>
        <row r="320">
          <cell r="A320" t="str">
            <v>12.065.1710</v>
          </cell>
        </row>
        <row r="321">
          <cell r="A321" t="str">
            <v>12.065.1720</v>
          </cell>
        </row>
        <row r="322">
          <cell r="A322" t="str">
            <v>12.065.1730</v>
          </cell>
        </row>
        <row r="323">
          <cell r="A323" t="str">
            <v>12.065.2000</v>
          </cell>
        </row>
        <row r="324">
          <cell r="A324" t="str">
            <v>12.065.2010</v>
          </cell>
        </row>
        <row r="325">
          <cell r="A325" t="str">
            <v>12.065.2020</v>
          </cell>
        </row>
        <row r="326">
          <cell r="A326" t="str">
            <v>12.065.2030</v>
          </cell>
        </row>
        <row r="327">
          <cell r="A327" t="str">
            <v>12.065.2040</v>
          </cell>
        </row>
        <row r="328">
          <cell r="A328" t="str">
            <v>12.065.2050</v>
          </cell>
        </row>
        <row r="329">
          <cell r="A329" t="str">
            <v>12.065.2060</v>
          </cell>
        </row>
        <row r="330">
          <cell r="A330" t="str">
            <v>12.065.2070</v>
          </cell>
        </row>
        <row r="331">
          <cell r="A331" t="str">
            <v>12.065.2080</v>
          </cell>
        </row>
        <row r="332">
          <cell r="A332" t="str">
            <v>12.065.2090</v>
          </cell>
        </row>
        <row r="333">
          <cell r="A333" t="str">
            <v>12.065.2100</v>
          </cell>
        </row>
        <row r="334">
          <cell r="A334" t="str">
            <v>12.065.2110</v>
          </cell>
        </row>
        <row r="335">
          <cell r="A335" t="str">
            <v>12.065.2120</v>
          </cell>
        </row>
        <row r="336">
          <cell r="A336" t="str">
            <v>12.065.3000</v>
          </cell>
        </row>
        <row r="337">
          <cell r="A337" t="str">
            <v>12.065.3010</v>
          </cell>
        </row>
        <row r="338">
          <cell r="A338" t="str">
            <v>12.065.3030</v>
          </cell>
        </row>
        <row r="339">
          <cell r="A339" t="str">
            <v>12.065.3040</v>
          </cell>
        </row>
        <row r="340">
          <cell r="A340" t="str">
            <v>12.065.3050</v>
          </cell>
        </row>
        <row r="341">
          <cell r="A341" t="str">
            <v>12.065.3060</v>
          </cell>
        </row>
        <row r="342">
          <cell r="A342" t="str">
            <v>12.065.3070</v>
          </cell>
        </row>
        <row r="343">
          <cell r="A343" t="str">
            <v>12.065.3080</v>
          </cell>
        </row>
        <row r="344">
          <cell r="A344" t="str">
            <v>12.065.9000</v>
          </cell>
        </row>
        <row r="345">
          <cell r="A345" t="str">
            <v>12.065.9010</v>
          </cell>
        </row>
        <row r="346">
          <cell r="A346" t="str">
            <v>12.065.9020</v>
          </cell>
        </row>
        <row r="347">
          <cell r="A347" t="str">
            <v>12.065.9100</v>
          </cell>
        </row>
        <row r="348">
          <cell r="A348" t="str">
            <v>12.065.9110</v>
          </cell>
        </row>
        <row r="349">
          <cell r="A349" t="str">
            <v>12.065.9120</v>
          </cell>
        </row>
        <row r="350">
          <cell r="A350" t="str">
            <v>12.065.9200</v>
          </cell>
        </row>
        <row r="351">
          <cell r="A351" t="str">
            <v>12.065.9210</v>
          </cell>
        </row>
        <row r="352">
          <cell r="A352" t="str">
            <v>12.065.9300</v>
          </cell>
        </row>
        <row r="353">
          <cell r="A353" t="str">
            <v>12.065.9305</v>
          </cell>
        </row>
        <row r="354">
          <cell r="A354" t="str">
            <v>12.065.9310</v>
          </cell>
        </row>
        <row r="355">
          <cell r="A355" t="str">
            <v>12.065.9320</v>
          </cell>
        </row>
        <row r="356">
          <cell r="A356" t="str">
            <v>12.065.9325</v>
          </cell>
        </row>
        <row r="357">
          <cell r="A357" t="str">
            <v>12.065.9330</v>
          </cell>
        </row>
        <row r="358">
          <cell r="A358" t="str">
            <v>12.065.9341</v>
          </cell>
        </row>
        <row r="359">
          <cell r="A359" t="str">
            <v>12.065.9343</v>
          </cell>
        </row>
        <row r="360">
          <cell r="A360" t="str">
            <v>12.065.9350</v>
          </cell>
        </row>
        <row r="361">
          <cell r="A361" t="str">
            <v>12.065.9360</v>
          </cell>
        </row>
        <row r="362">
          <cell r="A362" t="str">
            <v>12.065.9370</v>
          </cell>
        </row>
        <row r="363">
          <cell r="A363" t="str">
            <v>12.066.0010</v>
          </cell>
        </row>
        <row r="364">
          <cell r="A364" t="str">
            <v>12.066.0020</v>
          </cell>
        </row>
        <row r="365">
          <cell r="A365" t="str">
            <v>12.066.0200</v>
          </cell>
        </row>
        <row r="366">
          <cell r="A366" t="str">
            <v>12.066.0300</v>
          </cell>
        </row>
        <row r="367">
          <cell r="A367" t="str">
            <v>12.066.0310</v>
          </cell>
        </row>
        <row r="368">
          <cell r="A368" t="str">
            <v>12.066.0320</v>
          </cell>
        </row>
        <row r="369">
          <cell r="A369" t="str">
            <v>12.067.0100</v>
          </cell>
        </row>
        <row r="370">
          <cell r="A370" t="str">
            <v>12.067.0110</v>
          </cell>
        </row>
        <row r="371">
          <cell r="A371" t="str">
            <v>12.067.0120</v>
          </cell>
        </row>
        <row r="372">
          <cell r="A372" t="str">
            <v>12.067.0150</v>
          </cell>
        </row>
        <row r="373">
          <cell r="A373" t="str">
            <v>12.067.0160</v>
          </cell>
        </row>
        <row r="374">
          <cell r="A374" t="str">
            <v>12.067.0200</v>
          </cell>
        </row>
        <row r="375">
          <cell r="A375" t="str">
            <v>12.067.0210</v>
          </cell>
        </row>
        <row r="376">
          <cell r="A376" t="str">
            <v>12.067.0250</v>
          </cell>
        </row>
        <row r="377">
          <cell r="A377" t="str">
            <v>12.067.0260</v>
          </cell>
        </row>
        <row r="378">
          <cell r="A378" t="str">
            <v>12.067.0300</v>
          </cell>
        </row>
        <row r="379">
          <cell r="A379" t="str">
            <v>12.067.0310</v>
          </cell>
        </row>
        <row r="380">
          <cell r="A380" t="str">
            <v>12.067.0350</v>
          </cell>
        </row>
        <row r="381">
          <cell r="A381" t="str">
            <v>12.067.0400</v>
          </cell>
        </row>
        <row r="382">
          <cell r="A382" t="str">
            <v>12.067.0410</v>
          </cell>
        </row>
        <row r="383">
          <cell r="A383" t="str">
            <v>12.067.9000</v>
          </cell>
        </row>
        <row r="384">
          <cell r="A384" t="str">
            <v>12.067.9020</v>
          </cell>
        </row>
        <row r="385">
          <cell r="A385" t="str">
            <v>12.067.9040</v>
          </cell>
        </row>
        <row r="386">
          <cell r="A386" t="str">
            <v>12.068.0621</v>
          </cell>
        </row>
        <row r="387">
          <cell r="A387" t="str">
            <v>12.068.0623</v>
          </cell>
        </row>
        <row r="388">
          <cell r="A388" t="str">
            <v>12.068.0626</v>
          </cell>
        </row>
        <row r="389">
          <cell r="A389" t="str">
            <v>12.068.0636</v>
          </cell>
        </row>
        <row r="390">
          <cell r="A390" t="str">
            <v>12.068.0640</v>
          </cell>
        </row>
        <row r="391">
          <cell r="A391" t="str">
            <v>12.068.0700</v>
          </cell>
        </row>
        <row r="392">
          <cell r="A392" t="str">
            <v>12.068.0710</v>
          </cell>
        </row>
        <row r="393">
          <cell r="A393" t="str">
            <v>12.068.0741</v>
          </cell>
        </row>
        <row r="394">
          <cell r="A394" t="str">
            <v>12.068.0751</v>
          </cell>
        </row>
        <row r="395">
          <cell r="A395" t="str">
            <v>12.068.0800</v>
          </cell>
        </row>
        <row r="396">
          <cell r="A396" t="str">
            <v>12.068.0810</v>
          </cell>
        </row>
        <row r="397">
          <cell r="A397" t="str">
            <v>12.068.0815</v>
          </cell>
        </row>
        <row r="398">
          <cell r="A398" t="str">
            <v>12.068.0820</v>
          </cell>
        </row>
        <row r="399">
          <cell r="A399" t="str">
            <v>12.068.0840</v>
          </cell>
        </row>
        <row r="400">
          <cell r="A400" t="str">
            <v>12.068.0850</v>
          </cell>
        </row>
        <row r="401">
          <cell r="A401" t="str">
            <v>12.068.0860</v>
          </cell>
        </row>
        <row r="402">
          <cell r="A402" t="str">
            <v>12.068.0870</v>
          </cell>
        </row>
        <row r="403">
          <cell r="A403" t="str">
            <v>12.068.0880</v>
          </cell>
        </row>
        <row r="404">
          <cell r="A404" t="str">
            <v>12.068.0900</v>
          </cell>
        </row>
        <row r="405">
          <cell r="A405" t="str">
            <v>12.068.0902</v>
          </cell>
        </row>
        <row r="406">
          <cell r="A406" t="str">
            <v>12.068.0904</v>
          </cell>
        </row>
        <row r="407">
          <cell r="A407" t="str">
            <v>12.068.0906</v>
          </cell>
        </row>
        <row r="408">
          <cell r="A408" t="str">
            <v>12.068.0908</v>
          </cell>
        </row>
        <row r="409">
          <cell r="A409" t="str">
            <v>12.068.0910</v>
          </cell>
        </row>
        <row r="410">
          <cell r="A410" t="str">
            <v>12.068.0930</v>
          </cell>
        </row>
        <row r="411">
          <cell r="A411" t="str">
            <v>12.068.0932</v>
          </cell>
        </row>
        <row r="412">
          <cell r="A412" t="str">
            <v>12.068.0934</v>
          </cell>
        </row>
        <row r="413">
          <cell r="A413" t="str">
            <v>12.068.0936</v>
          </cell>
        </row>
        <row r="414">
          <cell r="A414" t="str">
            <v>12.068.0938</v>
          </cell>
        </row>
        <row r="415">
          <cell r="A415" t="str">
            <v>12.068.0960</v>
          </cell>
        </row>
        <row r="416">
          <cell r="A416" t="str">
            <v>12.068.0962</v>
          </cell>
        </row>
        <row r="417">
          <cell r="A417" t="str">
            <v>12.068.0964</v>
          </cell>
        </row>
        <row r="418">
          <cell r="A418" t="str">
            <v>12.068.0980</v>
          </cell>
        </row>
        <row r="419">
          <cell r="A419" t="str">
            <v>12.068.0990</v>
          </cell>
        </row>
        <row r="420">
          <cell r="A420" t="str">
            <v>12.068.0992</v>
          </cell>
        </row>
        <row r="421">
          <cell r="A421" t="str">
            <v>12.068.0994</v>
          </cell>
        </row>
        <row r="422">
          <cell r="A422" t="str">
            <v>12.068.1000</v>
          </cell>
        </row>
        <row r="423">
          <cell r="A423" t="str">
            <v>12.068.1002</v>
          </cell>
        </row>
        <row r="424">
          <cell r="A424" t="str">
            <v>12.068.1004</v>
          </cell>
        </row>
        <row r="425">
          <cell r="A425" t="str">
            <v>12.068.1006</v>
          </cell>
        </row>
        <row r="426">
          <cell r="A426" t="str">
            <v>12.068.1008</v>
          </cell>
        </row>
        <row r="427">
          <cell r="A427" t="str">
            <v>12.068.1010</v>
          </cell>
        </row>
        <row r="428">
          <cell r="A428" t="str">
            <v>12.068.1050</v>
          </cell>
        </row>
        <row r="429">
          <cell r="A429" t="str">
            <v>12.068.1052</v>
          </cell>
        </row>
        <row r="430">
          <cell r="A430" t="str">
            <v>12.068.1054</v>
          </cell>
        </row>
        <row r="431">
          <cell r="A431" t="str">
            <v>12.068.1056</v>
          </cell>
        </row>
        <row r="432">
          <cell r="A432" t="str">
            <v>12.068.1070</v>
          </cell>
        </row>
        <row r="433">
          <cell r="A433" t="str">
            <v>12.068.1080</v>
          </cell>
        </row>
        <row r="434">
          <cell r="A434" t="str">
            <v>12.068.1150</v>
          </cell>
        </row>
        <row r="435">
          <cell r="A435" t="str">
            <v>12.068.1160</v>
          </cell>
        </row>
        <row r="436">
          <cell r="A436" t="str">
            <v>12.068.1170</v>
          </cell>
        </row>
        <row r="437">
          <cell r="A437" t="str">
            <v>12.068.1180</v>
          </cell>
        </row>
        <row r="438">
          <cell r="A438" t="str">
            <v>12.068.1190</v>
          </cell>
        </row>
        <row r="439">
          <cell r="A439" t="str">
            <v>12.068.1200</v>
          </cell>
        </row>
        <row r="440">
          <cell r="A440" t="str">
            <v>12.068.1210</v>
          </cell>
        </row>
        <row r="441">
          <cell r="A441" t="str">
            <v>12.068.1220</v>
          </cell>
        </row>
        <row r="442">
          <cell r="A442" t="str">
            <v>12.068.1230</v>
          </cell>
        </row>
        <row r="443">
          <cell r="A443" t="str">
            <v>12.068.1250</v>
          </cell>
        </row>
        <row r="444">
          <cell r="A444" t="str">
            <v>12.068.1300</v>
          </cell>
        </row>
        <row r="445">
          <cell r="A445" t="str">
            <v>12.068.1302</v>
          </cell>
        </row>
        <row r="446">
          <cell r="A446" t="str">
            <v>12.068.1304</v>
          </cell>
        </row>
        <row r="447">
          <cell r="A447" t="str">
            <v>12.068.1306</v>
          </cell>
        </row>
        <row r="448">
          <cell r="A448" t="str">
            <v>12.068.1308</v>
          </cell>
        </row>
        <row r="449">
          <cell r="A449" t="str">
            <v>12.068.1310</v>
          </cell>
        </row>
        <row r="450">
          <cell r="A450" t="str">
            <v>12.068.1312</v>
          </cell>
        </row>
        <row r="451">
          <cell r="A451" t="str">
            <v>12.068.1314</v>
          </cell>
        </row>
        <row r="452">
          <cell r="A452" t="str">
            <v>12.068.1316</v>
          </cell>
        </row>
        <row r="453">
          <cell r="A453" t="str">
            <v>12.068.1318</v>
          </cell>
        </row>
        <row r="454">
          <cell r="A454" t="str">
            <v>12.068.1320</v>
          </cell>
        </row>
        <row r="455">
          <cell r="A455" t="str">
            <v>12.068.1322</v>
          </cell>
        </row>
        <row r="456">
          <cell r="A456" t="str">
            <v>12.068.1324</v>
          </cell>
        </row>
        <row r="457">
          <cell r="A457" t="str">
            <v>12.068.1326</v>
          </cell>
        </row>
        <row r="458">
          <cell r="A458" t="str">
            <v>12.068.1350</v>
          </cell>
        </row>
        <row r="459">
          <cell r="A459" t="str">
            <v>12.068.1352</v>
          </cell>
        </row>
        <row r="460">
          <cell r="A460" t="str">
            <v>12.068.1354</v>
          </cell>
        </row>
        <row r="461">
          <cell r="A461" t="str">
            <v>12.068.1356</v>
          </cell>
        </row>
        <row r="462">
          <cell r="A462" t="str">
            <v>12.068.1358</v>
          </cell>
        </row>
        <row r="463">
          <cell r="A463" t="str">
            <v>12.068.1360</v>
          </cell>
        </row>
        <row r="464">
          <cell r="A464" t="str">
            <v>12.068.1370</v>
          </cell>
        </row>
        <row r="465">
          <cell r="A465" t="str">
            <v>12.068.1380</v>
          </cell>
        </row>
        <row r="466">
          <cell r="A466" t="str">
            <v>12.068.1400</v>
          </cell>
        </row>
        <row r="467">
          <cell r="A467" t="str">
            <v>12.068.1410</v>
          </cell>
        </row>
        <row r="468">
          <cell r="A468" t="str">
            <v>12.068.1420</v>
          </cell>
        </row>
        <row r="469">
          <cell r="A469" t="str">
            <v>12.068.1500</v>
          </cell>
        </row>
        <row r="470">
          <cell r="A470" t="str">
            <v>12.068.3000</v>
          </cell>
        </row>
        <row r="471">
          <cell r="A471" t="str">
            <v>12.070.0042</v>
          </cell>
        </row>
        <row r="472">
          <cell r="A472" t="str">
            <v>12.070.0051</v>
          </cell>
        </row>
        <row r="473">
          <cell r="A473" t="str">
            <v>12.070.0100</v>
          </cell>
        </row>
        <row r="474">
          <cell r="A474" t="str">
            <v>12.070.0101</v>
          </cell>
        </row>
        <row r="475">
          <cell r="A475" t="str">
            <v>12.070.0105</v>
          </cell>
        </row>
        <row r="476">
          <cell r="A476" t="str">
            <v>12.070.0200</v>
          </cell>
        </row>
        <row r="477">
          <cell r="A477" t="str">
            <v>12.070.0210</v>
          </cell>
        </row>
        <row r="478">
          <cell r="A478" t="str">
            <v>12.070.0220</v>
          </cell>
        </row>
        <row r="479">
          <cell r="A479" t="str">
            <v>12.070.0300</v>
          </cell>
        </row>
        <row r="480">
          <cell r="A480" t="str">
            <v>12.070.9000</v>
          </cell>
        </row>
        <row r="481">
          <cell r="A481" t="str">
            <v>12.070.9010</v>
          </cell>
        </row>
        <row r="482">
          <cell r="A482" t="str">
            <v>12.072.0010</v>
          </cell>
        </row>
        <row r="483">
          <cell r="A483" t="str">
            <v>12.072.0020</v>
          </cell>
        </row>
        <row r="484">
          <cell r="A484" t="str">
            <v>12.072.0050</v>
          </cell>
        </row>
        <row r="485">
          <cell r="A485" t="str">
            <v>12.072.0055</v>
          </cell>
        </row>
        <row r="486">
          <cell r="A486" t="str">
            <v>12.072.0060</v>
          </cell>
        </row>
        <row r="487">
          <cell r="A487" t="str">
            <v>12.072.0070</v>
          </cell>
        </row>
        <row r="488">
          <cell r="A488" t="str">
            <v>12.072.0301</v>
          </cell>
        </row>
        <row r="489">
          <cell r="A489" t="str">
            <v>12.072.0303</v>
          </cell>
        </row>
        <row r="490">
          <cell r="A490" t="str">
            <v>12.072.0321</v>
          </cell>
        </row>
        <row r="491">
          <cell r="A491" t="str">
            <v>12.072.0323</v>
          </cell>
        </row>
        <row r="492">
          <cell r="A492" t="str">
            <v>12.072.0350</v>
          </cell>
        </row>
        <row r="493">
          <cell r="A493" t="str">
            <v>12.072.0360</v>
          </cell>
        </row>
        <row r="494">
          <cell r="A494" t="str">
            <v>12.072.0370</v>
          </cell>
        </row>
        <row r="495">
          <cell r="A495" t="str">
            <v>12.072.9000</v>
          </cell>
        </row>
        <row r="496">
          <cell r="A496" t="str">
            <v>12.072.9010</v>
          </cell>
        </row>
        <row r="497">
          <cell r="A497" t="str">
            <v>12.072.9020</v>
          </cell>
        </row>
        <row r="498">
          <cell r="A498" t="str">
            <v>12.072.9100</v>
          </cell>
        </row>
        <row r="499">
          <cell r="A499" t="str">
            <v>12.072.9120</v>
          </cell>
        </row>
        <row r="500">
          <cell r="A500" t="str">
            <v>12.072.9130</v>
          </cell>
        </row>
        <row r="501">
          <cell r="A501" t="str">
            <v>12.072.9140</v>
          </cell>
        </row>
        <row r="502">
          <cell r="A502" t="str">
            <v>12.072.9150</v>
          </cell>
        </row>
        <row r="503">
          <cell r="A503" t="str">
            <v>12.074.0010</v>
          </cell>
        </row>
        <row r="504">
          <cell r="A504" t="str">
            <v>12.074.0020</v>
          </cell>
        </row>
        <row r="505">
          <cell r="A505" t="str">
            <v>12.074.0030</v>
          </cell>
        </row>
        <row r="506">
          <cell r="A506" t="str">
            <v>12.074.0200</v>
          </cell>
        </row>
        <row r="507">
          <cell r="A507" t="str">
            <v>12.074.0210</v>
          </cell>
        </row>
        <row r="508">
          <cell r="A508" t="str">
            <v>12.074.0215</v>
          </cell>
        </row>
        <row r="509">
          <cell r="A509" t="str">
            <v>12.074.0221</v>
          </cell>
        </row>
        <row r="510">
          <cell r="A510" t="str">
            <v>12.074.0222</v>
          </cell>
        </row>
        <row r="511">
          <cell r="A511" t="str">
            <v>12.074.0250</v>
          </cell>
        </row>
        <row r="512">
          <cell r="A512" t="str">
            <v>12.081.0010</v>
          </cell>
        </row>
        <row r="513">
          <cell r="A513" t="str">
            <v>12.081.0020</v>
          </cell>
        </row>
        <row r="514">
          <cell r="A514" t="str">
            <v>12.081.0100</v>
          </cell>
        </row>
        <row r="515">
          <cell r="A515" t="str">
            <v>12.081.0150</v>
          </cell>
        </row>
        <row r="516">
          <cell r="A516" t="str">
            <v>12.091.0010</v>
          </cell>
        </row>
        <row r="517">
          <cell r="A517" t="str">
            <v>12.091.0020</v>
          </cell>
        </row>
        <row r="518">
          <cell r="A518" t="str">
            <v>12.091.0030</v>
          </cell>
        </row>
        <row r="519">
          <cell r="A519" t="str">
            <v>12.091.0040</v>
          </cell>
        </row>
        <row r="520">
          <cell r="A520" t="str">
            <v>12.091.0050</v>
          </cell>
        </row>
        <row r="521">
          <cell r="A521" t="str">
            <v>12.091.0101</v>
          </cell>
        </row>
        <row r="522">
          <cell r="A522" t="str">
            <v>12.091.0111</v>
          </cell>
        </row>
        <row r="523">
          <cell r="A523" t="str">
            <v>12.091.0121</v>
          </cell>
        </row>
        <row r="524">
          <cell r="A524" t="str">
            <v>12.091.0131</v>
          </cell>
        </row>
        <row r="525">
          <cell r="A525" t="str">
            <v>12.091.0141</v>
          </cell>
        </row>
        <row r="526">
          <cell r="A526" t="str">
            <v>12.091.0150</v>
          </cell>
        </row>
        <row r="527">
          <cell r="A527" t="str">
            <v>12.091.0152</v>
          </cell>
        </row>
        <row r="528">
          <cell r="A528" t="str">
            <v>12.091.0154</v>
          </cell>
        </row>
        <row r="529">
          <cell r="A529" t="str">
            <v>12.091.0156</v>
          </cell>
        </row>
        <row r="530">
          <cell r="A530" t="str">
            <v>12.091.0158</v>
          </cell>
        </row>
        <row r="531">
          <cell r="A531" t="str">
            <v>12.091.0200</v>
          </cell>
        </row>
        <row r="532">
          <cell r="A532" t="str">
            <v>12.091.0210</v>
          </cell>
        </row>
        <row r="533">
          <cell r="A533" t="str">
            <v>12.091.0220</v>
          </cell>
        </row>
        <row r="534">
          <cell r="A534" t="str">
            <v>12.091.0400</v>
          </cell>
        </row>
        <row r="535">
          <cell r="A535" t="str">
            <v>12.091.0410</v>
          </cell>
        </row>
        <row r="536">
          <cell r="A536" t="str">
            <v>12.091.1010</v>
          </cell>
        </row>
        <row r="537">
          <cell r="A537" t="str">
            <v>12.091.1020</v>
          </cell>
        </row>
        <row r="538">
          <cell r="A538" t="str">
            <v>12.091.1030</v>
          </cell>
        </row>
        <row r="539">
          <cell r="A539" t="str">
            <v>12.091.1040</v>
          </cell>
        </row>
        <row r="540">
          <cell r="A540" t="str">
            <v>12.091.1050</v>
          </cell>
        </row>
        <row r="541">
          <cell r="A541" t="str">
            <v>12.091.1101</v>
          </cell>
        </row>
        <row r="542">
          <cell r="A542" t="str">
            <v>12.091.1111</v>
          </cell>
        </row>
        <row r="543">
          <cell r="A543" t="str">
            <v>12.091.1121</v>
          </cell>
        </row>
        <row r="544">
          <cell r="A544" t="str">
            <v>12.091.1131</v>
          </cell>
        </row>
        <row r="545">
          <cell r="A545" t="str">
            <v>12.091.1141</v>
          </cell>
        </row>
        <row r="546">
          <cell r="A546" t="str">
            <v>12.091.1150</v>
          </cell>
        </row>
        <row r="547">
          <cell r="A547" t="str">
            <v>12.091.1152</v>
          </cell>
        </row>
        <row r="548">
          <cell r="A548" t="str">
            <v>12.091.1154</v>
          </cell>
        </row>
        <row r="549">
          <cell r="A549" t="str">
            <v>12.091.1156</v>
          </cell>
        </row>
        <row r="550">
          <cell r="A550" t="str">
            <v>12.091.1158</v>
          </cell>
        </row>
        <row r="551">
          <cell r="A551" t="str">
            <v>12.091.1200</v>
          </cell>
        </row>
        <row r="552">
          <cell r="A552" t="str">
            <v>12.091.1210</v>
          </cell>
        </row>
        <row r="553">
          <cell r="A553" t="str">
            <v>12.091.1220</v>
          </cell>
        </row>
        <row r="554">
          <cell r="A554" t="str">
            <v>12.091.1230</v>
          </cell>
        </row>
        <row r="555">
          <cell r="A555" t="str">
            <v>12.091.1310</v>
          </cell>
        </row>
        <row r="556">
          <cell r="A556" t="str">
            <v>12.091.1320</v>
          </cell>
        </row>
        <row r="557">
          <cell r="A557" t="str">
            <v>12.091.1330</v>
          </cell>
        </row>
        <row r="558">
          <cell r="A558" t="str">
            <v>12.091.9590</v>
          </cell>
        </row>
        <row r="559">
          <cell r="A559" t="str">
            <v>12.091.9592</v>
          </cell>
        </row>
        <row r="560">
          <cell r="A560" t="str">
            <v>12.091.9594</v>
          </cell>
        </row>
        <row r="561">
          <cell r="A561" t="str">
            <v>12.091.9596</v>
          </cell>
        </row>
        <row r="562">
          <cell r="A562" t="str">
            <v>12.091.9600</v>
          </cell>
        </row>
        <row r="563">
          <cell r="A563" t="str">
            <v>12.091.9602</v>
          </cell>
        </row>
        <row r="564">
          <cell r="A564" t="str">
            <v>12.091.9604</v>
          </cell>
        </row>
        <row r="565">
          <cell r="A565" t="str">
            <v>12.091.9606</v>
          </cell>
        </row>
        <row r="566">
          <cell r="A566" t="str">
            <v>12.091.9610</v>
          </cell>
        </row>
        <row r="567">
          <cell r="A567" t="str">
            <v>12.091.9612</v>
          </cell>
        </row>
        <row r="568">
          <cell r="A568" t="str">
            <v>12.091.9614</v>
          </cell>
        </row>
        <row r="569">
          <cell r="A569" t="str">
            <v>12.091.9616</v>
          </cell>
        </row>
        <row r="570">
          <cell r="A570" t="str">
            <v>12.091.9620</v>
          </cell>
        </row>
        <row r="571">
          <cell r="A571" t="str">
            <v>12.091.9622</v>
          </cell>
        </row>
        <row r="572">
          <cell r="A572" t="str">
            <v>12.091.9624</v>
          </cell>
        </row>
        <row r="573">
          <cell r="A573" t="str">
            <v>12.091.9626</v>
          </cell>
        </row>
        <row r="574">
          <cell r="A574" t="str">
            <v>12.091.9670</v>
          </cell>
        </row>
        <row r="575">
          <cell r="A575" t="str">
            <v>12.091.9672</v>
          </cell>
        </row>
        <row r="576">
          <cell r="A576" t="str">
            <v>12.091.9674</v>
          </cell>
        </row>
        <row r="577">
          <cell r="A577" t="str">
            <v>12.091.9676</v>
          </cell>
        </row>
        <row r="578">
          <cell r="A578" t="str">
            <v>12.091.9680</v>
          </cell>
        </row>
        <row r="579">
          <cell r="A579" t="str">
            <v>12.091.9682</v>
          </cell>
        </row>
        <row r="580">
          <cell r="A580" t="str">
            <v>12.091.9684</v>
          </cell>
        </row>
        <row r="581">
          <cell r="A581" t="str">
            <v>12.091.9686</v>
          </cell>
        </row>
        <row r="582">
          <cell r="A582" t="str">
            <v>12.093.0010</v>
          </cell>
        </row>
        <row r="583">
          <cell r="A583" t="str">
            <v>12.093.0020</v>
          </cell>
        </row>
        <row r="584">
          <cell r="A584" t="str">
            <v>12.093.0022</v>
          </cell>
        </row>
        <row r="585">
          <cell r="A585" t="str">
            <v>12.093.0031</v>
          </cell>
        </row>
        <row r="586">
          <cell r="A586" t="str">
            <v>12.093.0041</v>
          </cell>
        </row>
        <row r="587">
          <cell r="A587" t="str">
            <v>12.093.0100</v>
          </cell>
        </row>
        <row r="588">
          <cell r="A588" t="str">
            <v>12.093.0110</v>
          </cell>
        </row>
        <row r="589">
          <cell r="A589" t="str">
            <v>12.093.0120</v>
          </cell>
        </row>
        <row r="590">
          <cell r="A590" t="str">
            <v>12.093.0150</v>
          </cell>
        </row>
        <row r="591">
          <cell r="A591" t="str">
            <v>12.093.0155</v>
          </cell>
        </row>
        <row r="592">
          <cell r="A592" t="str">
            <v>12.093.0160</v>
          </cell>
        </row>
        <row r="593">
          <cell r="A593" t="str">
            <v>12.093.0200</v>
          </cell>
        </row>
        <row r="594">
          <cell r="A594" t="str">
            <v>12.093.0210</v>
          </cell>
        </row>
        <row r="595">
          <cell r="A595" t="str">
            <v>12.093.0300</v>
          </cell>
        </row>
        <row r="596">
          <cell r="A596" t="str">
            <v>12.093.0305</v>
          </cell>
        </row>
        <row r="597">
          <cell r="A597" t="str">
            <v>12.093.0310</v>
          </cell>
        </row>
        <row r="598">
          <cell r="A598" t="str">
            <v>12.093.0315</v>
          </cell>
        </row>
        <row r="599">
          <cell r="A599" t="str">
            <v>12.093.9000</v>
          </cell>
        </row>
        <row r="600">
          <cell r="A600" t="str">
            <v>12.094.0010</v>
          </cell>
        </row>
        <row r="601">
          <cell r="A601" t="str">
            <v>12.094.0200</v>
          </cell>
        </row>
        <row r="602">
          <cell r="A602" t="str">
            <v>12.094.0500</v>
          </cell>
        </row>
        <row r="603">
          <cell r="A603" t="str">
            <v>12.094.0510</v>
          </cell>
        </row>
        <row r="604">
          <cell r="A604" t="str">
            <v>12.095.0012</v>
          </cell>
        </row>
        <row r="605">
          <cell r="A605" t="str">
            <v>12.095.0100</v>
          </cell>
        </row>
        <row r="606">
          <cell r="A606" t="str">
            <v>12.095.0110</v>
          </cell>
        </row>
        <row r="607">
          <cell r="A607" t="str">
            <v>12.095.0120</v>
          </cell>
        </row>
        <row r="608">
          <cell r="A608" t="str">
            <v>12.095.0220</v>
          </cell>
        </row>
        <row r="609">
          <cell r="A609" t="str">
            <v>12.095.0230</v>
          </cell>
        </row>
        <row r="610">
          <cell r="A610" t="str">
            <v>12.095.0240</v>
          </cell>
        </row>
        <row r="611">
          <cell r="A611" t="str">
            <v>12.095.0250</v>
          </cell>
        </row>
        <row r="612">
          <cell r="A612" t="str">
            <v>12.095.0300</v>
          </cell>
        </row>
        <row r="613">
          <cell r="A613" t="str">
            <v>12.095.0310</v>
          </cell>
        </row>
        <row r="614">
          <cell r="A614" t="str">
            <v>12.095.0320</v>
          </cell>
        </row>
        <row r="615">
          <cell r="A615" t="str">
            <v>12.095.0330</v>
          </cell>
        </row>
        <row r="616">
          <cell r="A616" t="str">
            <v>12.095.0340</v>
          </cell>
        </row>
        <row r="617">
          <cell r="A617" t="str">
            <v>12.095.0350</v>
          </cell>
        </row>
        <row r="618">
          <cell r="A618" t="str">
            <v>12.095.0360</v>
          </cell>
        </row>
        <row r="619">
          <cell r="A619" t="str">
            <v>12.095.0370</v>
          </cell>
        </row>
        <row r="620">
          <cell r="A620" t="str">
            <v>12.095.0500</v>
          </cell>
        </row>
        <row r="621">
          <cell r="A621" t="str">
            <v>12.095.0510</v>
          </cell>
        </row>
      </sheetData>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ריכוז"/>
      <sheetName val="1"/>
      <sheetName val="2"/>
      <sheetName val="3"/>
      <sheetName val="4"/>
      <sheetName val="5"/>
      <sheetName val="6"/>
      <sheetName val="7"/>
      <sheetName val="8"/>
      <sheetName val="9"/>
      <sheetName val="10"/>
      <sheetName val="11"/>
      <sheetName val="12"/>
      <sheetName val="13"/>
      <sheetName val="14"/>
      <sheetName val="השלמה לחשבון 2"/>
    </sheetNames>
    <sheetDataSet>
      <sheetData sheetId="0">
        <row r="1">
          <cell r="A1" t="str">
            <v>חשבון מס'</v>
          </cell>
        </row>
        <row r="2">
          <cell r="A2">
            <v>3</v>
          </cell>
        </row>
        <row r="4">
          <cell r="A4" t="str">
            <v>סעיף</v>
          </cell>
          <cell r="D4" t="str">
            <v>מחיר</v>
          </cell>
        </row>
        <row r="5">
          <cell r="D5" t="str">
            <v>מחיר</v>
          </cell>
        </row>
        <row r="6">
          <cell r="D6" t="str">
            <v>מחיר</v>
          </cell>
        </row>
        <row r="7">
          <cell r="A7" t="str">
            <v>סעיף</v>
          </cell>
          <cell r="D7" t="str">
            <v>מחיר</v>
          </cell>
        </row>
        <row r="8">
          <cell r="A8" t="str">
            <v>09</v>
          </cell>
          <cell r="D8" t="str">
            <v/>
          </cell>
        </row>
        <row r="9">
          <cell r="A9" t="str">
            <v>09.011</v>
          </cell>
          <cell r="D9" t="str">
            <v/>
          </cell>
        </row>
        <row r="10">
          <cell r="A10" t="str">
            <v>09.011.9030</v>
          </cell>
          <cell r="D10">
            <v>64</v>
          </cell>
        </row>
        <row r="11">
          <cell r="A11" t="str">
            <v>11</v>
          </cell>
          <cell r="D11" t="str">
            <v/>
          </cell>
        </row>
        <row r="12">
          <cell r="A12" t="str">
            <v>11.011</v>
          </cell>
          <cell r="D12" t="str">
            <v/>
          </cell>
        </row>
        <row r="13">
          <cell r="A13" t="str">
            <v>11.011.9660</v>
          </cell>
          <cell r="D13">
            <v>1770</v>
          </cell>
        </row>
        <row r="14">
          <cell r="A14" t="str">
            <v>12</v>
          </cell>
          <cell r="D14" t="str">
            <v/>
          </cell>
        </row>
        <row r="15">
          <cell r="A15" t="str">
            <v>12.011</v>
          </cell>
          <cell r="D15" t="str">
            <v/>
          </cell>
        </row>
        <row r="16">
          <cell r="A16" t="str">
            <v>12.011.0210</v>
          </cell>
          <cell r="D16">
            <v>1760</v>
          </cell>
        </row>
        <row r="17">
          <cell r="A17" t="str">
            <v>12.011.0270</v>
          </cell>
          <cell r="D17">
            <v>1980</v>
          </cell>
        </row>
        <row r="18">
          <cell r="A18" t="str">
            <v>12.012.0100</v>
          </cell>
          <cell r="D18">
            <v>2210</v>
          </cell>
        </row>
        <row r="19">
          <cell r="A19" t="str">
            <v>12.011.1001</v>
          </cell>
          <cell r="D19">
            <v>0.15</v>
          </cell>
        </row>
        <row r="20">
          <cell r="A20" t="str">
            <v>12.011.9000</v>
          </cell>
          <cell r="D20">
            <v>140</v>
          </cell>
        </row>
        <row r="21">
          <cell r="A21" t="str">
            <v>12.011.9016</v>
          </cell>
          <cell r="D21">
            <v>240</v>
          </cell>
        </row>
        <row r="22">
          <cell r="A22" t="str">
            <v>12.011.9017</v>
          </cell>
          <cell r="D22">
            <v>310</v>
          </cell>
        </row>
        <row r="23">
          <cell r="A23" t="str">
            <v>12.014</v>
          </cell>
          <cell r="D23" t="str">
            <v/>
          </cell>
        </row>
        <row r="24">
          <cell r="A24" t="str">
            <v>12.014.0400</v>
          </cell>
          <cell r="D24">
            <v>2220</v>
          </cell>
        </row>
        <row r="25">
          <cell r="A25" t="str">
            <v>12.014.0650</v>
          </cell>
          <cell r="D25">
            <v>2790</v>
          </cell>
        </row>
        <row r="26">
          <cell r="A26" t="str">
            <v>12.014.0660</v>
          </cell>
          <cell r="D26">
            <v>2700</v>
          </cell>
        </row>
        <row r="27">
          <cell r="A27" t="str">
            <v>12.016</v>
          </cell>
          <cell r="D27" t="str">
            <v/>
          </cell>
        </row>
        <row r="28">
          <cell r="A28" t="str">
            <v>12.016.0600</v>
          </cell>
          <cell r="D28">
            <v>1310</v>
          </cell>
        </row>
        <row r="29">
          <cell r="A29" t="str">
            <v>12.016.0610</v>
          </cell>
          <cell r="D29">
            <v>2090</v>
          </cell>
        </row>
        <row r="30">
          <cell r="A30" t="str">
            <v/>
          </cell>
          <cell r="D30" t="str">
            <v/>
          </cell>
        </row>
        <row r="31">
          <cell r="A31" t="str">
            <v>12.052</v>
          </cell>
          <cell r="D31" t="str">
            <v/>
          </cell>
        </row>
        <row r="32">
          <cell r="A32" t="str">
            <v>12.052.0020</v>
          </cell>
          <cell r="D32">
            <v>1760</v>
          </cell>
        </row>
        <row r="33">
          <cell r="A33" t="str">
            <v>12.052.0070</v>
          </cell>
          <cell r="D33">
            <v>1850</v>
          </cell>
        </row>
        <row r="34">
          <cell r="A34" t="str">
            <v>12.052.0080</v>
          </cell>
          <cell r="D34">
            <v>1680</v>
          </cell>
        </row>
        <row r="35">
          <cell r="A35" t="str">
            <v>12.053</v>
          </cell>
          <cell r="D35" t="str">
            <v/>
          </cell>
        </row>
        <row r="36">
          <cell r="A36" t="str">
            <v>12.053.0200</v>
          </cell>
          <cell r="D36">
            <v>2850</v>
          </cell>
        </row>
        <row r="37">
          <cell r="A37" t="str">
            <v>12.053.0210</v>
          </cell>
          <cell r="D37">
            <v>2300</v>
          </cell>
        </row>
        <row r="38">
          <cell r="A38" t="str">
            <v>12.053.0450</v>
          </cell>
          <cell r="D38">
            <v>3250</v>
          </cell>
        </row>
        <row r="39">
          <cell r="A39" t="str">
            <v>12.061</v>
          </cell>
          <cell r="D39" t="str">
            <v/>
          </cell>
        </row>
        <row r="40">
          <cell r="A40" t="str">
            <v>12.061.9000</v>
          </cell>
          <cell r="D40">
            <v>88</v>
          </cell>
        </row>
        <row r="41">
          <cell r="A41" t="str">
            <v>12.065</v>
          </cell>
          <cell r="D41" t="str">
            <v/>
          </cell>
        </row>
        <row r="42">
          <cell r="A42" t="str">
            <v>12.065.1613</v>
          </cell>
          <cell r="D42">
            <v>717</v>
          </cell>
        </row>
        <row r="43">
          <cell r="A43" t="str">
            <v>12.065.1615</v>
          </cell>
          <cell r="D43">
            <v>582</v>
          </cell>
        </row>
        <row r="44">
          <cell r="A44" t="str">
            <v>12.065.1671</v>
          </cell>
          <cell r="D44">
            <v>1730</v>
          </cell>
        </row>
        <row r="45">
          <cell r="A45" t="str">
            <v>12.065.1681</v>
          </cell>
          <cell r="D45">
            <v>1440</v>
          </cell>
        </row>
        <row r="46">
          <cell r="A46" t="str">
            <v>12.065.2000</v>
          </cell>
          <cell r="D46">
            <v>620</v>
          </cell>
        </row>
        <row r="47">
          <cell r="A47" t="str">
            <v>12.065.2010</v>
          </cell>
          <cell r="D47">
            <v>750</v>
          </cell>
        </row>
        <row r="48">
          <cell r="A48" t="str">
            <v>12.065.2020</v>
          </cell>
          <cell r="D48">
            <v>1020</v>
          </cell>
        </row>
        <row r="49">
          <cell r="A49" t="str">
            <v>12.065.2030</v>
          </cell>
          <cell r="D49">
            <v>1370</v>
          </cell>
        </row>
        <row r="50">
          <cell r="A50" t="str">
            <v>12.065.2040</v>
          </cell>
          <cell r="D50">
            <v>1650</v>
          </cell>
        </row>
        <row r="51">
          <cell r="A51" t="str">
            <v>12.065.2050</v>
          </cell>
          <cell r="D51">
            <v>1820</v>
          </cell>
        </row>
        <row r="52">
          <cell r="A52" t="str">
            <v>12.065.9000</v>
          </cell>
          <cell r="D52">
            <v>130</v>
          </cell>
        </row>
        <row r="53">
          <cell r="A53" t="str">
            <v>12.065.9020</v>
          </cell>
          <cell r="D53">
            <v>60</v>
          </cell>
        </row>
        <row r="54">
          <cell r="A54" t="str">
            <v>12.065.9100</v>
          </cell>
          <cell r="D54">
            <v>109</v>
          </cell>
        </row>
        <row r="55">
          <cell r="A55" t="str">
            <v>12.065.9110</v>
          </cell>
          <cell r="D55">
            <v>121</v>
          </cell>
        </row>
        <row r="56">
          <cell r="A56" t="str">
            <v>12.065.0001</v>
          </cell>
          <cell r="D56">
            <v>133</v>
          </cell>
        </row>
        <row r="57">
          <cell r="A57" t="str">
            <v>12.065.0002</v>
          </cell>
          <cell r="D57">
            <v>145</v>
          </cell>
        </row>
        <row r="58">
          <cell r="A58" t="str">
            <v>12.065.0003</v>
          </cell>
          <cell r="D58">
            <v>157</v>
          </cell>
        </row>
        <row r="59">
          <cell r="A59" t="str">
            <v>12.065.0004</v>
          </cell>
          <cell r="D59">
            <v>169</v>
          </cell>
        </row>
        <row r="60">
          <cell r="A60" t="str">
            <v>12.065.0005</v>
          </cell>
          <cell r="D60">
            <v>181</v>
          </cell>
        </row>
        <row r="61">
          <cell r="A61" t="str">
            <v>12.065.0006</v>
          </cell>
          <cell r="D61">
            <v>193</v>
          </cell>
        </row>
        <row r="62">
          <cell r="A62" t="str">
            <v>12.067</v>
          </cell>
          <cell r="D62" t="str">
            <v/>
          </cell>
        </row>
        <row r="63">
          <cell r="A63" t="str">
            <v>12.067.9000</v>
          </cell>
          <cell r="D63">
            <v>53</v>
          </cell>
        </row>
        <row r="64">
          <cell r="A64" t="str">
            <v>12.067.0200</v>
          </cell>
          <cell r="D64">
            <v>880</v>
          </cell>
        </row>
        <row r="65">
          <cell r="A65" t="str">
            <v>12.067.0210</v>
          </cell>
          <cell r="D65">
            <v>650</v>
          </cell>
        </row>
        <row r="66">
          <cell r="A66" t="str">
            <v>12.068</v>
          </cell>
          <cell r="D66" t="str">
            <v/>
          </cell>
        </row>
        <row r="67">
          <cell r="A67" t="str">
            <v>12.068.1320</v>
          </cell>
          <cell r="D67">
            <v>265</v>
          </cell>
        </row>
        <row r="68">
          <cell r="A68" t="str">
            <v>12.068.1216</v>
          </cell>
          <cell r="D68">
            <v>375</v>
          </cell>
        </row>
        <row r="69">
          <cell r="A69" t="str">
            <v>12.068.1172</v>
          </cell>
          <cell r="D69">
            <v>317</v>
          </cell>
        </row>
        <row r="70">
          <cell r="A70" t="str">
            <v>12.068.1004</v>
          </cell>
          <cell r="D70">
            <v>172</v>
          </cell>
        </row>
        <row r="71">
          <cell r="A71" t="str">
            <v>12.068.0902</v>
          </cell>
          <cell r="D71">
            <v>94</v>
          </cell>
        </row>
        <row r="72">
          <cell r="A72" t="str">
            <v>12.068.1002</v>
          </cell>
          <cell r="D72">
            <v>157</v>
          </cell>
        </row>
        <row r="73">
          <cell r="A73" t="str">
            <v>15</v>
          </cell>
          <cell r="D73" t="str">
            <v/>
          </cell>
        </row>
        <row r="74">
          <cell r="A74" t="str">
            <v>15.041</v>
          </cell>
          <cell r="D74" t="str">
            <v/>
          </cell>
        </row>
        <row r="75">
          <cell r="A75" t="str">
            <v>15.041.1210</v>
          </cell>
          <cell r="D75">
            <v>3500</v>
          </cell>
        </row>
        <row r="76">
          <cell r="A76" t="str">
            <v>15.041.4010</v>
          </cell>
          <cell r="D76">
            <v>172</v>
          </cell>
        </row>
        <row r="77">
          <cell r="A77" t="str">
            <v>30.050.9010</v>
          </cell>
          <cell r="D77">
            <v>48</v>
          </cell>
        </row>
        <row r="78">
          <cell r="A78" t="str">
            <v>60</v>
          </cell>
          <cell r="D78" t="str">
            <v/>
          </cell>
        </row>
        <row r="79">
          <cell r="A79" t="str">
            <v>60.020</v>
          </cell>
          <cell r="D79" t="str">
            <v/>
          </cell>
        </row>
        <row r="80">
          <cell r="A80" t="str">
            <v>60.020.0090</v>
          </cell>
          <cell r="D80">
            <v>150</v>
          </cell>
        </row>
        <row r="81">
          <cell r="A81" t="str">
            <v>60.010.0010</v>
          </cell>
          <cell r="D81">
            <v>145</v>
          </cell>
        </row>
        <row r="82">
          <cell r="A82" t="str">
            <v>60.010.0020</v>
          </cell>
          <cell r="D82">
            <v>130</v>
          </cell>
        </row>
        <row r="83">
          <cell r="A83" t="str">
            <v>60.020.0067</v>
          </cell>
          <cell r="D83">
            <v>3500</v>
          </cell>
        </row>
        <row r="84">
          <cell r="A84" t="str">
            <v>60.030</v>
          </cell>
          <cell r="D84" t="str">
            <v/>
          </cell>
        </row>
        <row r="85">
          <cell r="A85" t="str">
            <v>60.030.0605</v>
          </cell>
          <cell r="D85">
            <v>1460</v>
          </cell>
        </row>
        <row r="86">
          <cell r="A86" t="str">
            <v>60.030.0634</v>
          </cell>
          <cell r="D86">
            <v>1810</v>
          </cell>
        </row>
        <row r="87">
          <cell r="A87" t="str">
            <v>60.030.0644</v>
          </cell>
          <cell r="D87">
            <v>2200</v>
          </cell>
        </row>
        <row r="88">
          <cell r="A88" t="str">
            <v>85</v>
          </cell>
          <cell r="D88" t="str">
            <v/>
          </cell>
        </row>
        <row r="89">
          <cell r="A89" t="str">
            <v>85.095</v>
          </cell>
          <cell r="D89" t="str">
            <v/>
          </cell>
        </row>
        <row r="90">
          <cell r="A90" t="str">
            <v>85.095.0950</v>
          </cell>
          <cell r="D90">
            <v>129.78142076502732</v>
          </cell>
        </row>
        <row r="91">
          <cell r="A91" t="str">
            <v>12.99.0001</v>
          </cell>
          <cell r="D91">
            <v>2375.3501400560222</v>
          </cell>
        </row>
        <row r="92">
          <cell r="A92" t="str">
            <v>12.99.0002</v>
          </cell>
          <cell r="D92">
            <v>950.14005602240888</v>
          </cell>
        </row>
        <row r="93">
          <cell r="A93" t="str">
            <v>12.093.0022</v>
          </cell>
          <cell r="D93">
            <v>0.06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ריכוז"/>
      <sheetName val="1"/>
      <sheetName val="2"/>
      <sheetName val="3"/>
      <sheetName val="4"/>
      <sheetName val="5"/>
      <sheetName val="6"/>
      <sheetName val="7"/>
      <sheetName val="8"/>
      <sheetName val="9"/>
      <sheetName val="10"/>
      <sheetName val="11"/>
      <sheetName val="12"/>
      <sheetName val="13"/>
      <sheetName val="14"/>
      <sheetName val="השלמה לחשבון 2"/>
    </sheetNames>
    <sheetDataSet>
      <sheetData sheetId="0">
        <row r="1">
          <cell r="A1" t="str">
            <v>חשבון מס'</v>
          </cell>
        </row>
        <row r="2">
          <cell r="A2">
            <v>3</v>
          </cell>
        </row>
        <row r="4">
          <cell r="A4" t="str">
            <v>סעיף</v>
          </cell>
          <cell r="D4" t="str">
            <v>מחיר</v>
          </cell>
        </row>
        <row r="5">
          <cell r="D5" t="str">
            <v>מחיר</v>
          </cell>
        </row>
        <row r="6">
          <cell r="D6" t="str">
            <v>מחיר</v>
          </cell>
        </row>
        <row r="7">
          <cell r="A7" t="str">
            <v>סעיף</v>
          </cell>
          <cell r="D7" t="str">
            <v>מחיר</v>
          </cell>
        </row>
        <row r="8">
          <cell r="A8" t="str">
            <v>09</v>
          </cell>
          <cell r="D8" t="str">
            <v/>
          </cell>
        </row>
        <row r="9">
          <cell r="A9" t="str">
            <v>09.011</v>
          </cell>
          <cell r="D9" t="str">
            <v/>
          </cell>
        </row>
        <row r="10">
          <cell r="A10" t="str">
            <v>09.011.9030</v>
          </cell>
          <cell r="D10">
            <v>64</v>
          </cell>
        </row>
        <row r="11">
          <cell r="A11" t="str">
            <v>11</v>
          </cell>
          <cell r="D11" t="str">
            <v/>
          </cell>
        </row>
        <row r="12">
          <cell r="A12" t="str">
            <v>11.011</v>
          </cell>
          <cell r="D12" t="str">
            <v/>
          </cell>
        </row>
        <row r="13">
          <cell r="A13" t="str">
            <v>11.011.9660</v>
          </cell>
          <cell r="D13">
            <v>1770</v>
          </cell>
        </row>
        <row r="14">
          <cell r="A14" t="str">
            <v>12</v>
          </cell>
          <cell r="D14" t="str">
            <v/>
          </cell>
        </row>
        <row r="15">
          <cell r="A15" t="str">
            <v>12.011</v>
          </cell>
          <cell r="D15" t="str">
            <v/>
          </cell>
        </row>
        <row r="16">
          <cell r="A16" t="str">
            <v>12.011.0210</v>
          </cell>
          <cell r="D16">
            <v>1760</v>
          </cell>
        </row>
        <row r="17">
          <cell r="A17" t="str">
            <v>12.011.0270</v>
          </cell>
          <cell r="D17">
            <v>1980</v>
          </cell>
        </row>
        <row r="18">
          <cell r="A18" t="str">
            <v>12.012.0100</v>
          </cell>
          <cell r="D18">
            <v>2210</v>
          </cell>
        </row>
        <row r="19">
          <cell r="A19" t="str">
            <v>12.011.1001</v>
          </cell>
          <cell r="D19">
            <v>0.15</v>
          </cell>
        </row>
        <row r="20">
          <cell r="A20" t="str">
            <v>12.011.9000</v>
          </cell>
          <cell r="D20">
            <v>140</v>
          </cell>
        </row>
        <row r="21">
          <cell r="A21" t="str">
            <v>12.011.9016</v>
          </cell>
          <cell r="D21">
            <v>240</v>
          </cell>
        </row>
        <row r="22">
          <cell r="A22" t="str">
            <v>12.011.9017</v>
          </cell>
          <cell r="D22">
            <v>310</v>
          </cell>
        </row>
        <row r="23">
          <cell r="A23" t="str">
            <v>12.014</v>
          </cell>
          <cell r="D23" t="str">
            <v/>
          </cell>
        </row>
        <row r="24">
          <cell r="A24" t="str">
            <v>12.014.0400</v>
          </cell>
          <cell r="D24">
            <v>2220</v>
          </cell>
        </row>
        <row r="25">
          <cell r="A25" t="str">
            <v>12.014.0650</v>
          </cell>
          <cell r="D25">
            <v>2790</v>
          </cell>
        </row>
        <row r="26">
          <cell r="A26" t="str">
            <v>12.014.0660</v>
          </cell>
          <cell r="D26">
            <v>2700</v>
          </cell>
        </row>
        <row r="27">
          <cell r="A27" t="str">
            <v>12.016</v>
          </cell>
          <cell r="D27" t="str">
            <v/>
          </cell>
        </row>
        <row r="28">
          <cell r="A28" t="str">
            <v>12.016.0600</v>
          </cell>
          <cell r="D28">
            <v>1310</v>
          </cell>
        </row>
        <row r="29">
          <cell r="A29" t="str">
            <v>12.016.0610</v>
          </cell>
          <cell r="D29">
            <v>2090</v>
          </cell>
        </row>
        <row r="30">
          <cell r="A30" t="str">
            <v/>
          </cell>
          <cell r="D30" t="str">
            <v/>
          </cell>
        </row>
        <row r="31">
          <cell r="A31" t="str">
            <v>12.052</v>
          </cell>
          <cell r="D31" t="str">
            <v/>
          </cell>
        </row>
        <row r="32">
          <cell r="A32" t="str">
            <v>12.052.0020</v>
          </cell>
          <cell r="D32">
            <v>1760</v>
          </cell>
        </row>
        <row r="33">
          <cell r="A33" t="str">
            <v>12.052.0070</v>
          </cell>
          <cell r="D33">
            <v>1850</v>
          </cell>
        </row>
        <row r="34">
          <cell r="A34" t="str">
            <v>12.052.0080</v>
          </cell>
          <cell r="D34">
            <v>1680</v>
          </cell>
        </row>
        <row r="35">
          <cell r="A35" t="str">
            <v>12.053</v>
          </cell>
          <cell r="D35" t="str">
            <v/>
          </cell>
        </row>
        <row r="36">
          <cell r="A36" t="str">
            <v>12.053.0200</v>
          </cell>
          <cell r="D36">
            <v>2850</v>
          </cell>
        </row>
        <row r="37">
          <cell r="A37" t="str">
            <v>12.053.0210</v>
          </cell>
          <cell r="D37">
            <v>2300</v>
          </cell>
        </row>
        <row r="38">
          <cell r="A38" t="str">
            <v>12.053.0450</v>
          </cell>
          <cell r="D38">
            <v>3250</v>
          </cell>
        </row>
        <row r="39">
          <cell r="A39" t="str">
            <v>12.061</v>
          </cell>
          <cell r="D39" t="str">
            <v/>
          </cell>
        </row>
        <row r="40">
          <cell r="A40" t="str">
            <v>12.061.9000</v>
          </cell>
          <cell r="D40">
            <v>88</v>
          </cell>
        </row>
        <row r="41">
          <cell r="A41" t="str">
            <v>12.065</v>
          </cell>
          <cell r="D41" t="str">
            <v/>
          </cell>
        </row>
        <row r="42">
          <cell r="A42" t="str">
            <v>12.065.1613</v>
          </cell>
          <cell r="D42">
            <v>717</v>
          </cell>
        </row>
        <row r="43">
          <cell r="A43" t="str">
            <v>12.065.1615</v>
          </cell>
          <cell r="D43">
            <v>582</v>
          </cell>
        </row>
        <row r="44">
          <cell r="A44" t="str">
            <v>12.065.1671</v>
          </cell>
          <cell r="D44">
            <v>1730</v>
          </cell>
        </row>
        <row r="45">
          <cell r="A45" t="str">
            <v>12.065.1681</v>
          </cell>
          <cell r="D45">
            <v>1440</v>
          </cell>
        </row>
        <row r="46">
          <cell r="A46" t="str">
            <v>12.065.2000</v>
          </cell>
          <cell r="D46">
            <v>620</v>
          </cell>
        </row>
        <row r="47">
          <cell r="A47" t="str">
            <v>12.065.2010</v>
          </cell>
          <cell r="D47">
            <v>750</v>
          </cell>
        </row>
        <row r="48">
          <cell r="A48" t="str">
            <v>12.065.2020</v>
          </cell>
          <cell r="D48">
            <v>1020</v>
          </cell>
        </row>
        <row r="49">
          <cell r="A49" t="str">
            <v>12.065.2030</v>
          </cell>
          <cell r="D49">
            <v>1370</v>
          </cell>
        </row>
        <row r="50">
          <cell r="A50" t="str">
            <v>12.065.2040</v>
          </cell>
          <cell r="D50">
            <v>1650</v>
          </cell>
        </row>
        <row r="51">
          <cell r="A51" t="str">
            <v>12.065.2050</v>
          </cell>
          <cell r="D51">
            <v>1820</v>
          </cell>
        </row>
        <row r="52">
          <cell r="A52" t="str">
            <v>12.065.9000</v>
          </cell>
          <cell r="D52">
            <v>130</v>
          </cell>
        </row>
        <row r="53">
          <cell r="A53" t="str">
            <v>12.065.9020</v>
          </cell>
          <cell r="D53">
            <v>60</v>
          </cell>
        </row>
        <row r="54">
          <cell r="A54" t="str">
            <v>12.065.9100</v>
          </cell>
          <cell r="D54">
            <v>109</v>
          </cell>
        </row>
        <row r="55">
          <cell r="A55" t="str">
            <v>12.065.9110</v>
          </cell>
          <cell r="D55">
            <v>121</v>
          </cell>
        </row>
        <row r="56">
          <cell r="A56" t="str">
            <v>12.065.0001</v>
          </cell>
          <cell r="D56">
            <v>133</v>
          </cell>
        </row>
        <row r="57">
          <cell r="A57" t="str">
            <v>12.065.0002</v>
          </cell>
          <cell r="D57">
            <v>145</v>
          </cell>
        </row>
        <row r="58">
          <cell r="A58" t="str">
            <v>12.065.0003</v>
          </cell>
          <cell r="D58">
            <v>157</v>
          </cell>
        </row>
        <row r="59">
          <cell r="A59" t="str">
            <v>12.065.0004</v>
          </cell>
          <cell r="D59">
            <v>169</v>
          </cell>
        </row>
        <row r="60">
          <cell r="A60" t="str">
            <v>12.065.0005</v>
          </cell>
          <cell r="D60">
            <v>181</v>
          </cell>
        </row>
        <row r="61">
          <cell r="A61" t="str">
            <v>12.065.0006</v>
          </cell>
          <cell r="D61">
            <v>193</v>
          </cell>
        </row>
        <row r="62">
          <cell r="A62" t="str">
            <v>12.067</v>
          </cell>
          <cell r="D62" t="str">
            <v/>
          </cell>
        </row>
        <row r="63">
          <cell r="A63" t="str">
            <v>12.067.9000</v>
          </cell>
          <cell r="D63">
            <v>53</v>
          </cell>
        </row>
        <row r="64">
          <cell r="A64" t="str">
            <v>12.067.0200</v>
          </cell>
          <cell r="D64">
            <v>880</v>
          </cell>
        </row>
        <row r="65">
          <cell r="A65" t="str">
            <v>12.067.0210</v>
          </cell>
          <cell r="D65">
            <v>650</v>
          </cell>
        </row>
        <row r="66">
          <cell r="A66" t="str">
            <v>12.068</v>
          </cell>
          <cell r="D66" t="str">
            <v/>
          </cell>
        </row>
        <row r="67">
          <cell r="A67" t="str">
            <v>12.068.1320</v>
          </cell>
          <cell r="D67">
            <v>265</v>
          </cell>
        </row>
        <row r="68">
          <cell r="A68" t="str">
            <v>12.068.1216</v>
          </cell>
          <cell r="D68">
            <v>375</v>
          </cell>
        </row>
        <row r="69">
          <cell r="A69" t="str">
            <v>12.068.1172</v>
          </cell>
          <cell r="D69">
            <v>317</v>
          </cell>
        </row>
        <row r="70">
          <cell r="A70" t="str">
            <v>12.068.1004</v>
          </cell>
          <cell r="D70">
            <v>172</v>
          </cell>
        </row>
        <row r="71">
          <cell r="A71" t="str">
            <v>12.068.0902</v>
          </cell>
          <cell r="D71">
            <v>94</v>
          </cell>
        </row>
        <row r="72">
          <cell r="A72" t="str">
            <v>12.068.1002</v>
          </cell>
          <cell r="D72">
            <v>157</v>
          </cell>
        </row>
        <row r="73">
          <cell r="A73" t="str">
            <v>15</v>
          </cell>
          <cell r="D73" t="str">
            <v/>
          </cell>
        </row>
        <row r="74">
          <cell r="A74" t="str">
            <v>15.041</v>
          </cell>
          <cell r="D74" t="str">
            <v/>
          </cell>
        </row>
        <row r="75">
          <cell r="A75" t="str">
            <v>15.041.1210</v>
          </cell>
          <cell r="D75">
            <v>3500</v>
          </cell>
        </row>
        <row r="76">
          <cell r="A76" t="str">
            <v>15.041.4010</v>
          </cell>
          <cell r="D76">
            <v>172</v>
          </cell>
        </row>
        <row r="77">
          <cell r="A77" t="str">
            <v>30.050.9010</v>
          </cell>
          <cell r="D77">
            <v>48</v>
          </cell>
        </row>
        <row r="78">
          <cell r="A78" t="str">
            <v>60</v>
          </cell>
          <cell r="D78" t="str">
            <v/>
          </cell>
        </row>
        <row r="79">
          <cell r="A79" t="str">
            <v>60.020</v>
          </cell>
          <cell r="D79" t="str">
            <v/>
          </cell>
        </row>
        <row r="80">
          <cell r="A80" t="str">
            <v>60.020.0090</v>
          </cell>
          <cell r="D80">
            <v>150</v>
          </cell>
        </row>
        <row r="81">
          <cell r="A81" t="str">
            <v>60.010.0010</v>
          </cell>
          <cell r="D81">
            <v>145</v>
          </cell>
        </row>
        <row r="82">
          <cell r="A82" t="str">
            <v>60.010.0020</v>
          </cell>
          <cell r="D82">
            <v>130</v>
          </cell>
        </row>
        <row r="83">
          <cell r="A83" t="str">
            <v>60.020.0067</v>
          </cell>
          <cell r="D83">
            <v>3500</v>
          </cell>
        </row>
        <row r="84">
          <cell r="A84" t="str">
            <v>60.030</v>
          </cell>
          <cell r="D84" t="str">
            <v/>
          </cell>
        </row>
        <row r="85">
          <cell r="A85" t="str">
            <v>60.030.0605</v>
          </cell>
          <cell r="D85">
            <v>1460</v>
          </cell>
        </row>
        <row r="86">
          <cell r="A86" t="str">
            <v>60.030.0634</v>
          </cell>
          <cell r="D86">
            <v>1810</v>
          </cell>
        </row>
        <row r="87">
          <cell r="A87" t="str">
            <v>60.030.0644</v>
          </cell>
          <cell r="D87">
            <v>2200</v>
          </cell>
        </row>
        <row r="88">
          <cell r="A88" t="str">
            <v>85</v>
          </cell>
          <cell r="D88" t="str">
            <v/>
          </cell>
        </row>
        <row r="89">
          <cell r="A89" t="str">
            <v>85.095</v>
          </cell>
          <cell r="D89" t="str">
            <v/>
          </cell>
        </row>
        <row r="90">
          <cell r="A90" t="str">
            <v>85.095.0950</v>
          </cell>
          <cell r="D90">
            <v>129.78142076502732</v>
          </cell>
        </row>
        <row r="91">
          <cell r="A91" t="str">
            <v>12.99.0001</v>
          </cell>
          <cell r="D91">
            <v>2375.3501400560222</v>
          </cell>
        </row>
        <row r="92">
          <cell r="A92" t="str">
            <v>12.99.0002</v>
          </cell>
          <cell r="D92">
            <v>950.14005602240888</v>
          </cell>
        </row>
        <row r="93">
          <cell r="A93" t="str">
            <v>12.093.0022</v>
          </cell>
          <cell r="D93">
            <v>0.06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person displayName="Ohad" id="{8BE945B8-4628-4F19-9F8F-4F4B3BCB175D}" userId="S::Ohad@kn-empo.co.il::d4b380db-8f90-466f-88f5-d3fe141236aa" providerId="AD"/>
</personList>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9" dT="2026-08-10T12:41:30.23" personId="{8BE945B8-4628-4F19-9F8F-4F4B3BCB175D}" id="{A7DCC2C2-8FEE-4B23-8824-A46C24045677}">
    <text>זה עבור א2!</text>
  </threadedComment>
</ThreadedComments>
</file>

<file path=xl/threadedComments/threadedComment2.xml><?xml version="1.0" encoding="utf-8"?>
<ThreadedComments xmlns="http://schemas.microsoft.com/office/spreadsheetml/2018/threadedcomments" xmlns:x="http://schemas.openxmlformats.org/spreadsheetml/2006/main">
  <threadedComment ref="D40" dT="2026-08-10T13:27:39.55" personId="{8BE945B8-4628-4F19-9F8F-4F4B3BCB175D}" id="{E3D27F6F-A49E-4369-8D1B-5A88D0C87D6C}">
    <text>זה כולל גם את הדלת</text>
  </threadedComment>
</ThreadedComments>
</file>

<file path=xl/threadedComments/threadedComment3.xml><?xml version="1.0" encoding="utf-8"?>
<ThreadedComments xmlns="http://schemas.microsoft.com/office/spreadsheetml/2018/threadedcomments" xmlns:x="http://schemas.openxmlformats.org/spreadsheetml/2006/main">
  <threadedComment ref="D42" dT="2026-08-10T13:37:45.26" personId="{8BE945B8-4628-4F19-9F8F-4F4B3BCB175D}" id="{3A68140B-C7AC-45FC-BE9A-DFA85A3FAD2A}">
    <text>הכל שם תריסי אור</text>
  </threadedComment>
  <threadedComment ref="D48" dT="2026-08-10T13:40:32.49" personId="{8BE945B8-4628-4F19-9F8F-4F4B3BCB175D}" id="{B004F278-103E-4573-8956-B0A9D3A8A482}">
    <text>תריסי אור כבדים יותר מתריסים רגילים, ולכן החישוב הוא מ"ר*10 מעגלים ועולים בדרגה אחת</text>
  </threadedComment>
  <threadedComment ref="D64" dT="2026-08-10T13:42:37.67" personId="{8BE945B8-4628-4F19-9F8F-4F4B3BCB175D}" id="{19D27A09-D869-4EB4-B1AE-799740F96BC1}">
    <text>לא יכול להיות שמפרקים יותר ממה שמחזירים</text>
  </threadedComment>
</ThreadedComments>
</file>

<file path=xl/threadedComments/threadedComment4.xml><?xml version="1.0" encoding="utf-8"?>
<ThreadedComments xmlns="http://schemas.microsoft.com/office/spreadsheetml/2018/threadedcomments" xmlns:x="http://schemas.openxmlformats.org/spreadsheetml/2006/main">
  <threadedComment ref="D17" dT="2026-08-10T13:48:14.23" personId="{8BE945B8-4628-4F19-9F8F-4F4B3BCB175D}" id="{B3C36A14-F638-46BA-B16D-87B29A8CCC85}">
    <text>הכל פרופיל 9000</text>
  </threadedComment>
</ThreadedComments>
</file>

<file path=xl/threadedComments/threadedComment5.xml><?xml version="1.0" encoding="utf-8"?>
<ThreadedComments xmlns="http://schemas.microsoft.com/office/spreadsheetml/2018/threadedcomments" xmlns:x="http://schemas.openxmlformats.org/spreadsheetml/2006/main">
  <threadedComment ref="D18" dT="2026-08-10T14:02:11.98" personId="{8BE945B8-4628-4F19-9F8F-4F4B3BCB175D}" id="{0EB04AF8-07EF-4FB2-9F50-4B7151FE0B2E}">
    <text>הכל 9000</text>
  </threadedComment>
  <threadedComment ref="D44" dT="2026-08-10T14:11:37.83" personId="{8BE945B8-4628-4F19-9F8F-4F4B3BCB175D}" id="{86A41CC5-722B-45B9-AB31-C7145987066F}">
    <text>פה זאת שאלה - ורק בדירה הזאת תיקנתי את זה. האם כולל גובה הארגז או לא? על הליפוף סביב המנוע ויתרנו</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B901-3F52-432D-99EB-AAF2D78A216D}">
  <dimension ref="A1:AR115"/>
  <sheetViews>
    <sheetView rightToLeft="1" tabSelected="1" zoomScale="85" zoomScaleNormal="85" workbookViewId="0">
      <pane xSplit="2" ySplit="7" topLeftCell="C91" activePane="bottomRight" state="frozen"/>
      <selection pane="topRight" activeCell="C1" sqref="C1"/>
      <selection pane="bottomLeft" activeCell="A8" sqref="A8"/>
      <selection pane="bottomRight" activeCell="AH100" sqref="AH100"/>
    </sheetView>
  </sheetViews>
  <sheetFormatPr defaultRowHeight="13.8" x14ac:dyDescent="0.25"/>
  <cols>
    <col min="1" max="1" width="11.69921875" customWidth="1"/>
    <col min="2" max="2" width="44.59765625" customWidth="1"/>
    <col min="3" max="3" width="8.19921875" customWidth="1"/>
    <col min="4" max="7" width="11.69921875" customWidth="1"/>
    <col min="8" max="8" width="11.19921875" bestFit="1" customWidth="1"/>
    <col min="9" max="9" width="8.69921875" hidden="1" customWidth="1"/>
    <col min="10" max="10" width="13" hidden="1" customWidth="1"/>
    <col min="11" max="11" width="10.09765625" hidden="1" customWidth="1"/>
    <col min="12" max="12" width="19.8984375" hidden="1" customWidth="1"/>
    <col min="13" max="13" width="8.69921875" customWidth="1"/>
    <col min="14" max="14" width="13.19921875" style="49" customWidth="1"/>
    <col min="15" max="15" width="8.69921875" customWidth="1"/>
    <col min="16" max="16" width="13.19921875" bestFit="1" customWidth="1"/>
    <col min="17" max="17" width="8.69921875" customWidth="1"/>
    <col min="18" max="18" width="19.5" customWidth="1"/>
    <col min="19" max="19" width="11.69921875" customWidth="1"/>
    <col min="20" max="20" width="19.5" customWidth="1"/>
    <col min="21" max="21" width="11.3984375" customWidth="1"/>
    <col min="22" max="22" width="19.5" customWidth="1"/>
    <col min="23" max="23" width="11.59765625" customWidth="1"/>
    <col min="24" max="24" width="19.5" customWidth="1"/>
    <col min="25" max="25" width="12.59765625" customWidth="1"/>
    <col min="26" max="34" width="19.5" customWidth="1"/>
    <col min="35" max="35" width="19.5" style="102" customWidth="1"/>
    <col min="36" max="36" width="19.5" customWidth="1"/>
    <col min="37" max="38" width="19.5" hidden="1" customWidth="1"/>
    <col min="39" max="39" width="11.19921875" customWidth="1"/>
    <col min="40" max="40" width="19.19921875" customWidth="1"/>
    <col min="41" max="42" width="14" hidden="1" customWidth="1"/>
    <col min="43" max="43" width="13.296875" bestFit="1" customWidth="1"/>
    <col min="44" max="44" width="14.09765625" bestFit="1" customWidth="1"/>
  </cols>
  <sheetData>
    <row r="1" spans="1:44" ht="17.399999999999999" x14ac:dyDescent="0.3">
      <c r="A1" t="s">
        <v>149</v>
      </c>
      <c r="B1" s="132" t="s">
        <v>216</v>
      </c>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row>
    <row r="2" spans="1:44" x14ac:dyDescent="0.25">
      <c r="A2">
        <v>4</v>
      </c>
    </row>
    <row r="3" spans="1:44" ht="14.4" thickBot="1" x14ac:dyDescent="0.3"/>
    <row r="4" spans="1:44" ht="13.95" customHeight="1" thickBot="1" x14ac:dyDescent="0.3">
      <c r="A4" s="126" t="s">
        <v>0</v>
      </c>
      <c r="B4" s="126" t="s">
        <v>1</v>
      </c>
      <c r="C4" s="126" t="s">
        <v>2</v>
      </c>
      <c r="D4" s="126" t="s">
        <v>142</v>
      </c>
      <c r="E4" s="126" t="s">
        <v>143</v>
      </c>
      <c r="F4" s="126" t="s">
        <v>144</v>
      </c>
      <c r="G4" s="126" t="s">
        <v>145</v>
      </c>
      <c r="H4" s="123" t="s">
        <v>146</v>
      </c>
      <c r="I4" s="119">
        <v>1</v>
      </c>
      <c r="J4" s="120"/>
      <c r="K4" s="119">
        <f>I4+1</f>
        <v>2</v>
      </c>
      <c r="L4" s="120"/>
      <c r="M4" s="119">
        <f t="shared" ref="M4" si="0">K4+1</f>
        <v>3</v>
      </c>
      <c r="N4" s="120"/>
      <c r="O4" s="119">
        <f t="shared" ref="O4" si="1">M4+1</f>
        <v>4</v>
      </c>
      <c r="P4" s="120"/>
      <c r="Q4" s="119">
        <f t="shared" ref="Q4" si="2">O4+1</f>
        <v>5</v>
      </c>
      <c r="R4" s="120"/>
      <c r="S4" s="115">
        <v>6</v>
      </c>
      <c r="T4" s="116"/>
      <c r="U4" s="115">
        <v>7</v>
      </c>
      <c r="V4" s="116"/>
      <c r="W4" s="115">
        <v>8</v>
      </c>
      <c r="X4" s="116"/>
      <c r="Y4" s="115">
        <v>9</v>
      </c>
      <c r="Z4" s="116"/>
      <c r="AA4" s="115">
        <v>10</v>
      </c>
      <c r="AB4" s="116"/>
      <c r="AC4" s="115">
        <v>11</v>
      </c>
      <c r="AD4" s="116"/>
      <c r="AE4" s="115">
        <v>12</v>
      </c>
      <c r="AF4" s="116"/>
      <c r="AG4" s="115">
        <v>13</v>
      </c>
      <c r="AH4" s="116"/>
      <c r="AI4" s="115">
        <v>14</v>
      </c>
      <c r="AJ4" s="116"/>
      <c r="AK4" s="115">
        <v>15</v>
      </c>
      <c r="AL4" s="116"/>
      <c r="AM4" s="133" t="str">
        <f>"סה""כ כמות חשבון מס' " &amp; A2</f>
        <v>סה"כ כמות חשבון מס' 4</v>
      </c>
      <c r="AN4" s="129" t="str">
        <f>"סה""כ סכום חשבון מס' " &amp; A2</f>
        <v>סה"כ סכום חשבון מס' 4</v>
      </c>
    </row>
    <row r="5" spans="1:44" ht="14.4" thickBot="1" x14ac:dyDescent="0.3">
      <c r="A5" s="127"/>
      <c r="B5" s="127" t="s">
        <v>1</v>
      </c>
      <c r="C5" s="127" t="s">
        <v>2</v>
      </c>
      <c r="D5" s="127" t="s">
        <v>142</v>
      </c>
      <c r="E5" s="127" t="s">
        <v>143</v>
      </c>
      <c r="F5" s="127" t="s">
        <v>144</v>
      </c>
      <c r="G5" s="127" t="s">
        <v>145</v>
      </c>
      <c r="H5" s="124"/>
      <c r="I5" s="121"/>
      <c r="J5" s="122"/>
      <c r="K5" s="136"/>
      <c r="L5" s="118"/>
      <c r="M5" s="117" t="str">
        <f>'3'!C1</f>
        <v>מלניק</v>
      </c>
      <c r="N5" s="118"/>
      <c r="O5" s="121" t="s">
        <v>220</v>
      </c>
      <c r="P5" s="122"/>
      <c r="Q5" s="121" t="s">
        <v>222</v>
      </c>
      <c r="R5" s="122"/>
      <c r="S5" s="115" t="s">
        <v>223</v>
      </c>
      <c r="T5" s="116"/>
      <c r="U5" s="115" t="s">
        <v>227</v>
      </c>
      <c r="V5" s="116"/>
      <c r="W5" s="115" t="s">
        <v>228</v>
      </c>
      <c r="X5" s="116"/>
      <c r="Y5" s="115" t="s">
        <v>229</v>
      </c>
      <c r="Z5" s="116"/>
      <c r="AA5" s="115" t="s">
        <v>231</v>
      </c>
      <c r="AB5" s="116"/>
      <c r="AC5" s="115" t="s">
        <v>230</v>
      </c>
      <c r="AD5" s="116"/>
      <c r="AE5" s="115" t="s">
        <v>232</v>
      </c>
      <c r="AF5" s="116"/>
      <c r="AG5" s="115" t="s">
        <v>233</v>
      </c>
      <c r="AH5" s="116"/>
      <c r="AI5" s="115" t="s">
        <v>234</v>
      </c>
      <c r="AJ5" s="116"/>
      <c r="AK5" s="115" t="s">
        <v>214</v>
      </c>
      <c r="AL5" s="116"/>
      <c r="AM5" s="134"/>
      <c r="AN5" s="130"/>
    </row>
    <row r="6" spans="1:44" x14ac:dyDescent="0.25">
      <c r="A6" s="127"/>
      <c r="B6" s="127" t="s">
        <v>1</v>
      </c>
      <c r="C6" s="127" t="s">
        <v>2</v>
      </c>
      <c r="D6" s="127" t="s">
        <v>142</v>
      </c>
      <c r="E6" s="127" t="s">
        <v>143</v>
      </c>
      <c r="F6" s="127" t="s">
        <v>144</v>
      </c>
      <c r="G6" s="127" t="s">
        <v>145</v>
      </c>
      <c r="H6" s="124"/>
      <c r="I6" s="117"/>
      <c r="J6" s="118"/>
      <c r="K6" s="117"/>
      <c r="L6" s="118"/>
      <c r="M6" s="117">
        <f>'3'!D1</f>
        <v>1573</v>
      </c>
      <c r="N6" s="118"/>
      <c r="O6" s="117">
        <v>1778</v>
      </c>
      <c r="P6" s="118"/>
      <c r="Q6" s="117">
        <v>1525</v>
      </c>
      <c r="R6" s="118"/>
      <c r="S6" s="115">
        <v>1540</v>
      </c>
      <c r="T6" s="116"/>
      <c r="U6" s="115">
        <v>1808</v>
      </c>
      <c r="V6" s="116"/>
      <c r="W6" s="115">
        <v>1811</v>
      </c>
      <c r="X6" s="116"/>
      <c r="Y6" s="115">
        <v>1700</v>
      </c>
      <c r="Z6" s="116"/>
      <c r="AA6" s="115">
        <v>1812</v>
      </c>
      <c r="AB6" s="116"/>
      <c r="AC6" s="115">
        <v>1695</v>
      </c>
      <c r="AD6" s="116"/>
      <c r="AE6" s="115">
        <v>1674</v>
      </c>
      <c r="AF6" s="116"/>
      <c r="AG6" s="115">
        <v>1708</v>
      </c>
      <c r="AH6" s="116"/>
      <c r="AI6" s="115">
        <v>1691</v>
      </c>
      <c r="AJ6" s="116"/>
      <c r="AK6" s="115"/>
      <c r="AL6" s="116"/>
      <c r="AM6" s="134"/>
      <c r="AN6" s="130"/>
    </row>
    <row r="7" spans="1:44" s="1" customFormat="1" ht="28.2" customHeight="1" thickBot="1" x14ac:dyDescent="0.3">
      <c r="A7" s="128" t="s">
        <v>0</v>
      </c>
      <c r="B7" s="128" t="s">
        <v>1</v>
      </c>
      <c r="C7" s="128" t="s">
        <v>2</v>
      </c>
      <c r="D7" s="128" t="s">
        <v>142</v>
      </c>
      <c r="E7" s="128" t="s">
        <v>143</v>
      </c>
      <c r="F7" s="128" t="s">
        <v>144</v>
      </c>
      <c r="G7" s="128" t="s">
        <v>145</v>
      </c>
      <c r="H7" s="125"/>
      <c r="I7" s="84" t="s">
        <v>147</v>
      </c>
      <c r="J7" s="85" t="s">
        <v>148</v>
      </c>
      <c r="K7" s="84" t="s">
        <v>147</v>
      </c>
      <c r="L7" s="85" t="s">
        <v>148</v>
      </c>
      <c r="M7" s="84" t="s">
        <v>147</v>
      </c>
      <c r="N7" s="86" t="s">
        <v>148</v>
      </c>
      <c r="O7" s="84" t="s">
        <v>147</v>
      </c>
      <c r="P7" s="85" t="s">
        <v>148</v>
      </c>
      <c r="Q7" s="84" t="s">
        <v>147</v>
      </c>
      <c r="R7" s="85" t="s">
        <v>148</v>
      </c>
      <c r="S7" s="84" t="s">
        <v>147</v>
      </c>
      <c r="T7" s="85" t="s">
        <v>148</v>
      </c>
      <c r="U7" s="84" t="s">
        <v>147</v>
      </c>
      <c r="V7" s="85" t="s">
        <v>148</v>
      </c>
      <c r="W7" s="84" t="s">
        <v>147</v>
      </c>
      <c r="X7" s="85" t="s">
        <v>148</v>
      </c>
      <c r="Y7" s="84" t="s">
        <v>147</v>
      </c>
      <c r="Z7" s="85" t="s">
        <v>148</v>
      </c>
      <c r="AA7" s="84" t="s">
        <v>147</v>
      </c>
      <c r="AB7" s="85" t="s">
        <v>148</v>
      </c>
      <c r="AC7" s="84" t="s">
        <v>147</v>
      </c>
      <c r="AD7" s="85" t="s">
        <v>148</v>
      </c>
      <c r="AE7" s="84" t="s">
        <v>147</v>
      </c>
      <c r="AF7" s="85" t="s">
        <v>148</v>
      </c>
      <c r="AG7" s="84" t="s">
        <v>147</v>
      </c>
      <c r="AH7" s="85" t="s">
        <v>148</v>
      </c>
      <c r="AI7" s="103" t="s">
        <v>147</v>
      </c>
      <c r="AJ7" s="85" t="s">
        <v>148</v>
      </c>
      <c r="AK7" s="103" t="s">
        <v>147</v>
      </c>
      <c r="AL7" s="85" t="s">
        <v>148</v>
      </c>
      <c r="AM7" s="135"/>
      <c r="AN7" s="131"/>
    </row>
    <row r="8" spans="1:44" ht="15.6" x14ac:dyDescent="0.3">
      <c r="A8" s="75" t="s">
        <v>5</v>
      </c>
      <c r="B8" s="76" t="s">
        <v>6</v>
      </c>
      <c r="C8" s="77" t="s">
        <v>3</v>
      </c>
      <c r="D8" s="78" t="s">
        <v>3</v>
      </c>
      <c r="E8" s="79"/>
      <c r="F8" s="79"/>
      <c r="G8" s="79"/>
      <c r="H8" s="80"/>
      <c r="I8" s="81"/>
      <c r="J8" s="82"/>
      <c r="K8" s="81"/>
      <c r="L8" s="82"/>
      <c r="M8" s="81"/>
      <c r="N8" s="83"/>
      <c r="O8" s="81"/>
      <c r="P8" s="82"/>
      <c r="Q8" s="81"/>
      <c r="R8" s="82"/>
      <c r="S8" s="81"/>
      <c r="T8" s="82"/>
      <c r="U8" s="81"/>
      <c r="V8" s="82"/>
      <c r="W8" s="81"/>
      <c r="X8" s="82"/>
      <c r="Y8" s="81"/>
      <c r="Z8" s="82"/>
      <c r="AA8" s="81"/>
      <c r="AB8" s="82"/>
      <c r="AC8" s="81"/>
      <c r="AD8" s="82"/>
      <c r="AE8" s="81"/>
      <c r="AF8" s="82"/>
      <c r="AG8" s="81"/>
      <c r="AH8" s="82"/>
      <c r="AI8" s="104"/>
      <c r="AJ8" s="97"/>
      <c r="AK8" s="97"/>
      <c r="AL8" s="97"/>
      <c r="AM8" s="81"/>
      <c r="AN8" s="82"/>
      <c r="AP8" s="91" t="str">
        <f>IF(G8="","",_xlfn.XLOOKUP(A8,'[1]סעיפים חסרים'!$A:$A,'[1]סעיפים חסרים'!$B:$B,"אין"))</f>
        <v/>
      </c>
    </row>
    <row r="9" spans="1:44" ht="15.6" x14ac:dyDescent="0.3">
      <c r="A9" s="5" t="s">
        <v>7</v>
      </c>
      <c r="B9" s="6" t="s">
        <v>8</v>
      </c>
      <c r="C9" s="7" t="s">
        <v>3</v>
      </c>
      <c r="D9" s="8" t="s">
        <v>3</v>
      </c>
      <c r="E9" s="4"/>
      <c r="F9" s="4"/>
      <c r="G9" s="4"/>
      <c r="H9" s="67"/>
      <c r="I9" s="68"/>
      <c r="J9" s="69"/>
      <c r="K9" s="68"/>
      <c r="L9" s="69"/>
      <c r="M9" s="68"/>
      <c r="N9" s="70"/>
      <c r="O9" s="68"/>
      <c r="P9" s="69"/>
      <c r="Q9" s="68"/>
      <c r="R9" s="69"/>
      <c r="S9" s="68"/>
      <c r="T9" s="69"/>
      <c r="U9" s="68"/>
      <c r="V9" s="69"/>
      <c r="W9" s="68"/>
      <c r="X9" s="69"/>
      <c r="Y9" s="68"/>
      <c r="Z9" s="69"/>
      <c r="AA9" s="68"/>
      <c r="AB9" s="69"/>
      <c r="AC9" s="68"/>
      <c r="AD9" s="69"/>
      <c r="AE9" s="68"/>
      <c r="AF9" s="69"/>
      <c r="AG9" s="68"/>
      <c r="AH9" s="69"/>
      <c r="AI9" s="105"/>
      <c r="AJ9" s="98"/>
      <c r="AK9" s="98"/>
      <c r="AL9" s="98"/>
      <c r="AM9" s="68"/>
      <c r="AN9" s="69"/>
      <c r="AP9" s="91" t="str">
        <f>IF(G9="","",_xlfn.XLOOKUP(A9,'[1]סעיפים חסרים'!$A:$A,'[1]סעיפים חסרים'!$B:$B,"אין"))</f>
        <v/>
      </c>
    </row>
    <row r="10" spans="1:44" ht="69" x14ac:dyDescent="0.25">
      <c r="A10" s="9" t="s">
        <v>9</v>
      </c>
      <c r="B10" s="2" t="s">
        <v>10</v>
      </c>
      <c r="C10" s="3" t="s">
        <v>4</v>
      </c>
      <c r="D10" s="41">
        <v>64</v>
      </c>
      <c r="E10" s="10">
        <f>IF(D10="","",D10*0.15)</f>
        <v>9.6</v>
      </c>
      <c r="F10" s="10">
        <f>IF(D10="","",D10*0.05)</f>
        <v>3.2</v>
      </c>
      <c r="G10" s="10">
        <f>IF(D10="","",D10*1.05*0.85)</f>
        <v>57.12</v>
      </c>
      <c r="H10" s="67"/>
      <c r="I10" s="68"/>
      <c r="J10" s="74">
        <f>IF(D10="","",I10*G10)</f>
        <v>0</v>
      </c>
      <c r="K10" s="68"/>
      <c r="L10" s="74">
        <f>IF(G10="","",K10*G10)</f>
        <v>0</v>
      </c>
      <c r="M10" s="68">
        <f>IF(D10="","",_xlfn.XLOOKUP(A10,'3'!A:A,'3'!D:D,IF($M$6=0,0,"ERROR")))</f>
        <v>43.4</v>
      </c>
      <c r="N10" s="70">
        <f>IF(G10="","",M10*G10)</f>
        <v>2479.0079999999998</v>
      </c>
      <c r="O10" s="68">
        <f>IF(D10="","",_xlfn.XLOOKUP(A10,'4'!A:A,'4'!D:D,IF($O$6=0,0,"ERROR")))</f>
        <v>0</v>
      </c>
      <c r="P10" s="69">
        <f>IF(G10="","",O10*G10)</f>
        <v>0</v>
      </c>
      <c r="Q10" s="68">
        <f>IF(D10="","",_xlfn.XLOOKUP(A10,'5'!A:A,'5'!D:D,IF($Q$6=0,0,"ERROR")))</f>
        <v>59.47</v>
      </c>
      <c r="R10" s="70">
        <f>IF(G10="","",Q10*G10)</f>
        <v>3396.9263999999998</v>
      </c>
      <c r="S10" s="68">
        <f>IF(D10="","",_xlfn.XLOOKUP(A10,'6'!A:A,'6'!D:D,IF($Q$6=0,0,"ERROR")))</f>
        <v>34.25</v>
      </c>
      <c r="T10" s="70">
        <f>IF(G10="","",S10*G10)</f>
        <v>1956.36</v>
      </c>
      <c r="U10" s="68">
        <f>IF(D10="","",_xlfn.XLOOKUP(A10,'7'!A:A,'7'!D:D,IF($U$6=0,0,"ERROR")))</f>
        <v>41.24</v>
      </c>
      <c r="V10" s="70">
        <f>IF(G10="","",U10*G10)</f>
        <v>2355.6288</v>
      </c>
      <c r="W10" s="68">
        <f>IF(D10="","",_xlfn.XLOOKUP(A10,'8'!A:A,'8'!D:D,IF($U$6=0,0,"ERROR")))</f>
        <v>41.24</v>
      </c>
      <c r="X10" s="70">
        <f t="shared" ref="X10:X73" si="3">IF(G10="","",W10*G10)</f>
        <v>2355.6288</v>
      </c>
      <c r="Y10" s="68">
        <f>IF(D10="","",_xlfn.XLOOKUP(A10,'9'!A:A,'9'!D:D,IF($U$6=0,0,"ERROR")))</f>
        <v>35.549999999999997</v>
      </c>
      <c r="Z10" s="70">
        <f>IF(G10="","",Y10*G10)</f>
        <v>2030.6159999999998</v>
      </c>
      <c r="AA10" s="68">
        <f>IF(D10="","",_xlfn.XLOOKUP(A10,'10'!A:A,'10'!D:D,IF($U$6=0,0,"ERROR")))</f>
        <v>30.080000000000002</v>
      </c>
      <c r="AB10" s="70">
        <f>IF(G10="","",AA10*G10)</f>
        <v>1718.1695999999999</v>
      </c>
      <c r="AC10" s="68">
        <f>IF(D10="","",_xlfn.XLOOKUP(A10,'11'!A:A,'11'!D:D,IF($U$6=0,0,"ERROR")))</f>
        <v>30.91</v>
      </c>
      <c r="AD10" s="70">
        <f>IF(G10="","",AC10*G10)</f>
        <v>1765.5791999999999</v>
      </c>
      <c r="AE10" s="68">
        <f>IF(D10="","",_xlfn.XLOOKUP(A10,'12'!A:A,'12'!D:D,IF($U$6=0,0,"ERROR")))</f>
        <v>11.32</v>
      </c>
      <c r="AF10" s="70">
        <f>IF(G10="","",AE10*G10)</f>
        <v>646.59839999999997</v>
      </c>
      <c r="AG10" s="68">
        <f>IF(D10="","",_xlfn.XLOOKUP(A10,'13'!A:A,'13'!D:D,IF($U$6=0,0,"ERROR")))</f>
        <v>31.36</v>
      </c>
      <c r="AH10" s="70">
        <f>IF(G10="","",AG10*G10)</f>
        <v>1791.2831999999999</v>
      </c>
      <c r="AI10" s="106">
        <f>IF(D10="","",_xlfn.XLOOKUP(A10,'14'!A:A,'14'!D:D,IF($U$6=0,0,"ERROR")))</f>
        <v>0</v>
      </c>
      <c r="AJ10" s="99">
        <f>IF(G10="","",AI10*G10)</f>
        <v>0</v>
      </c>
      <c r="AK10" s="99"/>
      <c r="AL10" s="99"/>
      <c r="AM10" s="68">
        <f>IF(D10="","",Q10+O10+M10+K10+I10+S10+U10+W10+Y10+AA10+AC10+AE10+AG10+AI10)</f>
        <v>358.82000000000005</v>
      </c>
      <c r="AN10" s="74">
        <f>IF(D10="","",R10+P10+N10+L10+J10+T10+V10+X10+Z10+AB10+AD10+AH10+AF10+AJ10)</f>
        <v>20495.798399999996</v>
      </c>
      <c r="AO10" s="93" t="str">
        <f>IF(AN10="","",IF(AM10*G10=AN10,"הכל טוב","לא טוב"))</f>
        <v>הכל טוב</v>
      </c>
      <c r="AP10" s="91"/>
      <c r="AR10" s="93"/>
    </row>
    <row r="11" spans="1:44" ht="15.6" x14ac:dyDescent="0.3">
      <c r="A11" s="5" t="s">
        <v>11</v>
      </c>
      <c r="B11" s="6" t="s">
        <v>12</v>
      </c>
      <c r="C11" s="7" t="s">
        <v>3</v>
      </c>
      <c r="D11" s="41" t="s">
        <v>3</v>
      </c>
      <c r="E11" s="10" t="str">
        <f t="shared" ref="E11:E88" si="4">IF(D11="","",D11*0.15)</f>
        <v/>
      </c>
      <c r="F11" s="10" t="str">
        <f t="shared" ref="F11:F88" si="5">IF(D11="","",D11*0.05)</f>
        <v/>
      </c>
      <c r="G11" s="10" t="str">
        <f t="shared" ref="G11:G81" si="6">IF(D11="","",D11*1.05*0.85)</f>
        <v/>
      </c>
      <c r="H11" s="67"/>
      <c r="I11" s="68"/>
      <c r="J11" s="74" t="str">
        <f t="shared" ref="J11:J88" si="7">IF(D11="","",I11*G11)</f>
        <v/>
      </c>
      <c r="K11" s="68"/>
      <c r="L11" s="74" t="str">
        <f t="shared" ref="L11:L88" si="8">IF(G11="","",K11*G11)</f>
        <v/>
      </c>
      <c r="M11" s="68" t="str">
        <f>IF(D11="","",_xlfn.XLOOKUP(A11,'3'!A:A,'3'!D:D,IF($M$6=0,0,"ERROR")))</f>
        <v/>
      </c>
      <c r="N11" s="70" t="str">
        <f t="shared" ref="N11:N89" si="9">IF(G11="","",M11*G11)</f>
        <v/>
      </c>
      <c r="O11" s="68" t="str">
        <f>IF(D11="","",_xlfn.XLOOKUP(A11,'4'!A:A,'4'!D:D,IF($O$6=0,0,"ERROR")))</f>
        <v/>
      </c>
      <c r="P11" s="69" t="str">
        <f t="shared" ref="P11:P81" si="10">IF(G11="","",O11*G11)</f>
        <v/>
      </c>
      <c r="Q11" s="68" t="str">
        <f>IF(D11="","",_xlfn.XLOOKUP(A11,'5'!A:A,'5'!D:D,IF($Q$6=0,0,"ERROR")))</f>
        <v/>
      </c>
      <c r="R11" s="70" t="str">
        <f t="shared" ref="R11:R81" si="11">IF(G11="","",Q11*G11)</f>
        <v/>
      </c>
      <c r="S11" s="68" t="str">
        <f>IF(D11="","",_xlfn.XLOOKUP(A11,'6'!A:A,'6'!D:D,IF($Q$6=0,0,"ERROR")))</f>
        <v/>
      </c>
      <c r="T11" s="70" t="str">
        <f t="shared" ref="T11:T74" si="12">IF(G11="","",S11*G11)</f>
        <v/>
      </c>
      <c r="U11" s="68" t="str">
        <f>IF(D11="","",_xlfn.XLOOKUP(A11,'7'!A:A,'7'!D:D,IF($U$6=0,0,"ERROR")))</f>
        <v/>
      </c>
      <c r="V11" s="70" t="str">
        <f t="shared" ref="V11:V81" si="13">IF(G11="","",U11*G11)</f>
        <v/>
      </c>
      <c r="W11" s="68" t="str">
        <f>IF(D11="","",_xlfn.XLOOKUP(A11,'8'!A:A,'8'!D:D,IF($U$6=0,0,"ERROR")))</f>
        <v/>
      </c>
      <c r="X11" s="70" t="str">
        <f t="shared" si="3"/>
        <v/>
      </c>
      <c r="Y11" s="68" t="str">
        <f>IF(D11="","",_xlfn.XLOOKUP(A11,'9'!A:A,'9'!D:D,IF($U$6=0,0,"ERROR")))</f>
        <v/>
      </c>
      <c r="Z11" s="70" t="str">
        <f t="shared" ref="Z11:Z74" si="14">IF(G11="","",Y11*G11)</f>
        <v/>
      </c>
      <c r="AA11" s="68" t="str">
        <f>IF(D11="","",_xlfn.XLOOKUP(A11,'10'!A:A,'10'!D:D,IF($U$6=0,0,"ERROR")))</f>
        <v/>
      </c>
      <c r="AB11" s="70" t="str">
        <f t="shared" ref="AB11:AB74" si="15">IF(G11="","",AA11*G11)</f>
        <v/>
      </c>
      <c r="AC11" s="68" t="str">
        <f>IF(D11="","",_xlfn.XLOOKUP(A11,'11'!A:A,'11'!D:D,IF($U$6=0,0,"ERROR")))</f>
        <v/>
      </c>
      <c r="AD11" s="70" t="str">
        <f t="shared" ref="AD11:AD74" si="16">IF(G11="","",AC11*G11)</f>
        <v/>
      </c>
      <c r="AE11" s="68" t="str">
        <f>IF(D11="","",_xlfn.XLOOKUP(A11,'12'!A:A,'12'!D:D,IF($U$6=0,0,"ERROR")))</f>
        <v/>
      </c>
      <c r="AF11" s="70" t="str">
        <f t="shared" ref="AF11:AF74" si="17">IF(G11="","",AE11*G11)</f>
        <v/>
      </c>
      <c r="AG11" s="68" t="str">
        <f>IF(D11="","",_xlfn.XLOOKUP(A11,'13'!A:A,'13'!D:D,IF($U$6=0,0,"ERROR")))</f>
        <v/>
      </c>
      <c r="AH11" s="70" t="str">
        <f t="shared" ref="AH11:AH74" si="18">IF(G11="","",AG11*G11)</f>
        <v/>
      </c>
      <c r="AI11" s="106" t="str">
        <f>IF(D11="","",_xlfn.XLOOKUP(A11,'14'!A:A,'14'!D:D,IF($U$6=0,0,"ERROR")))</f>
        <v/>
      </c>
      <c r="AJ11" s="99" t="str">
        <f t="shared" ref="AJ11:AJ74" si="19">IF(G11="","",AI11*G11)</f>
        <v/>
      </c>
      <c r="AK11" s="99"/>
      <c r="AL11" s="99"/>
      <c r="AM11" s="68" t="str">
        <f t="shared" ref="AM11:AM74" si="20">IF(D11="","",Q11+O11+M11+K11+I11+S11+U11+W11+Y11+AA11+AC11+AE11+AG11+AI11)</f>
        <v/>
      </c>
      <c r="AN11" s="74" t="str">
        <f t="shared" ref="AN11:AN74" si="21">IF(D11="","",R11+P11+N11+L11+J11+T11+V11+X11+Z11+AB11+AD11+AH11+AF11+AJ11)</f>
        <v/>
      </c>
      <c r="AO11" s="93" t="str">
        <f t="shared" ref="AO11:AO81" si="22">IF(AN11="","",IF(AM11*G11=AN11,"הכל טוב","לא טוב"))</f>
        <v/>
      </c>
      <c r="AP11" s="91"/>
      <c r="AR11" s="93"/>
    </row>
    <row r="12" spans="1:44" ht="15.6" x14ac:dyDescent="0.3">
      <c r="A12" s="5" t="s">
        <v>13</v>
      </c>
      <c r="B12" s="6" t="s">
        <v>14</v>
      </c>
      <c r="C12" s="7" t="s">
        <v>3</v>
      </c>
      <c r="D12" s="41" t="s">
        <v>3</v>
      </c>
      <c r="E12" s="10" t="str">
        <f t="shared" si="4"/>
        <v/>
      </c>
      <c r="F12" s="10" t="str">
        <f t="shared" si="5"/>
        <v/>
      </c>
      <c r="G12" s="10" t="str">
        <f t="shared" si="6"/>
        <v/>
      </c>
      <c r="H12" s="67"/>
      <c r="I12" s="68"/>
      <c r="J12" s="74" t="str">
        <f t="shared" si="7"/>
        <v/>
      </c>
      <c r="K12" s="68"/>
      <c r="L12" s="74" t="str">
        <f t="shared" si="8"/>
        <v/>
      </c>
      <c r="M12" s="68" t="str">
        <f>IF(D12="","",_xlfn.XLOOKUP(A12,'3'!A:A,'3'!D:D,IF($M$6=0,0,"ERROR")))</f>
        <v/>
      </c>
      <c r="N12" s="70" t="str">
        <f t="shared" si="9"/>
        <v/>
      </c>
      <c r="O12" s="68" t="str">
        <f>IF(D12="","",_xlfn.XLOOKUP(A12,'4'!A:A,'4'!D:D,IF($O$6=0,0,"ERROR")))</f>
        <v/>
      </c>
      <c r="P12" s="69" t="str">
        <f t="shared" si="10"/>
        <v/>
      </c>
      <c r="Q12" s="68" t="str">
        <f>IF(D12="","",_xlfn.XLOOKUP(A12,'5'!A:A,'5'!D:D,IF($Q$6=0,0,"ERROR")))</f>
        <v/>
      </c>
      <c r="R12" s="70" t="str">
        <f t="shared" si="11"/>
        <v/>
      </c>
      <c r="S12" s="68" t="str">
        <f>IF(D12="","",_xlfn.XLOOKUP(A12,'6'!A:A,'6'!D:D,IF($Q$6=0,0,"ERROR")))</f>
        <v/>
      </c>
      <c r="T12" s="70" t="str">
        <f t="shared" si="12"/>
        <v/>
      </c>
      <c r="U12" s="68" t="str">
        <f>IF(D12="","",_xlfn.XLOOKUP(A12,'7'!A:A,'7'!D:D,IF($U$6=0,0,"ERROR")))</f>
        <v/>
      </c>
      <c r="V12" s="70" t="str">
        <f t="shared" si="13"/>
        <v/>
      </c>
      <c r="W12" s="68" t="str">
        <f>IF(D12="","",_xlfn.XLOOKUP(A12,'8'!A:A,'8'!D:D,IF($U$6=0,0,"ERROR")))</f>
        <v/>
      </c>
      <c r="X12" s="70" t="str">
        <f t="shared" si="3"/>
        <v/>
      </c>
      <c r="Y12" s="68" t="str">
        <f>IF(D12="","",_xlfn.XLOOKUP(A12,'9'!A:A,'9'!D:D,IF($U$6=0,0,"ERROR")))</f>
        <v/>
      </c>
      <c r="Z12" s="70" t="str">
        <f t="shared" si="14"/>
        <v/>
      </c>
      <c r="AA12" s="68" t="str">
        <f>IF(D12="","",_xlfn.XLOOKUP(A12,'10'!A:A,'10'!D:D,IF($U$6=0,0,"ERROR")))</f>
        <v/>
      </c>
      <c r="AB12" s="70" t="str">
        <f t="shared" si="15"/>
        <v/>
      </c>
      <c r="AC12" s="68" t="str">
        <f>IF(D12="","",_xlfn.XLOOKUP(A12,'11'!A:A,'11'!D:D,IF($U$6=0,0,"ERROR")))</f>
        <v/>
      </c>
      <c r="AD12" s="70" t="str">
        <f t="shared" si="16"/>
        <v/>
      </c>
      <c r="AE12" s="68" t="str">
        <f>IF(D12="","",_xlfn.XLOOKUP(A12,'12'!A:A,'12'!D:D,IF($U$6=0,0,"ERROR")))</f>
        <v/>
      </c>
      <c r="AF12" s="70" t="str">
        <f t="shared" si="17"/>
        <v/>
      </c>
      <c r="AG12" s="68" t="str">
        <f>IF(D12="","",_xlfn.XLOOKUP(A12,'13'!A:A,'13'!D:D,IF($U$6=0,0,"ERROR")))</f>
        <v/>
      </c>
      <c r="AH12" s="70" t="str">
        <f t="shared" si="18"/>
        <v/>
      </c>
      <c r="AI12" s="106" t="str">
        <f>IF(D12="","",_xlfn.XLOOKUP(A12,'14'!A:A,'14'!D:D,IF($U$6=0,0,"ERROR")))</f>
        <v/>
      </c>
      <c r="AJ12" s="99" t="str">
        <f t="shared" si="19"/>
        <v/>
      </c>
      <c r="AK12" s="99"/>
      <c r="AL12" s="99"/>
      <c r="AM12" s="68" t="str">
        <f t="shared" si="20"/>
        <v/>
      </c>
      <c r="AN12" s="74" t="str">
        <f t="shared" si="21"/>
        <v/>
      </c>
      <c r="AO12" s="93" t="str">
        <f t="shared" si="22"/>
        <v/>
      </c>
      <c r="AP12" s="91"/>
      <c r="AR12" s="93"/>
    </row>
    <row r="13" spans="1:44" ht="55.2" x14ac:dyDescent="0.25">
      <c r="A13" s="9" t="s">
        <v>15</v>
      </c>
      <c r="B13" s="2" t="s">
        <v>16</v>
      </c>
      <c r="C13" s="3" t="s">
        <v>17</v>
      </c>
      <c r="D13" s="41">
        <v>1770</v>
      </c>
      <c r="E13" s="10">
        <f t="shared" si="4"/>
        <v>265.5</v>
      </c>
      <c r="F13" s="10">
        <f t="shared" si="5"/>
        <v>88.5</v>
      </c>
      <c r="G13" s="10">
        <f t="shared" si="6"/>
        <v>1579.7249999999999</v>
      </c>
      <c r="H13" s="67"/>
      <c r="I13" s="68"/>
      <c r="J13" s="74">
        <f t="shared" si="7"/>
        <v>0</v>
      </c>
      <c r="K13" s="68"/>
      <c r="L13" s="74">
        <f t="shared" si="8"/>
        <v>0</v>
      </c>
      <c r="M13" s="68">
        <f>IF(D13="","",_xlfn.XLOOKUP(A13,'3'!A:A,'3'!D:D,IF($M$6=0,0,"ERROR")))</f>
        <v>5</v>
      </c>
      <c r="N13" s="70">
        <f t="shared" si="9"/>
        <v>7898.625</v>
      </c>
      <c r="O13" s="68">
        <f>IF(D13="","",_xlfn.XLOOKUP(A13,'4'!A:A,'4'!D:D,IF($O$6=0,0,"ERROR")))</f>
        <v>0</v>
      </c>
      <c r="P13" s="69">
        <f t="shared" si="10"/>
        <v>0</v>
      </c>
      <c r="Q13" s="68">
        <f>IF(D13="","",_xlfn.XLOOKUP(A13,'5'!A:A,'5'!D:D,IF($Q$6=0,0,"ERROR")))</f>
        <v>5</v>
      </c>
      <c r="R13" s="70">
        <f t="shared" si="11"/>
        <v>7898.625</v>
      </c>
      <c r="S13" s="68">
        <f>IF(D13="","",_xlfn.XLOOKUP(A13,'6'!A:A,'6'!D:D,IF($Q$6=0,0,"ERROR")))</f>
        <v>4</v>
      </c>
      <c r="T13" s="70">
        <f t="shared" si="12"/>
        <v>6318.9</v>
      </c>
      <c r="U13" s="68">
        <f>IF(D13="","",_xlfn.XLOOKUP(A13,'7'!A:A,'7'!D:D,IF($U$6=0,0,"ERROR")))</f>
        <v>4</v>
      </c>
      <c r="V13" s="70">
        <f t="shared" si="13"/>
        <v>6318.9</v>
      </c>
      <c r="W13" s="68">
        <f>IF(D13="","",_xlfn.XLOOKUP(A13,'8'!A:A,'8'!D:D,IF($U$6=0,0,"ERROR")))</f>
        <v>4</v>
      </c>
      <c r="X13" s="70">
        <f t="shared" si="3"/>
        <v>6318.9</v>
      </c>
      <c r="Y13" s="68">
        <f>IF(D13="","",_xlfn.XLOOKUP(A13,'9'!A:A,'9'!D:D,IF($U$6=0,0,"ERROR")))</f>
        <v>3</v>
      </c>
      <c r="Z13" s="70">
        <f t="shared" si="14"/>
        <v>4739.1749999999993</v>
      </c>
      <c r="AA13" s="68">
        <f>IF(D13="","",_xlfn.XLOOKUP(A13,'10'!A:A,'10'!D:D,IF($U$6=0,0,"ERROR")))</f>
        <v>4</v>
      </c>
      <c r="AB13" s="70">
        <f t="shared" si="15"/>
        <v>6318.9</v>
      </c>
      <c r="AC13" s="68">
        <f>IF(D13="","",_xlfn.XLOOKUP(A13,'11'!A:A,'11'!D:D,IF($U$6=0,0,"ERROR")))</f>
        <v>3</v>
      </c>
      <c r="AD13" s="70">
        <f t="shared" si="16"/>
        <v>4739.1749999999993</v>
      </c>
      <c r="AE13" s="68">
        <f>IF(D13="","",_xlfn.XLOOKUP(A13,'12'!A:A,'12'!D:D,IF($U$6=0,0,"ERROR")))</f>
        <v>2</v>
      </c>
      <c r="AF13" s="70">
        <f t="shared" si="17"/>
        <v>3159.45</v>
      </c>
      <c r="AG13" s="68">
        <f>IF(D13="","",_xlfn.XLOOKUP(A13,'13'!A:A,'13'!D:D,IF($U$6=0,0,"ERROR")))</f>
        <v>3</v>
      </c>
      <c r="AH13" s="70">
        <f t="shared" si="18"/>
        <v>4739.1749999999993</v>
      </c>
      <c r="AI13" s="106">
        <f>IF(D13="","",_xlfn.XLOOKUP(A13,'14'!A:A,'14'!D:D,IF($U$6=0,0,"ERROR")))</f>
        <v>0</v>
      </c>
      <c r="AJ13" s="99">
        <f t="shared" si="19"/>
        <v>0</v>
      </c>
      <c r="AK13" s="99"/>
      <c r="AL13" s="99"/>
      <c r="AM13" s="68">
        <f t="shared" si="20"/>
        <v>37</v>
      </c>
      <c r="AN13" s="74">
        <f t="shared" si="21"/>
        <v>58449.824999999997</v>
      </c>
      <c r="AO13" s="93" t="str">
        <f t="shared" si="22"/>
        <v>הכל טוב</v>
      </c>
      <c r="AP13" s="91"/>
      <c r="AR13" s="93"/>
    </row>
    <row r="14" spans="1:44" ht="15.6" x14ac:dyDescent="0.3">
      <c r="A14" s="5" t="s">
        <v>18</v>
      </c>
      <c r="B14" s="6" t="s">
        <v>19</v>
      </c>
      <c r="C14" s="7" t="s">
        <v>3</v>
      </c>
      <c r="D14" s="41" t="s">
        <v>3</v>
      </c>
      <c r="E14" s="10" t="str">
        <f t="shared" si="4"/>
        <v/>
      </c>
      <c r="F14" s="10" t="str">
        <f t="shared" si="5"/>
        <v/>
      </c>
      <c r="G14" s="10" t="str">
        <f t="shared" si="6"/>
        <v/>
      </c>
      <c r="H14" s="67"/>
      <c r="I14" s="68"/>
      <c r="J14" s="74" t="str">
        <f t="shared" si="7"/>
        <v/>
      </c>
      <c r="K14" s="68"/>
      <c r="L14" s="74" t="str">
        <f t="shared" si="8"/>
        <v/>
      </c>
      <c r="M14" s="68" t="str">
        <f>IF(D14="","",_xlfn.XLOOKUP(A14,'3'!A:A,'3'!D:D,IF($M$6=0,0,"ERROR")))</f>
        <v/>
      </c>
      <c r="N14" s="70" t="str">
        <f t="shared" si="9"/>
        <v/>
      </c>
      <c r="O14" s="68" t="str">
        <f>IF(D14="","",_xlfn.XLOOKUP(A14,'4'!A:A,'4'!D:D,IF($O$6=0,0,"ERROR")))</f>
        <v/>
      </c>
      <c r="P14" s="69" t="str">
        <f t="shared" si="10"/>
        <v/>
      </c>
      <c r="Q14" s="68" t="str">
        <f>IF(D14="","",_xlfn.XLOOKUP(A14,'5'!A:A,'5'!D:D,IF($Q$6=0,0,"ERROR")))</f>
        <v/>
      </c>
      <c r="R14" s="70" t="str">
        <f t="shared" si="11"/>
        <v/>
      </c>
      <c r="S14" s="68" t="str">
        <f>IF(D14="","",_xlfn.XLOOKUP(A14,'6'!A:A,'6'!D:D,IF($Q$6=0,0,"ERROR")))</f>
        <v/>
      </c>
      <c r="T14" s="70" t="str">
        <f t="shared" si="12"/>
        <v/>
      </c>
      <c r="U14" s="68" t="str">
        <f>IF(D14="","",_xlfn.XLOOKUP(A14,'7'!A:A,'7'!D:D,IF($U$6=0,0,"ERROR")))</f>
        <v/>
      </c>
      <c r="V14" s="70" t="str">
        <f t="shared" si="13"/>
        <v/>
      </c>
      <c r="W14" s="68" t="str">
        <f>IF(D14="","",_xlfn.XLOOKUP(A14,'8'!A:A,'8'!D:D,IF($U$6=0,0,"ERROR")))</f>
        <v/>
      </c>
      <c r="X14" s="70" t="str">
        <f t="shared" si="3"/>
        <v/>
      </c>
      <c r="Y14" s="68" t="str">
        <f>IF(D14="","",_xlfn.XLOOKUP(A14,'9'!A:A,'9'!D:D,IF($U$6=0,0,"ERROR")))</f>
        <v/>
      </c>
      <c r="Z14" s="70" t="str">
        <f t="shared" si="14"/>
        <v/>
      </c>
      <c r="AA14" s="68" t="str">
        <f>IF(D14="","",_xlfn.XLOOKUP(A14,'10'!A:A,'10'!D:D,IF($U$6=0,0,"ERROR")))</f>
        <v/>
      </c>
      <c r="AB14" s="70" t="str">
        <f t="shared" si="15"/>
        <v/>
      </c>
      <c r="AC14" s="68" t="str">
        <f>IF(D14="","",_xlfn.XLOOKUP(A14,'11'!A:A,'11'!D:D,IF($U$6=0,0,"ERROR")))</f>
        <v/>
      </c>
      <c r="AD14" s="70" t="str">
        <f t="shared" si="16"/>
        <v/>
      </c>
      <c r="AE14" s="68" t="str">
        <f>IF(D14="","",_xlfn.XLOOKUP(A14,'12'!A:A,'12'!D:D,IF($U$6=0,0,"ERROR")))</f>
        <v/>
      </c>
      <c r="AF14" s="70" t="str">
        <f t="shared" si="17"/>
        <v/>
      </c>
      <c r="AG14" s="68" t="str">
        <f>IF(D14="","",_xlfn.XLOOKUP(A14,'13'!A:A,'13'!D:D,IF($U$6=0,0,"ERROR")))</f>
        <v/>
      </c>
      <c r="AH14" s="70" t="str">
        <f t="shared" si="18"/>
        <v/>
      </c>
      <c r="AI14" s="106" t="str">
        <f>IF(D14="","",_xlfn.XLOOKUP(A14,'14'!A:A,'14'!D:D,IF($U$6=0,0,"ERROR")))</f>
        <v/>
      </c>
      <c r="AJ14" s="99" t="str">
        <f t="shared" si="19"/>
        <v/>
      </c>
      <c r="AK14" s="99"/>
      <c r="AL14" s="99"/>
      <c r="AM14" s="68" t="str">
        <f t="shared" si="20"/>
        <v/>
      </c>
      <c r="AN14" s="74" t="str">
        <f t="shared" si="21"/>
        <v/>
      </c>
      <c r="AO14" s="93" t="str">
        <f t="shared" si="22"/>
        <v/>
      </c>
      <c r="AP14" s="91"/>
      <c r="AR14" s="93"/>
    </row>
    <row r="15" spans="1:44" ht="31.2" x14ac:dyDescent="0.3">
      <c r="A15" s="5" t="s">
        <v>20</v>
      </c>
      <c r="B15" s="6" t="s">
        <v>21</v>
      </c>
      <c r="C15" s="7" t="s">
        <v>3</v>
      </c>
      <c r="D15" s="41" t="s">
        <v>3</v>
      </c>
      <c r="E15" s="10" t="str">
        <f t="shared" si="4"/>
        <v/>
      </c>
      <c r="F15" s="10" t="str">
        <f t="shared" si="5"/>
        <v/>
      </c>
      <c r="G15" s="10" t="str">
        <f t="shared" si="6"/>
        <v/>
      </c>
      <c r="H15" s="67"/>
      <c r="I15" s="68"/>
      <c r="J15" s="74" t="str">
        <f t="shared" si="7"/>
        <v/>
      </c>
      <c r="K15" s="68"/>
      <c r="L15" s="74" t="str">
        <f t="shared" si="8"/>
        <v/>
      </c>
      <c r="M15" s="68" t="str">
        <f>IF(D15="","",_xlfn.XLOOKUP(A15,'3'!A:A,'3'!D:D,IF($M$6=0,0,"ERROR")))</f>
        <v/>
      </c>
      <c r="N15" s="70" t="str">
        <f t="shared" si="9"/>
        <v/>
      </c>
      <c r="O15" s="68" t="str">
        <f>IF(D15="","",_xlfn.XLOOKUP(A15,'4'!A:A,'4'!D:D,IF($O$6=0,0,"ERROR")))</f>
        <v/>
      </c>
      <c r="P15" s="69" t="str">
        <f t="shared" si="10"/>
        <v/>
      </c>
      <c r="Q15" s="68" t="str">
        <f>IF(D15="","",_xlfn.XLOOKUP(A15,'5'!A:A,'5'!D:D,IF($Q$6=0,0,"ERROR")))</f>
        <v/>
      </c>
      <c r="R15" s="70" t="str">
        <f t="shared" si="11"/>
        <v/>
      </c>
      <c r="S15" s="68" t="str">
        <f>IF(D15="","",_xlfn.XLOOKUP(A15,'6'!A:A,'6'!D:D,IF($Q$6=0,0,"ERROR")))</f>
        <v/>
      </c>
      <c r="T15" s="70" t="str">
        <f t="shared" si="12"/>
        <v/>
      </c>
      <c r="U15" s="68" t="str">
        <f>IF(D15="","",_xlfn.XLOOKUP(A15,'7'!A:A,'7'!D:D,IF($U$6=0,0,"ERROR")))</f>
        <v/>
      </c>
      <c r="V15" s="70" t="str">
        <f t="shared" si="13"/>
        <v/>
      </c>
      <c r="W15" s="68" t="str">
        <f>IF(D15="","",_xlfn.XLOOKUP(A15,'8'!A:A,'8'!D:D,IF($U$6=0,0,"ERROR")))</f>
        <v/>
      </c>
      <c r="X15" s="70" t="str">
        <f t="shared" si="3"/>
        <v/>
      </c>
      <c r="Y15" s="68" t="str">
        <f>IF(D15="","",_xlfn.XLOOKUP(A15,'9'!A:A,'9'!D:D,IF($U$6=0,0,"ERROR")))</f>
        <v/>
      </c>
      <c r="Z15" s="70" t="str">
        <f t="shared" si="14"/>
        <v/>
      </c>
      <c r="AA15" s="68" t="str">
        <f>IF(D15="","",_xlfn.XLOOKUP(A15,'10'!A:A,'10'!D:D,IF($U$6=0,0,"ERROR")))</f>
        <v/>
      </c>
      <c r="AB15" s="70" t="str">
        <f t="shared" si="15"/>
        <v/>
      </c>
      <c r="AC15" s="68" t="str">
        <f>IF(D15="","",_xlfn.XLOOKUP(A15,'11'!A:A,'11'!D:D,IF($U$6=0,0,"ERROR")))</f>
        <v/>
      </c>
      <c r="AD15" s="70" t="str">
        <f t="shared" si="16"/>
        <v/>
      </c>
      <c r="AE15" s="68" t="str">
        <f>IF(D15="","",_xlfn.XLOOKUP(A15,'12'!A:A,'12'!D:D,IF($U$6=0,0,"ERROR")))</f>
        <v/>
      </c>
      <c r="AF15" s="70" t="str">
        <f t="shared" si="17"/>
        <v/>
      </c>
      <c r="AG15" s="68" t="str">
        <f>IF(D15="","",_xlfn.XLOOKUP(A15,'13'!A:A,'13'!D:D,IF($U$6=0,0,"ERROR")))</f>
        <v/>
      </c>
      <c r="AH15" s="70" t="str">
        <f t="shared" si="18"/>
        <v/>
      </c>
      <c r="AI15" s="106" t="str">
        <f>IF(D15="","",_xlfn.XLOOKUP(A15,'14'!A:A,'14'!D:D,IF($U$6=0,0,"ERROR")))</f>
        <v/>
      </c>
      <c r="AJ15" s="99" t="str">
        <f t="shared" si="19"/>
        <v/>
      </c>
      <c r="AK15" s="99"/>
      <c r="AL15" s="99"/>
      <c r="AM15" s="68" t="str">
        <f t="shared" si="20"/>
        <v/>
      </c>
      <c r="AN15" s="74" t="str">
        <f t="shared" si="21"/>
        <v/>
      </c>
      <c r="AO15" s="93" t="str">
        <f t="shared" si="22"/>
        <v/>
      </c>
      <c r="AP15" s="91"/>
      <c r="AR15" s="93"/>
    </row>
    <row r="16" spans="1:44" ht="41.4" hidden="1" x14ac:dyDescent="0.25">
      <c r="A16" s="9" t="s">
        <v>22</v>
      </c>
      <c r="B16" s="2" t="s">
        <v>23</v>
      </c>
      <c r="C16" s="3" t="s">
        <v>24</v>
      </c>
      <c r="D16" s="41">
        <v>1760</v>
      </c>
      <c r="E16" s="10">
        <f t="shared" si="4"/>
        <v>264</v>
      </c>
      <c r="F16" s="10">
        <f t="shared" si="5"/>
        <v>88</v>
      </c>
      <c r="G16" s="10">
        <f t="shared" si="6"/>
        <v>1570.8</v>
      </c>
      <c r="H16" s="67"/>
      <c r="I16" s="68"/>
      <c r="J16" s="74">
        <f t="shared" si="7"/>
        <v>0</v>
      </c>
      <c r="K16" s="68"/>
      <c r="L16" s="74">
        <f t="shared" si="8"/>
        <v>0</v>
      </c>
      <c r="M16" s="68">
        <f>IF(D16="","",_xlfn.XLOOKUP(A16,'3'!A:A,'3'!D:D,IF($M$6=0,0,"ERROR")))</f>
        <v>0</v>
      </c>
      <c r="N16" s="70">
        <f t="shared" si="9"/>
        <v>0</v>
      </c>
      <c r="O16" s="68">
        <f>IF(D16="","",_xlfn.XLOOKUP(A16,'4'!A:A,'4'!D:D,IF($O$6=0,0,"ERROR")))</f>
        <v>0</v>
      </c>
      <c r="P16" s="69">
        <f t="shared" si="10"/>
        <v>0</v>
      </c>
      <c r="Q16" s="68">
        <f>IF(D16="","",_xlfn.XLOOKUP(A16,'5'!A:A,'5'!D:D,IF($Q$6=0,0,"ERROR")))</f>
        <v>0</v>
      </c>
      <c r="R16" s="70">
        <f t="shared" si="11"/>
        <v>0</v>
      </c>
      <c r="S16" s="68">
        <f>IF(D16="","",_xlfn.XLOOKUP(A16,'6'!A:A,'6'!D:D,IF($Q$6=0,0,"ERROR")))</f>
        <v>0</v>
      </c>
      <c r="T16" s="70">
        <f t="shared" si="12"/>
        <v>0</v>
      </c>
      <c r="U16" s="68">
        <f>IF(D16="","",_xlfn.XLOOKUP(A16,'7'!A:A,'7'!D:D,IF($U$6=0,0,"ERROR")))</f>
        <v>0</v>
      </c>
      <c r="V16" s="70">
        <f t="shared" si="13"/>
        <v>0</v>
      </c>
      <c r="W16" s="68">
        <f>IF(D16="","",_xlfn.XLOOKUP(A16,'8'!A:A,'8'!D:D,IF($U$6=0,0,"ERROR")))</f>
        <v>0</v>
      </c>
      <c r="X16" s="70">
        <f t="shared" si="3"/>
        <v>0</v>
      </c>
      <c r="Y16" s="68">
        <f>IF(D16="","",_xlfn.XLOOKUP(A16,'9'!A:A,'9'!D:D,IF($U$6=0,0,"ERROR")))</f>
        <v>0</v>
      </c>
      <c r="Z16" s="70">
        <f t="shared" si="14"/>
        <v>0</v>
      </c>
      <c r="AA16" s="68">
        <f>IF(D16="","",_xlfn.XLOOKUP(A16,'10'!A:A,'10'!D:D,IF($U$6=0,0,"ERROR")))</f>
        <v>0</v>
      </c>
      <c r="AB16" s="70">
        <f t="shared" si="15"/>
        <v>0</v>
      </c>
      <c r="AC16" s="68">
        <f>IF(D16="","",_xlfn.XLOOKUP(A16,'11'!A:A,'11'!D:D,IF($U$6=0,0,"ERROR")))</f>
        <v>0</v>
      </c>
      <c r="AD16" s="70">
        <f t="shared" si="16"/>
        <v>0</v>
      </c>
      <c r="AE16" s="68">
        <f>IF(D16="","",_xlfn.XLOOKUP(A16,'12'!A:A,'12'!D:D,IF($U$6=0,0,"ERROR")))</f>
        <v>0</v>
      </c>
      <c r="AF16" s="70">
        <f t="shared" si="17"/>
        <v>0</v>
      </c>
      <c r="AG16" s="68">
        <f>IF(D16="","",_xlfn.XLOOKUP(A16,'13'!A:A,'13'!D:D,IF($U$6=0,0,"ERROR")))</f>
        <v>0</v>
      </c>
      <c r="AH16" s="70">
        <f t="shared" si="18"/>
        <v>0</v>
      </c>
      <c r="AI16" s="106">
        <f>IF(D16="","",_xlfn.XLOOKUP(A16,'14'!A:A,'14'!D:D,IF($U$6=0,0,"ERROR")))</f>
        <v>1.722</v>
      </c>
      <c r="AJ16" s="99">
        <f t="shared" si="19"/>
        <v>2704.9175999999998</v>
      </c>
      <c r="AK16" s="99"/>
      <c r="AL16" s="99"/>
      <c r="AM16" s="68">
        <f t="shared" si="20"/>
        <v>1.722</v>
      </c>
      <c r="AN16" s="74">
        <f t="shared" si="21"/>
        <v>2704.9175999999998</v>
      </c>
      <c r="AO16" s="93" t="str">
        <f t="shared" si="22"/>
        <v>הכל טוב</v>
      </c>
      <c r="AP16" s="91"/>
      <c r="AR16" s="93"/>
    </row>
    <row r="17" spans="1:44" ht="55.2" x14ac:dyDescent="0.25">
      <c r="A17" s="9" t="s">
        <v>25</v>
      </c>
      <c r="B17" s="2" t="s">
        <v>26</v>
      </c>
      <c r="C17" s="3" t="s">
        <v>24</v>
      </c>
      <c r="D17" s="41">
        <v>1980</v>
      </c>
      <c r="E17" s="10">
        <f t="shared" si="4"/>
        <v>297</v>
      </c>
      <c r="F17" s="10">
        <f t="shared" si="5"/>
        <v>99</v>
      </c>
      <c r="G17" s="10">
        <f t="shared" si="6"/>
        <v>1767.1499999999999</v>
      </c>
      <c r="H17" s="67"/>
      <c r="I17" s="68"/>
      <c r="J17" s="74">
        <f t="shared" si="7"/>
        <v>0</v>
      </c>
      <c r="K17" s="68"/>
      <c r="L17" s="74">
        <f t="shared" si="8"/>
        <v>0</v>
      </c>
      <c r="M17" s="68">
        <f>IF(D17="","",_xlfn.XLOOKUP(A17,'3'!A:A,'3'!D:D,IF($M$6=0,0,"ERROR")))</f>
        <v>12.324999999999999</v>
      </c>
      <c r="N17" s="70">
        <f t="shared" si="9"/>
        <v>21780.123749999999</v>
      </c>
      <c r="O17" s="68">
        <f>IF(D17="","",_xlfn.XLOOKUP(A17,'4'!A:A,'4'!D:D,IF($O$6=0,0,"ERROR")))</f>
        <v>2.4849999999999999</v>
      </c>
      <c r="P17" s="69">
        <f t="shared" si="10"/>
        <v>4391.3677499999994</v>
      </c>
      <c r="Q17" s="68">
        <f>IF(D17="","",_xlfn.XLOOKUP(A17,'5'!A:A,'5'!D:D,IF($Q$6=0,0,"ERROR")))</f>
        <v>18.824999999999999</v>
      </c>
      <c r="R17" s="70">
        <f t="shared" si="11"/>
        <v>33266.598749999997</v>
      </c>
      <c r="S17" s="68">
        <f>IF(D17="","",_xlfn.XLOOKUP(A17,'6'!A:A,'6'!D:D,IF($Q$6=0,0,"ERROR")))</f>
        <v>11.16</v>
      </c>
      <c r="T17" s="70">
        <f t="shared" si="12"/>
        <v>19721.394</v>
      </c>
      <c r="U17" s="68">
        <f>IF(D17="","",_xlfn.XLOOKUP(A17,'7'!A:A,'7'!D:D,IF($U$6=0,0,"ERROR")))</f>
        <v>9.2119999999999997</v>
      </c>
      <c r="V17" s="70">
        <f t="shared" si="13"/>
        <v>16278.985799999999</v>
      </c>
      <c r="W17" s="68">
        <f>IF(D17="","",_xlfn.XLOOKUP(A17,'8'!A:A,'8'!D:D,IF($U$6=0,0,"ERROR")))</f>
        <v>11.21</v>
      </c>
      <c r="X17" s="70">
        <f t="shared" si="3"/>
        <v>19809.751499999998</v>
      </c>
      <c r="Y17" s="68">
        <f>IF(D17="","",_xlfn.XLOOKUP(A17,'9'!A:A,'9'!D:D,IF($U$6=0,0,"ERROR")))</f>
        <v>10.18</v>
      </c>
      <c r="Z17" s="70">
        <f t="shared" si="14"/>
        <v>17989.587</v>
      </c>
      <c r="AA17" s="68">
        <f>IF(D17="","",_xlfn.XLOOKUP(A17,'10'!A:A,'10'!D:D,IF($U$6=0,0,"ERROR")))</f>
        <v>9.1668000000000003</v>
      </c>
      <c r="AB17" s="70">
        <f t="shared" si="15"/>
        <v>16199.110619999999</v>
      </c>
      <c r="AC17" s="68">
        <f>IF(D17="","",_xlfn.XLOOKUP(A17,'11'!A:A,'11'!D:D,IF($U$6=0,0,"ERROR")))</f>
        <v>10.050000000000001</v>
      </c>
      <c r="AD17" s="70">
        <f t="shared" si="16"/>
        <v>17759.857499999998</v>
      </c>
      <c r="AE17" s="68">
        <f>IF(D17="","",_xlfn.XLOOKUP(A17,'12'!A:A,'12'!D:D,IF($U$6=0,0,"ERROR")))</f>
        <v>4</v>
      </c>
      <c r="AF17" s="70">
        <f t="shared" si="17"/>
        <v>7068.5999999999995</v>
      </c>
      <c r="AG17" s="68">
        <f>IF(D17="","",_xlfn.XLOOKUP(A17,'13'!A:A,'13'!D:D,IF($U$6=0,0,"ERROR")))</f>
        <v>5.6550000000000002</v>
      </c>
      <c r="AH17" s="70">
        <f t="shared" si="18"/>
        <v>9993.2332499999993</v>
      </c>
      <c r="AI17" s="106">
        <f>IF(D17="","",_xlfn.XLOOKUP(A17,'14'!A:A,'14'!D:D,IF($U$6=0,0,"ERROR")))</f>
        <v>9.9720000000000013</v>
      </c>
      <c r="AJ17" s="99">
        <f t="shared" si="19"/>
        <v>17622.019800000002</v>
      </c>
      <c r="AK17" s="99"/>
      <c r="AL17" s="99"/>
      <c r="AM17" s="68">
        <f t="shared" si="20"/>
        <v>114.24080000000001</v>
      </c>
      <c r="AN17" s="74">
        <f t="shared" si="21"/>
        <v>201880.62972</v>
      </c>
      <c r="AO17" s="93" t="str">
        <f t="shared" si="22"/>
        <v>הכל טוב</v>
      </c>
      <c r="AP17" s="91"/>
      <c r="AR17" s="93"/>
    </row>
    <row r="18" spans="1:44" ht="41.4" x14ac:dyDescent="0.25">
      <c r="A18" s="9" t="s">
        <v>27</v>
      </c>
      <c r="B18" s="2" t="s">
        <v>28</v>
      </c>
      <c r="C18" s="3" t="s">
        <v>24</v>
      </c>
      <c r="D18" s="41">
        <v>2210</v>
      </c>
      <c r="E18" s="10">
        <f t="shared" si="4"/>
        <v>331.5</v>
      </c>
      <c r="F18" s="10">
        <f t="shared" si="5"/>
        <v>110.5</v>
      </c>
      <c r="G18" s="10">
        <f t="shared" si="6"/>
        <v>1972.425</v>
      </c>
      <c r="H18" s="67"/>
      <c r="I18" s="68"/>
      <c r="J18" s="74">
        <f t="shared" si="7"/>
        <v>0</v>
      </c>
      <c r="K18" s="68"/>
      <c r="L18" s="74">
        <f t="shared" si="8"/>
        <v>0</v>
      </c>
      <c r="M18" s="68">
        <f>IF(D18="","",_xlfn.XLOOKUP(A18,'3'!A:A,'3'!D:D,IF($M$6=0,0,"ERROR")))</f>
        <v>0</v>
      </c>
      <c r="N18" s="70">
        <f t="shared" si="9"/>
        <v>0</v>
      </c>
      <c r="O18" s="68">
        <f>IF(D18="","",_xlfn.XLOOKUP(A18,'4'!A:A,'4'!D:D,IF($O$6=0,0,"ERROR")))</f>
        <v>0</v>
      </c>
      <c r="P18" s="69">
        <f t="shared" si="10"/>
        <v>0</v>
      </c>
      <c r="Q18" s="68">
        <f>IF(D18="","",_xlfn.XLOOKUP(A18,'5'!A:A,'5'!D:D,IF($Q$6=0,0,"ERROR")))</f>
        <v>9.9600000000000009</v>
      </c>
      <c r="R18" s="70">
        <f t="shared" si="11"/>
        <v>19645.353000000003</v>
      </c>
      <c r="S18" s="68">
        <f>IF(D18="","",_xlfn.XLOOKUP(A18,'6'!A:A,'6'!D:D,IF($Q$6=0,0,"ERROR")))</f>
        <v>0</v>
      </c>
      <c r="T18" s="70">
        <f t="shared" si="12"/>
        <v>0</v>
      </c>
      <c r="U18" s="68">
        <f>IF(D18="","",_xlfn.XLOOKUP(A18,'7'!A:A,'7'!D:D,IF($U$6=0,0,"ERROR")))</f>
        <v>0</v>
      </c>
      <c r="V18" s="70">
        <f t="shared" si="13"/>
        <v>0</v>
      </c>
      <c r="W18" s="68">
        <f>IF(D18="","",_xlfn.XLOOKUP(A18,'8'!A:A,'8'!D:D,IF($U$6=0,0,"ERROR")))</f>
        <v>0</v>
      </c>
      <c r="X18" s="70">
        <f t="shared" si="3"/>
        <v>0</v>
      </c>
      <c r="Y18" s="68">
        <f>IF(D18="","",_xlfn.XLOOKUP(A18,'9'!A:A,'9'!D:D,IF($U$6=0,0,"ERROR")))</f>
        <v>0</v>
      </c>
      <c r="Z18" s="70">
        <f t="shared" si="14"/>
        <v>0</v>
      </c>
      <c r="AA18" s="68">
        <f>IF(D18="","",_xlfn.XLOOKUP(A18,'10'!A:A,'10'!D:D,IF($U$6=0,0,"ERROR")))</f>
        <v>0</v>
      </c>
      <c r="AB18" s="70">
        <f t="shared" si="15"/>
        <v>0</v>
      </c>
      <c r="AC18" s="68">
        <f>IF(D18="","",_xlfn.XLOOKUP(A18,'11'!A:A,'11'!D:D,IF($U$6=0,0,"ERROR")))</f>
        <v>0</v>
      </c>
      <c r="AD18" s="70">
        <f t="shared" si="16"/>
        <v>0</v>
      </c>
      <c r="AE18" s="68">
        <f>IF(D18="","",_xlfn.XLOOKUP(A18,'12'!A:A,'12'!D:D,IF($U$6=0,0,"ERROR")))</f>
        <v>0</v>
      </c>
      <c r="AF18" s="70">
        <f t="shared" si="17"/>
        <v>0</v>
      </c>
      <c r="AG18" s="68">
        <f>IF(D18="","",_xlfn.XLOOKUP(A18,'13'!A:A,'13'!D:D,IF($U$6=0,0,"ERROR")))</f>
        <v>0</v>
      </c>
      <c r="AH18" s="70">
        <f t="shared" si="18"/>
        <v>0</v>
      </c>
      <c r="AI18" s="106">
        <f>IF(D18="","",_xlfn.XLOOKUP(A18,'14'!A:A,'14'!D:D,IF($U$6=0,0,"ERROR")))</f>
        <v>0</v>
      </c>
      <c r="AJ18" s="99">
        <f t="shared" si="19"/>
        <v>0</v>
      </c>
      <c r="AK18" s="99"/>
      <c r="AL18" s="99"/>
      <c r="AM18" s="68">
        <f t="shared" si="20"/>
        <v>9.9600000000000009</v>
      </c>
      <c r="AN18" s="74">
        <f t="shared" si="21"/>
        <v>19645.353000000003</v>
      </c>
      <c r="AO18" s="93" t="str">
        <f t="shared" si="22"/>
        <v>הכל טוב</v>
      </c>
      <c r="AP18" s="91"/>
      <c r="AR18" s="93"/>
    </row>
    <row r="19" spans="1:44" ht="27.6" x14ac:dyDescent="0.25">
      <c r="A19" s="9" t="s">
        <v>29</v>
      </c>
      <c r="B19" s="2" t="s">
        <v>30</v>
      </c>
      <c r="C19" s="3" t="s">
        <v>17</v>
      </c>
      <c r="D19" s="42">
        <v>0.15</v>
      </c>
      <c r="E19" s="10">
        <f t="shared" si="4"/>
        <v>2.2499999999999999E-2</v>
      </c>
      <c r="F19" s="10">
        <f t="shared" si="5"/>
        <v>7.4999999999999997E-3</v>
      </c>
      <c r="G19" s="10">
        <f t="shared" si="6"/>
        <v>0.13387499999999999</v>
      </c>
      <c r="H19" s="67"/>
      <c r="I19" s="68"/>
      <c r="J19" s="74">
        <f t="shared" si="7"/>
        <v>0</v>
      </c>
      <c r="K19" s="68"/>
      <c r="L19" s="74">
        <f t="shared" si="8"/>
        <v>0</v>
      </c>
      <c r="M19" s="68">
        <f>IF(D19="","",_xlfn.XLOOKUP(A19,'3'!A:A,'3'!D:D,IF($M$6=0,0,"ERROR")))</f>
        <v>0</v>
      </c>
      <c r="N19" s="70">
        <f t="shared" si="9"/>
        <v>0</v>
      </c>
      <c r="O19" s="68">
        <f>IF(D19="","",_xlfn.XLOOKUP(A19,'4'!A:A,'4'!D:D,IF($O$6=0,0,"ERROR")))</f>
        <v>4920.3</v>
      </c>
      <c r="P19" s="69">
        <f t="shared" si="10"/>
        <v>658.70516250000003</v>
      </c>
      <c r="Q19" s="68">
        <f>IF(D19="","",_xlfn.XLOOKUP(A19,'5'!A:A,'5'!D:D,IF($Q$6=0,0,"ERROR")))</f>
        <v>59285.100000000006</v>
      </c>
      <c r="R19" s="70">
        <f t="shared" si="11"/>
        <v>7936.7927625000002</v>
      </c>
      <c r="S19" s="68">
        <f>IF(D19="","",_xlfn.XLOOKUP(A19,'6'!A:A,'6'!D:D,IF($Q$6=0,0,"ERROR")))</f>
        <v>22096.799999999999</v>
      </c>
      <c r="T19" s="70">
        <f t="shared" si="12"/>
        <v>2958.2090999999996</v>
      </c>
      <c r="U19" s="68">
        <f>IF(D19="","",_xlfn.XLOOKUP(A19,'7'!A:A,'7'!D:D,IF($U$6=0,0,"ERROR")))</f>
        <v>0</v>
      </c>
      <c r="V19" s="70">
        <f t="shared" si="13"/>
        <v>0</v>
      </c>
      <c r="W19" s="68">
        <f>IF(D19="","",_xlfn.XLOOKUP(A19,'8'!A:A,'8'!D:D,IF($U$6=0,0,"ERROR")))</f>
        <v>0</v>
      </c>
      <c r="X19" s="70">
        <f t="shared" si="3"/>
        <v>0</v>
      </c>
      <c r="Y19" s="68">
        <f>IF(D19="","",_xlfn.XLOOKUP(A19,'9'!A:A,'9'!D:D,IF($U$6=0,0,"ERROR")))</f>
        <v>6557.76</v>
      </c>
      <c r="Z19" s="70">
        <f t="shared" si="14"/>
        <v>877.92012</v>
      </c>
      <c r="AA19" s="68">
        <f>IF(D19="","",_xlfn.XLOOKUP(A19,'10'!A:A,'10'!D:D,IF($U$6=0,0,"ERROR")))</f>
        <v>0</v>
      </c>
      <c r="AB19" s="70">
        <f t="shared" si="15"/>
        <v>0</v>
      </c>
      <c r="AC19" s="68">
        <f>IF(D19="","",_xlfn.XLOOKUP(A19,'11'!A:A,'11'!D:D,IF($U$6=0,0,"ERROR")))</f>
        <v>12553.199999999999</v>
      </c>
      <c r="AD19" s="70">
        <f t="shared" si="16"/>
        <v>1680.5596499999997</v>
      </c>
      <c r="AE19" s="68">
        <f>IF(D19="","",_xlfn.XLOOKUP(A19,'12'!A:A,'12'!D:D,IF($U$6=0,0,"ERROR")))</f>
        <v>7068</v>
      </c>
      <c r="AF19" s="70">
        <f t="shared" si="17"/>
        <v>946.22849999999994</v>
      </c>
      <c r="AG19" s="68">
        <f>IF(D19="","",_xlfn.XLOOKUP(A19,'13'!A:A,'13'!D:D,IF($U$6=0,0,"ERROR")))</f>
        <v>7312.68</v>
      </c>
      <c r="AH19" s="70">
        <f t="shared" si="18"/>
        <v>978.98503500000004</v>
      </c>
      <c r="AI19" s="106">
        <f>IF(D19="","",_xlfn.XLOOKUP(A19,'14'!A:A,'14'!D:D,IF($U$6=0,0,"ERROR")))</f>
        <v>6415.2000000000007</v>
      </c>
      <c r="AJ19" s="99">
        <f t="shared" si="19"/>
        <v>858.83490000000006</v>
      </c>
      <c r="AK19" s="99"/>
      <c r="AL19" s="99"/>
      <c r="AM19" s="68">
        <f t="shared" si="20"/>
        <v>126209.04</v>
      </c>
      <c r="AN19" s="74">
        <f t="shared" si="21"/>
        <v>16896.235229999998</v>
      </c>
      <c r="AO19" s="93" t="str">
        <f t="shared" si="22"/>
        <v>הכל טוב</v>
      </c>
      <c r="AP19" s="91"/>
      <c r="AR19" s="93"/>
    </row>
    <row r="20" spans="1:44" hidden="1" x14ac:dyDescent="0.25">
      <c r="A20" s="9" t="s">
        <v>31</v>
      </c>
      <c r="B20" s="2" t="s">
        <v>32</v>
      </c>
      <c r="C20" s="3" t="s">
        <v>2</v>
      </c>
      <c r="D20" s="41">
        <v>140</v>
      </c>
      <c r="E20" s="10">
        <f t="shared" si="4"/>
        <v>21</v>
      </c>
      <c r="F20" s="10">
        <f t="shared" si="5"/>
        <v>7</v>
      </c>
      <c r="G20" s="10">
        <f t="shared" si="6"/>
        <v>124.95</v>
      </c>
      <c r="H20" s="67"/>
      <c r="I20" s="68"/>
      <c r="J20" s="74">
        <f t="shared" si="7"/>
        <v>0</v>
      </c>
      <c r="K20" s="68"/>
      <c r="L20" s="74">
        <f t="shared" si="8"/>
        <v>0</v>
      </c>
      <c r="M20" s="68">
        <f>IF(D20="","",_xlfn.XLOOKUP(A20,'3'!A:A,'3'!D:D,IF($M$6=0,0,"ERROR")))</f>
        <v>0</v>
      </c>
      <c r="N20" s="70">
        <f t="shared" si="9"/>
        <v>0</v>
      </c>
      <c r="O20" s="68">
        <f>IF(D20="","",_xlfn.XLOOKUP(A20,'4'!A:A,'4'!D:D,IF($O$6=0,0,"ERROR")))</f>
        <v>0</v>
      </c>
      <c r="P20" s="69">
        <f t="shared" si="10"/>
        <v>0</v>
      </c>
      <c r="Q20" s="68">
        <f>IF(D20="","",_xlfn.XLOOKUP(A20,'5'!A:A,'5'!D:D,IF($Q$6=0,0,"ERROR")))</f>
        <v>0</v>
      </c>
      <c r="R20" s="70">
        <f t="shared" si="11"/>
        <v>0</v>
      </c>
      <c r="S20" s="68">
        <f>IF(D20="","",_xlfn.XLOOKUP(A20,'6'!A:A,'6'!D:D,IF($Q$6=0,0,"ERROR")))</f>
        <v>0</v>
      </c>
      <c r="T20" s="70">
        <f t="shared" si="12"/>
        <v>0</v>
      </c>
      <c r="U20" s="68">
        <f>IF(D20="","",_xlfn.XLOOKUP(A20,'7'!A:A,'7'!D:D,IF($U$6=0,0,"ERROR")))</f>
        <v>3</v>
      </c>
      <c r="V20" s="70">
        <f t="shared" si="13"/>
        <v>374.85</v>
      </c>
      <c r="W20" s="68">
        <f>IF(D20="","",_xlfn.XLOOKUP(A20,'8'!A:A,'8'!D:D,IF($U$6=0,0,"ERROR")))</f>
        <v>0</v>
      </c>
      <c r="X20" s="70">
        <f t="shared" si="3"/>
        <v>0</v>
      </c>
      <c r="Y20" s="68">
        <f>IF(D20="","",_xlfn.XLOOKUP(A20,'9'!A:A,'9'!D:D,IF($U$6=0,0,"ERROR")))</f>
        <v>1</v>
      </c>
      <c r="Z20" s="70">
        <f t="shared" si="14"/>
        <v>124.95</v>
      </c>
      <c r="AA20" s="68">
        <f>IF(D20="","",_xlfn.XLOOKUP(A20,'10'!A:A,'10'!D:D,IF($U$6=0,0,"ERROR")))</f>
        <v>2</v>
      </c>
      <c r="AB20" s="70">
        <f t="shared" si="15"/>
        <v>249.9</v>
      </c>
      <c r="AC20" s="68">
        <f>IF(D20="","",_xlfn.XLOOKUP(A20,'11'!A:A,'11'!D:D,IF($U$6=0,0,"ERROR")))</f>
        <v>0</v>
      </c>
      <c r="AD20" s="70">
        <f t="shared" si="16"/>
        <v>0</v>
      </c>
      <c r="AE20" s="68">
        <f>IF(D20="","",_xlfn.XLOOKUP(A20,'12'!A:A,'12'!D:D,IF($U$6=0,0,"ERROR")))</f>
        <v>2</v>
      </c>
      <c r="AF20" s="70">
        <f t="shared" si="17"/>
        <v>249.9</v>
      </c>
      <c r="AG20" s="68">
        <f>IF(D20="","",_xlfn.XLOOKUP(A20,'13'!A:A,'13'!D:D,IF($U$6=0,0,"ERROR")))</f>
        <v>3</v>
      </c>
      <c r="AH20" s="70">
        <f t="shared" si="18"/>
        <v>374.85</v>
      </c>
      <c r="AI20" s="106">
        <f>IF(D20="","",_xlfn.XLOOKUP(A20,'14'!A:A,'14'!D:D,IF($U$6=0,0,"ERROR")))</f>
        <v>0</v>
      </c>
      <c r="AJ20" s="99">
        <f t="shared" si="19"/>
        <v>0</v>
      </c>
      <c r="AK20" s="99"/>
      <c r="AL20" s="99"/>
      <c r="AM20" s="68">
        <f t="shared" si="20"/>
        <v>11</v>
      </c>
      <c r="AN20" s="74">
        <f t="shared" si="21"/>
        <v>1374.4500000000003</v>
      </c>
      <c r="AO20" s="93" t="str">
        <f t="shared" si="22"/>
        <v>הכל טוב</v>
      </c>
      <c r="AP20" s="91"/>
      <c r="AR20" s="93"/>
    </row>
    <row r="21" spans="1:44" ht="27.6" hidden="1" x14ac:dyDescent="0.25">
      <c r="A21" s="9" t="s">
        <v>33</v>
      </c>
      <c r="B21" s="2" t="s">
        <v>34</v>
      </c>
      <c r="C21" s="3" t="s">
        <v>2</v>
      </c>
      <c r="D21" s="41">
        <v>240</v>
      </c>
      <c r="E21" s="10">
        <f t="shared" si="4"/>
        <v>36</v>
      </c>
      <c r="F21" s="10">
        <f t="shared" si="5"/>
        <v>12</v>
      </c>
      <c r="G21" s="10">
        <f t="shared" si="6"/>
        <v>214.2</v>
      </c>
      <c r="H21" s="67"/>
      <c r="I21" s="68"/>
      <c r="J21" s="74">
        <f t="shared" si="7"/>
        <v>0</v>
      </c>
      <c r="K21" s="68"/>
      <c r="L21" s="74">
        <f t="shared" si="8"/>
        <v>0</v>
      </c>
      <c r="M21" s="68">
        <f>IF(D21="","",_xlfn.XLOOKUP(A21,'3'!A:A,'3'!D:D,IF($M$6=0,0,"ERROR")))</f>
        <v>5</v>
      </c>
      <c r="N21" s="70">
        <f t="shared" si="9"/>
        <v>1071</v>
      </c>
      <c r="O21" s="68">
        <f>IF(D21="","",_xlfn.XLOOKUP(A21,'4'!A:A,'4'!D:D,IF($O$6=0,0,"ERROR")))</f>
        <v>1</v>
      </c>
      <c r="P21" s="69">
        <f t="shared" si="10"/>
        <v>214.2</v>
      </c>
      <c r="Q21" s="68">
        <f>IF(D21="","",_xlfn.XLOOKUP(A21,'5'!A:A,'5'!D:D,IF($Q$6=0,0,"ERROR")))</f>
        <v>0</v>
      </c>
      <c r="R21" s="70">
        <f t="shared" si="11"/>
        <v>0</v>
      </c>
      <c r="S21" s="68">
        <f>IF(D21="","",_xlfn.XLOOKUP(A21,'6'!A:A,'6'!D:D,IF($Q$6=0,0,"ERROR")))</f>
        <v>0</v>
      </c>
      <c r="T21" s="70">
        <f t="shared" si="12"/>
        <v>0</v>
      </c>
      <c r="U21" s="68">
        <f>IF(D21="","",_xlfn.XLOOKUP(A21,'7'!A:A,'7'!D:D,IF($U$6=0,0,"ERROR")))</f>
        <v>3</v>
      </c>
      <c r="V21" s="70">
        <f t="shared" si="13"/>
        <v>642.59999999999991</v>
      </c>
      <c r="W21" s="68">
        <f>IF(D21="","",_xlfn.XLOOKUP(A21,'8'!A:A,'8'!D:D,IF($U$6=0,0,"ERROR")))</f>
        <v>0</v>
      </c>
      <c r="X21" s="70">
        <f t="shared" si="3"/>
        <v>0</v>
      </c>
      <c r="Y21" s="68">
        <f>IF(D21="","",_xlfn.XLOOKUP(A21,'9'!A:A,'9'!D:D,IF($U$6=0,0,"ERROR")))</f>
        <v>3</v>
      </c>
      <c r="Z21" s="70">
        <f t="shared" si="14"/>
        <v>642.59999999999991</v>
      </c>
      <c r="AA21" s="68">
        <f>IF(D21="","",_xlfn.XLOOKUP(A21,'10'!A:A,'10'!D:D,IF($U$6=0,0,"ERROR")))</f>
        <v>3</v>
      </c>
      <c r="AB21" s="70">
        <f t="shared" si="15"/>
        <v>642.59999999999991</v>
      </c>
      <c r="AC21" s="68">
        <f>IF(D21="","",_xlfn.XLOOKUP(A21,'11'!A:A,'11'!D:D,IF($U$6=0,0,"ERROR")))</f>
        <v>2</v>
      </c>
      <c r="AD21" s="70">
        <f t="shared" si="16"/>
        <v>428.4</v>
      </c>
      <c r="AE21" s="68">
        <f>IF(D21="","",_xlfn.XLOOKUP(A21,'12'!A:A,'12'!D:D,IF($U$6=0,0,"ERROR")))</f>
        <v>0</v>
      </c>
      <c r="AF21" s="70">
        <f t="shared" si="17"/>
        <v>0</v>
      </c>
      <c r="AG21" s="68">
        <f>IF(D21="","",_xlfn.XLOOKUP(A21,'13'!A:A,'13'!D:D,IF($U$6=0,0,"ERROR")))</f>
        <v>0</v>
      </c>
      <c r="AH21" s="70">
        <f t="shared" si="18"/>
        <v>0</v>
      </c>
      <c r="AI21" s="106">
        <f>IF(D21="","",_xlfn.XLOOKUP(A21,'14'!A:A,'14'!D:D,IF($U$6=0,0,"ERROR")))</f>
        <v>0</v>
      </c>
      <c r="AJ21" s="99">
        <f t="shared" si="19"/>
        <v>0</v>
      </c>
      <c r="AK21" s="99"/>
      <c r="AL21" s="99"/>
      <c r="AM21" s="68">
        <f t="shared" si="20"/>
        <v>17</v>
      </c>
      <c r="AN21" s="74">
        <f t="shared" si="21"/>
        <v>3641.3999999999996</v>
      </c>
      <c r="AO21" s="93" t="str">
        <f t="shared" si="22"/>
        <v>הכל טוב</v>
      </c>
      <c r="AP21" s="91"/>
      <c r="AR21" s="93"/>
    </row>
    <row r="22" spans="1:44" ht="27.6" x14ac:dyDescent="0.25">
      <c r="A22" s="9" t="s">
        <v>35</v>
      </c>
      <c r="B22" s="2" t="s">
        <v>36</v>
      </c>
      <c r="C22" s="3" t="s">
        <v>2</v>
      </c>
      <c r="D22" s="41">
        <v>310</v>
      </c>
      <c r="E22" s="10">
        <f t="shared" si="4"/>
        <v>46.5</v>
      </c>
      <c r="F22" s="10">
        <f t="shared" si="5"/>
        <v>15.5</v>
      </c>
      <c r="G22" s="10">
        <f t="shared" si="6"/>
        <v>276.67500000000001</v>
      </c>
      <c r="H22" s="67"/>
      <c r="I22" s="68"/>
      <c r="J22" s="74">
        <f t="shared" si="7"/>
        <v>0</v>
      </c>
      <c r="K22" s="68"/>
      <c r="L22" s="74">
        <f t="shared" si="8"/>
        <v>0</v>
      </c>
      <c r="M22" s="68">
        <f>IF(D22="","",_xlfn.XLOOKUP(A22,'3'!A:A,'3'!D:D,IF($M$6=0,0,"ERROR")))</f>
        <v>0</v>
      </c>
      <c r="N22" s="70">
        <f t="shared" si="9"/>
        <v>0</v>
      </c>
      <c r="O22" s="68">
        <f>IF(D22="","",_xlfn.XLOOKUP(A22,'4'!A:A,'4'!D:D,IF($O$6=0,0,"ERROR")))</f>
        <v>0</v>
      </c>
      <c r="P22" s="69">
        <f t="shared" si="10"/>
        <v>0</v>
      </c>
      <c r="Q22" s="68">
        <f>IF(D22="","",_xlfn.XLOOKUP(A22,'5'!A:A,'5'!D:D,IF($Q$6=0,0,"ERROR")))</f>
        <v>7</v>
      </c>
      <c r="R22" s="70">
        <f t="shared" si="11"/>
        <v>1936.7250000000001</v>
      </c>
      <c r="S22" s="68">
        <f>IF(D22="","",_xlfn.XLOOKUP(A22,'6'!A:A,'6'!D:D,IF($Q$6=0,0,"ERROR")))</f>
        <v>3</v>
      </c>
      <c r="T22" s="70">
        <f t="shared" si="12"/>
        <v>830.02500000000009</v>
      </c>
      <c r="U22" s="68">
        <f>IF(D22="","",_xlfn.XLOOKUP(A22,'7'!A:A,'7'!D:D,IF($U$6=0,0,"ERROR")))</f>
        <v>0</v>
      </c>
      <c r="V22" s="70">
        <f t="shared" si="13"/>
        <v>0</v>
      </c>
      <c r="W22" s="68">
        <f>IF(D22="","",_xlfn.XLOOKUP(A22,'8'!A:A,'8'!D:D,IF($U$6=0,0,"ERROR")))</f>
        <v>6</v>
      </c>
      <c r="X22" s="70">
        <f t="shared" si="3"/>
        <v>1660.0500000000002</v>
      </c>
      <c r="Y22" s="68">
        <f>IF(D22="","",_xlfn.XLOOKUP(A22,'9'!A:A,'9'!D:D,IF($U$6=0,0,"ERROR")))</f>
        <v>1</v>
      </c>
      <c r="Z22" s="70">
        <f t="shared" si="14"/>
        <v>276.67500000000001</v>
      </c>
      <c r="AA22" s="68">
        <f>IF(D22="","",_xlfn.XLOOKUP(A22,'10'!A:A,'10'!D:D,IF($U$6=0,0,"ERROR")))</f>
        <v>5</v>
      </c>
      <c r="AB22" s="70">
        <f t="shared" si="15"/>
        <v>1383.375</v>
      </c>
      <c r="AC22" s="68">
        <f>IF(D22="","",_xlfn.XLOOKUP(A22,'11'!A:A,'11'!D:D,IF($U$6=0,0,"ERROR")))</f>
        <v>1</v>
      </c>
      <c r="AD22" s="70">
        <f t="shared" si="16"/>
        <v>276.67500000000001</v>
      </c>
      <c r="AE22" s="68">
        <f>IF(D22="","",_xlfn.XLOOKUP(A22,'12'!A:A,'12'!D:D,IF($U$6=0,0,"ERROR")))</f>
        <v>2</v>
      </c>
      <c r="AF22" s="70">
        <f t="shared" si="17"/>
        <v>553.35</v>
      </c>
      <c r="AG22" s="68">
        <f>IF(D22="","",_xlfn.XLOOKUP(A22,'13'!A:A,'13'!D:D,IF($U$6=0,0,"ERROR")))</f>
        <v>1</v>
      </c>
      <c r="AH22" s="70">
        <f t="shared" si="18"/>
        <v>276.67500000000001</v>
      </c>
      <c r="AI22" s="106">
        <f>IF(D22="","",_xlfn.XLOOKUP(A22,'14'!A:A,'14'!D:D,IF($U$6=0,0,"ERROR")))</f>
        <v>0</v>
      </c>
      <c r="AJ22" s="99">
        <f t="shared" si="19"/>
        <v>0</v>
      </c>
      <c r="AK22" s="99"/>
      <c r="AL22" s="99"/>
      <c r="AM22" s="68">
        <f t="shared" si="20"/>
        <v>26</v>
      </c>
      <c r="AN22" s="74">
        <f t="shared" si="21"/>
        <v>7193.5500000000011</v>
      </c>
      <c r="AO22" s="93" t="str">
        <f t="shared" si="22"/>
        <v>הכל טוב</v>
      </c>
      <c r="AP22" s="91"/>
      <c r="AR22" s="93"/>
    </row>
    <row r="23" spans="1:44" ht="15.6" hidden="1" x14ac:dyDescent="0.3">
      <c r="A23" s="5" t="s">
        <v>37</v>
      </c>
      <c r="B23" s="6" t="s">
        <v>38</v>
      </c>
      <c r="C23" s="7" t="s">
        <v>3</v>
      </c>
      <c r="D23" s="41" t="s">
        <v>3</v>
      </c>
      <c r="E23" s="10" t="str">
        <f t="shared" si="4"/>
        <v/>
      </c>
      <c r="F23" s="10" t="str">
        <f t="shared" si="5"/>
        <v/>
      </c>
      <c r="G23" s="10" t="str">
        <f t="shared" si="6"/>
        <v/>
      </c>
      <c r="H23" s="67"/>
      <c r="I23" s="68"/>
      <c r="J23" s="74" t="str">
        <f t="shared" si="7"/>
        <v/>
      </c>
      <c r="K23" s="68"/>
      <c r="L23" s="74" t="str">
        <f t="shared" si="8"/>
        <v/>
      </c>
      <c r="M23" s="68" t="str">
        <f>IF(D23="","",_xlfn.XLOOKUP(A23,'3'!A:A,'3'!D:D,IF($M$6=0,0,"ERROR")))</f>
        <v/>
      </c>
      <c r="N23" s="70" t="str">
        <f t="shared" si="9"/>
        <v/>
      </c>
      <c r="O23" s="68" t="str">
        <f>IF(D23="","",_xlfn.XLOOKUP(A23,'4'!A:A,'4'!D:D,IF($O$6=0,0,"ERROR")))</f>
        <v/>
      </c>
      <c r="P23" s="69" t="str">
        <f t="shared" si="10"/>
        <v/>
      </c>
      <c r="Q23" s="68" t="str">
        <f>IF(D23="","",_xlfn.XLOOKUP(A23,'5'!A:A,'5'!D:D,IF($Q$6=0,0,"ERROR")))</f>
        <v/>
      </c>
      <c r="R23" s="70" t="str">
        <f t="shared" si="11"/>
        <v/>
      </c>
      <c r="S23" s="68" t="str">
        <f>IF(D23="","",_xlfn.XLOOKUP(A23,'6'!A:A,'6'!D:D,IF($Q$6=0,0,"ERROR")))</f>
        <v/>
      </c>
      <c r="T23" s="70" t="str">
        <f t="shared" si="12"/>
        <v/>
      </c>
      <c r="U23" s="68" t="str">
        <f>IF(D23="","",_xlfn.XLOOKUP(A23,'7'!A:A,'7'!D:D,IF($U$6=0,0,"ERROR")))</f>
        <v/>
      </c>
      <c r="V23" s="70" t="str">
        <f t="shared" si="13"/>
        <v/>
      </c>
      <c r="W23" s="68" t="str">
        <f>IF(D23="","",_xlfn.XLOOKUP(A23,'8'!A:A,'8'!D:D,IF($U$6=0,0,"ERROR")))</f>
        <v/>
      </c>
      <c r="X23" s="70" t="str">
        <f t="shared" si="3"/>
        <v/>
      </c>
      <c r="Y23" s="68" t="str">
        <f>IF(D23="","",_xlfn.XLOOKUP(A23,'9'!A:A,'9'!D:D,IF($U$6=0,0,"ERROR")))</f>
        <v/>
      </c>
      <c r="Z23" s="70" t="str">
        <f t="shared" si="14"/>
        <v/>
      </c>
      <c r="AA23" s="68" t="str">
        <f>IF(D23="","",_xlfn.XLOOKUP(A23,'10'!A:A,'10'!D:D,IF($U$6=0,0,"ERROR")))</f>
        <v/>
      </c>
      <c r="AB23" s="70" t="str">
        <f t="shared" si="15"/>
        <v/>
      </c>
      <c r="AC23" s="68" t="str">
        <f>IF(D23="","",_xlfn.XLOOKUP(A23,'11'!A:A,'11'!D:D,IF($U$6=0,0,"ERROR")))</f>
        <v/>
      </c>
      <c r="AD23" s="70" t="str">
        <f t="shared" si="16"/>
        <v/>
      </c>
      <c r="AE23" s="68" t="str">
        <f>IF(D23="","",_xlfn.XLOOKUP(A23,'12'!A:A,'12'!D:D,IF($U$6=0,0,"ERROR")))</f>
        <v/>
      </c>
      <c r="AF23" s="70" t="str">
        <f t="shared" si="17"/>
        <v/>
      </c>
      <c r="AG23" s="68" t="str">
        <f>IF(D23="","",_xlfn.XLOOKUP(A23,'13'!A:A,'13'!D:D,IF($U$6=0,0,"ERROR")))</f>
        <v/>
      </c>
      <c r="AH23" s="70" t="str">
        <f t="shared" si="18"/>
        <v/>
      </c>
      <c r="AI23" s="106" t="str">
        <f>IF(D23="","",_xlfn.XLOOKUP(A23,'14'!A:A,'14'!D:D,IF($U$6=0,0,"ERROR")))</f>
        <v/>
      </c>
      <c r="AJ23" s="99" t="str">
        <f t="shared" si="19"/>
        <v/>
      </c>
      <c r="AK23" s="99"/>
      <c r="AL23" s="99"/>
      <c r="AM23" s="68" t="str">
        <f t="shared" si="20"/>
        <v/>
      </c>
      <c r="AN23" s="74" t="str">
        <f t="shared" si="21"/>
        <v/>
      </c>
      <c r="AO23" s="93" t="str">
        <f t="shared" si="22"/>
        <v/>
      </c>
      <c r="AP23" s="91"/>
      <c r="AR23" s="93"/>
    </row>
    <row r="24" spans="1:44" ht="41.4" hidden="1" x14ac:dyDescent="0.25">
      <c r="A24" s="9" t="s">
        <v>39</v>
      </c>
      <c r="B24" s="2" t="s">
        <v>40</v>
      </c>
      <c r="C24" s="3" t="s">
        <v>24</v>
      </c>
      <c r="D24" s="41">
        <v>2220</v>
      </c>
      <c r="E24" s="10">
        <f t="shared" si="4"/>
        <v>333</v>
      </c>
      <c r="F24" s="10">
        <f t="shared" si="5"/>
        <v>111</v>
      </c>
      <c r="G24" s="10">
        <f t="shared" si="6"/>
        <v>1981.35</v>
      </c>
      <c r="H24" s="67"/>
      <c r="I24" s="68"/>
      <c r="J24" s="74">
        <f t="shared" si="7"/>
        <v>0</v>
      </c>
      <c r="K24" s="68"/>
      <c r="L24" s="74">
        <f t="shared" si="8"/>
        <v>0</v>
      </c>
      <c r="M24" s="68">
        <f>IF(D24="","",_xlfn.XLOOKUP(A24,'3'!A:A,'3'!D:D,IF($M$6=0,0,"ERROR")))</f>
        <v>0</v>
      </c>
      <c r="N24" s="70">
        <f t="shared" si="9"/>
        <v>0</v>
      </c>
      <c r="O24" s="68">
        <f>IF(D24="","",_xlfn.XLOOKUP(A24,'4'!A:A,'4'!D:D,IF($O$6=0,0,"ERROR")))</f>
        <v>0</v>
      </c>
      <c r="P24" s="69">
        <f t="shared" si="10"/>
        <v>0</v>
      </c>
      <c r="Q24" s="68">
        <f>IF(D24="","",_xlfn.XLOOKUP(A24,'5'!A:A,'5'!D:D,IF($Q$6=0,0,"ERROR")))</f>
        <v>0</v>
      </c>
      <c r="R24" s="70">
        <f t="shared" si="11"/>
        <v>0</v>
      </c>
      <c r="S24" s="68">
        <f>IF(D24="","",_xlfn.XLOOKUP(A24,'6'!A:A,'6'!D:D,IF($Q$6=0,0,"ERROR")))</f>
        <v>0</v>
      </c>
      <c r="T24" s="70">
        <f t="shared" si="12"/>
        <v>0</v>
      </c>
      <c r="U24" s="68">
        <f>IF(D24="","",_xlfn.XLOOKUP(A24,'7'!A:A,'7'!D:D,IF($U$6=0,0,"ERROR")))</f>
        <v>0</v>
      </c>
      <c r="V24" s="70">
        <f t="shared" si="13"/>
        <v>0</v>
      </c>
      <c r="W24" s="68">
        <f>IF(D24="","",_xlfn.XLOOKUP(A24,'8'!A:A,'8'!D:D,IF($U$6=0,0,"ERROR")))</f>
        <v>0</v>
      </c>
      <c r="X24" s="70">
        <f t="shared" si="3"/>
        <v>0</v>
      </c>
      <c r="Y24" s="68">
        <f>IF(D24="","",_xlfn.XLOOKUP(A24,'9'!A:A,'9'!D:D,IF($U$6=0,0,"ERROR")))</f>
        <v>0</v>
      </c>
      <c r="Z24" s="70">
        <f t="shared" si="14"/>
        <v>0</v>
      </c>
      <c r="AA24" s="68">
        <f>IF(D24="","",_xlfn.XLOOKUP(A24,'10'!A:A,'10'!D:D,IF($U$6=0,0,"ERROR")))</f>
        <v>0</v>
      </c>
      <c r="AB24" s="70">
        <f t="shared" si="15"/>
        <v>0</v>
      </c>
      <c r="AC24" s="68">
        <f>IF(D24="","",_xlfn.XLOOKUP(A24,'11'!A:A,'11'!D:D,IF($U$6=0,0,"ERROR")))</f>
        <v>0</v>
      </c>
      <c r="AD24" s="70">
        <f t="shared" si="16"/>
        <v>0</v>
      </c>
      <c r="AE24" s="68">
        <f>IF(D24="","",_xlfn.XLOOKUP(A24,'12'!A:A,'12'!D:D,IF($U$6=0,0,"ERROR")))</f>
        <v>0</v>
      </c>
      <c r="AF24" s="70">
        <f t="shared" si="17"/>
        <v>0</v>
      </c>
      <c r="AG24" s="68">
        <f>IF(D24="","",_xlfn.XLOOKUP(A24,'13'!A:A,'13'!D:D,IF($U$6=0,0,"ERROR")))</f>
        <v>3.33</v>
      </c>
      <c r="AH24" s="70">
        <f t="shared" si="18"/>
        <v>6597.8954999999996</v>
      </c>
      <c r="AI24" s="106">
        <f>IF(D24="","",_xlfn.XLOOKUP(A24,'14'!A:A,'14'!D:D,IF($U$6=0,0,"ERROR")))</f>
        <v>0</v>
      </c>
      <c r="AJ24" s="99">
        <f t="shared" si="19"/>
        <v>0</v>
      </c>
      <c r="AK24" s="99"/>
      <c r="AL24" s="99"/>
      <c r="AM24" s="68">
        <f t="shared" si="20"/>
        <v>3.33</v>
      </c>
      <c r="AN24" s="74">
        <f t="shared" si="21"/>
        <v>6597.8954999999996</v>
      </c>
      <c r="AO24" s="93" t="str">
        <f t="shared" si="22"/>
        <v>הכל טוב</v>
      </c>
      <c r="AP24" s="91"/>
      <c r="AR24" s="93"/>
    </row>
    <row r="25" spans="1:44" ht="43.2" hidden="1" x14ac:dyDescent="0.3">
      <c r="A25" s="63" t="s">
        <v>188</v>
      </c>
      <c r="B25" s="55" t="s">
        <v>40</v>
      </c>
      <c r="C25" s="56" t="s">
        <v>24</v>
      </c>
      <c r="D25" s="41">
        <v>2790</v>
      </c>
      <c r="E25" s="10">
        <f t="shared" si="4"/>
        <v>418.5</v>
      </c>
      <c r="F25" s="10">
        <f t="shared" si="5"/>
        <v>139.5</v>
      </c>
      <c r="G25" s="10">
        <f t="shared" si="6"/>
        <v>2490.0749999999998</v>
      </c>
      <c r="H25" s="67"/>
      <c r="I25" s="68"/>
      <c r="J25" s="74">
        <f t="shared" si="7"/>
        <v>0</v>
      </c>
      <c r="K25" s="68"/>
      <c r="L25" s="74">
        <f t="shared" si="8"/>
        <v>0</v>
      </c>
      <c r="M25" s="68">
        <f>IF(D25="","",_xlfn.XLOOKUP(A25,'3'!A:A,'3'!D:D,IF($M$6=0,0,"ERROR")))</f>
        <v>0</v>
      </c>
      <c r="N25" s="70">
        <f t="shared" si="9"/>
        <v>0</v>
      </c>
      <c r="O25" s="68">
        <v>0</v>
      </c>
      <c r="P25" s="69">
        <f t="shared" si="10"/>
        <v>0</v>
      </c>
      <c r="Q25" s="68">
        <v>0</v>
      </c>
      <c r="R25" s="70">
        <f t="shared" si="11"/>
        <v>0</v>
      </c>
      <c r="S25" s="68">
        <f>IF(D25="","",_xlfn.XLOOKUP(A25,'6'!A:A,'6'!D:D,IF($Q$6=0,0,"ERROR")))</f>
        <v>0</v>
      </c>
      <c r="T25" s="70">
        <f t="shared" si="12"/>
        <v>0</v>
      </c>
      <c r="U25" s="68">
        <v>0</v>
      </c>
      <c r="V25" s="70">
        <f t="shared" si="13"/>
        <v>0</v>
      </c>
      <c r="W25" s="68">
        <f>IF(D25="","",_xlfn.XLOOKUP(A25,'8'!A:A,'8'!D:D,IF($U$6=0,0,"ERROR")))</f>
        <v>0</v>
      </c>
      <c r="X25" s="70">
        <f t="shared" si="3"/>
        <v>0</v>
      </c>
      <c r="Y25" s="68">
        <v>0</v>
      </c>
      <c r="Z25" s="70">
        <f t="shared" si="14"/>
        <v>0</v>
      </c>
      <c r="AA25" s="68">
        <f>IF(D25="","",_xlfn.XLOOKUP(A25,'10'!A:A,'10'!D:D,IF($U$6=0,0,"ERROR")))</f>
        <v>0</v>
      </c>
      <c r="AB25" s="70">
        <f t="shared" si="15"/>
        <v>0</v>
      </c>
      <c r="AC25" s="68">
        <v>0</v>
      </c>
      <c r="AD25" s="70">
        <f t="shared" si="16"/>
        <v>0</v>
      </c>
      <c r="AE25" s="68">
        <v>0</v>
      </c>
      <c r="AF25" s="70">
        <f t="shared" si="17"/>
        <v>0</v>
      </c>
      <c r="AG25" s="68">
        <v>0</v>
      </c>
      <c r="AH25" s="70">
        <f t="shared" si="18"/>
        <v>0</v>
      </c>
      <c r="AI25" s="106">
        <v>0</v>
      </c>
      <c r="AJ25" s="99">
        <f t="shared" si="19"/>
        <v>0</v>
      </c>
      <c r="AK25" s="99"/>
      <c r="AL25" s="99"/>
      <c r="AM25" s="68">
        <f t="shared" si="20"/>
        <v>0</v>
      </c>
      <c r="AN25" s="74">
        <f t="shared" si="21"/>
        <v>0</v>
      </c>
      <c r="AO25" s="93" t="str">
        <f t="shared" si="22"/>
        <v>הכל טוב</v>
      </c>
      <c r="AP25" s="91"/>
      <c r="AR25" s="93"/>
    </row>
    <row r="26" spans="1:44" ht="41.4" hidden="1" x14ac:dyDescent="0.25">
      <c r="A26" s="9" t="s">
        <v>41</v>
      </c>
      <c r="B26" s="2" t="s">
        <v>42</v>
      </c>
      <c r="C26" s="3" t="s">
        <v>24</v>
      </c>
      <c r="D26" s="41">
        <v>2700</v>
      </c>
      <c r="E26" s="10">
        <f t="shared" si="4"/>
        <v>405</v>
      </c>
      <c r="F26" s="10">
        <f t="shared" si="5"/>
        <v>135</v>
      </c>
      <c r="G26" s="10">
        <f t="shared" si="6"/>
        <v>2409.75</v>
      </c>
      <c r="H26" s="67"/>
      <c r="I26" s="68"/>
      <c r="J26" s="74">
        <f t="shared" si="7"/>
        <v>0</v>
      </c>
      <c r="K26" s="68"/>
      <c r="L26" s="74">
        <f t="shared" si="8"/>
        <v>0</v>
      </c>
      <c r="M26" s="68">
        <f>IF(D26="","",_xlfn.XLOOKUP(A26,'3'!A:A,'3'!D:D,IF($M$6=0,0,"ERROR")))</f>
        <v>0</v>
      </c>
      <c r="N26" s="70">
        <f t="shared" si="9"/>
        <v>0</v>
      </c>
      <c r="O26" s="68">
        <f>IF(D26="","",_xlfn.XLOOKUP(A26,'4'!A:A,'4'!D:D,IF($O$6=0,0,"ERROR")))</f>
        <v>0</v>
      </c>
      <c r="P26" s="69">
        <f t="shared" si="10"/>
        <v>0</v>
      </c>
      <c r="Q26" s="68">
        <f>IF(D26="","",_xlfn.XLOOKUP(A26,'5'!A:A,'5'!D:D,IF($Q$6=0,0,"ERROR")))</f>
        <v>0</v>
      </c>
      <c r="R26" s="70">
        <f t="shared" si="11"/>
        <v>0</v>
      </c>
      <c r="S26" s="68">
        <f>IF(D26="","",_xlfn.XLOOKUP(A26,'6'!A:A,'6'!D:D,IF($Q$6=0,0,"ERROR")))</f>
        <v>0</v>
      </c>
      <c r="T26" s="70">
        <f t="shared" si="12"/>
        <v>0</v>
      </c>
      <c r="U26" s="68">
        <f>IF(D26="","",_xlfn.XLOOKUP(A26,'7'!A:A,'7'!D:D,IF($U$6=0,0,"ERROR")))</f>
        <v>0</v>
      </c>
      <c r="V26" s="70">
        <f t="shared" si="13"/>
        <v>0</v>
      </c>
      <c r="W26" s="68">
        <f>IF(D26="","",_xlfn.XLOOKUP(A26,'8'!A:A,'8'!D:D,IF($U$6=0,0,"ERROR")))</f>
        <v>0</v>
      </c>
      <c r="X26" s="70">
        <f t="shared" si="3"/>
        <v>0</v>
      </c>
      <c r="Y26" s="68">
        <f>IF(D26="","",_xlfn.XLOOKUP(A26,'9'!A:A,'9'!D:D,IF($U$6=0,0,"ERROR")))</f>
        <v>0</v>
      </c>
      <c r="Z26" s="70">
        <f t="shared" si="14"/>
        <v>0</v>
      </c>
      <c r="AA26" s="68">
        <f>IF(D26="","",_xlfn.XLOOKUP(A26,'10'!A:A,'10'!D:D,IF($U$6=0,0,"ERROR")))</f>
        <v>0</v>
      </c>
      <c r="AB26" s="70">
        <f t="shared" si="15"/>
        <v>0</v>
      </c>
      <c r="AC26" s="68">
        <f>IF(D26="","",_xlfn.XLOOKUP(A26,'11'!A:A,'11'!D:D,IF($U$6=0,0,"ERROR")))</f>
        <v>0</v>
      </c>
      <c r="AD26" s="70">
        <f t="shared" si="16"/>
        <v>0</v>
      </c>
      <c r="AE26" s="68">
        <f>IF(D26="","",_xlfn.XLOOKUP(A26,'12'!A:A,'12'!D:D,IF($U$6=0,0,"ERROR")))</f>
        <v>0</v>
      </c>
      <c r="AF26" s="70">
        <f t="shared" si="17"/>
        <v>0</v>
      </c>
      <c r="AG26" s="68">
        <f>IF(D26="","",_xlfn.XLOOKUP(A26,'13'!A:A,'13'!D:D,IF($U$6=0,0,"ERROR")))</f>
        <v>0</v>
      </c>
      <c r="AH26" s="70">
        <f t="shared" si="18"/>
        <v>0</v>
      </c>
      <c r="AI26" s="106">
        <f>IF(D26="","",_xlfn.XLOOKUP(A26,'14'!A:A,'14'!D:D,IF($U$6=0,0,"ERROR")))</f>
        <v>0</v>
      </c>
      <c r="AJ26" s="99">
        <f t="shared" si="19"/>
        <v>0</v>
      </c>
      <c r="AK26" s="99"/>
      <c r="AL26" s="99"/>
      <c r="AM26" s="68">
        <f t="shared" si="20"/>
        <v>0</v>
      </c>
      <c r="AN26" s="74">
        <f t="shared" si="21"/>
        <v>0</v>
      </c>
      <c r="AO26" s="93" t="str">
        <f t="shared" si="22"/>
        <v>הכל טוב</v>
      </c>
      <c r="AP26" s="91"/>
      <c r="AR26" s="93"/>
    </row>
    <row r="27" spans="1:44" ht="15.6" hidden="1" x14ac:dyDescent="0.3">
      <c r="A27" s="5" t="s">
        <v>43</v>
      </c>
      <c r="B27" s="6" t="s">
        <v>44</v>
      </c>
      <c r="C27" s="7" t="s">
        <v>3</v>
      </c>
      <c r="D27" s="41" t="s">
        <v>3</v>
      </c>
      <c r="E27" s="10" t="str">
        <f t="shared" si="4"/>
        <v/>
      </c>
      <c r="F27" s="10" t="str">
        <f t="shared" si="5"/>
        <v/>
      </c>
      <c r="G27" s="10" t="str">
        <f t="shared" si="6"/>
        <v/>
      </c>
      <c r="H27" s="67"/>
      <c r="I27" s="68"/>
      <c r="J27" s="74" t="str">
        <f t="shared" si="7"/>
        <v/>
      </c>
      <c r="K27" s="68"/>
      <c r="L27" s="74" t="str">
        <f t="shared" si="8"/>
        <v/>
      </c>
      <c r="M27" s="68" t="str">
        <f>IF(D27="","",_xlfn.XLOOKUP(A27,'3'!A:A,'3'!D:D,IF($M$6=0,0,"ERROR")))</f>
        <v/>
      </c>
      <c r="N27" s="70" t="str">
        <f t="shared" si="9"/>
        <v/>
      </c>
      <c r="O27" s="68" t="str">
        <f>IF(D27="","",_xlfn.XLOOKUP(A27,'4'!A:A,'4'!D:D,IF($O$6=0,0,"ERROR")))</f>
        <v/>
      </c>
      <c r="P27" s="69" t="str">
        <f t="shared" si="10"/>
        <v/>
      </c>
      <c r="Q27" s="68" t="str">
        <f>IF(D27="","",_xlfn.XLOOKUP(A27,'5'!A:A,'5'!D:D,IF($Q$6=0,0,"ERROR")))</f>
        <v/>
      </c>
      <c r="R27" s="70" t="str">
        <f t="shared" si="11"/>
        <v/>
      </c>
      <c r="S27" s="68" t="str">
        <f>IF(D27="","",_xlfn.XLOOKUP(A27,'6'!A:A,'6'!D:D,IF($Q$6=0,0,"ERROR")))</f>
        <v/>
      </c>
      <c r="T27" s="70" t="str">
        <f t="shared" si="12"/>
        <v/>
      </c>
      <c r="U27" s="68" t="str">
        <f>IF(D27="","",_xlfn.XLOOKUP(A27,'7'!A:A,'7'!D:D,IF($U$6=0,0,"ERROR")))</f>
        <v/>
      </c>
      <c r="V27" s="70" t="str">
        <f t="shared" si="13"/>
        <v/>
      </c>
      <c r="W27" s="68" t="str">
        <f>IF(D27="","",_xlfn.XLOOKUP(A27,'8'!A:A,'8'!D:D,IF($U$6=0,0,"ERROR")))</f>
        <v/>
      </c>
      <c r="X27" s="70" t="str">
        <f t="shared" si="3"/>
        <v/>
      </c>
      <c r="Y27" s="68" t="str">
        <f>IF(D27="","",_xlfn.XLOOKUP(A27,'9'!A:A,'9'!D:D,IF($U$6=0,0,"ERROR")))</f>
        <v/>
      </c>
      <c r="Z27" s="70" t="str">
        <f t="shared" si="14"/>
        <v/>
      </c>
      <c r="AA27" s="68" t="str">
        <f>IF(D27="","",_xlfn.XLOOKUP(A27,'10'!A:A,'10'!D:D,IF($U$6=0,0,"ERROR")))</f>
        <v/>
      </c>
      <c r="AB27" s="70" t="str">
        <f t="shared" si="15"/>
        <v/>
      </c>
      <c r="AC27" s="68" t="str">
        <f>IF(D27="","",_xlfn.XLOOKUP(A27,'11'!A:A,'11'!D:D,IF($U$6=0,0,"ERROR")))</f>
        <v/>
      </c>
      <c r="AD27" s="70" t="str">
        <f t="shared" si="16"/>
        <v/>
      </c>
      <c r="AE27" s="68" t="str">
        <f>IF(D27="","",_xlfn.XLOOKUP(A27,'12'!A:A,'12'!D:D,IF($U$6=0,0,"ERROR")))</f>
        <v/>
      </c>
      <c r="AF27" s="70" t="str">
        <f t="shared" si="17"/>
        <v/>
      </c>
      <c r="AG27" s="68" t="str">
        <f>IF(D27="","",_xlfn.XLOOKUP(A27,'13'!A:A,'13'!D:D,IF($U$6=0,0,"ERROR")))</f>
        <v/>
      </c>
      <c r="AH27" s="70" t="str">
        <f t="shared" si="18"/>
        <v/>
      </c>
      <c r="AI27" s="106" t="str">
        <f>IF(D27="","",_xlfn.XLOOKUP(A27,'14'!A:A,'14'!D:D,IF($U$6=0,0,"ERROR")))</f>
        <v/>
      </c>
      <c r="AJ27" s="99" t="str">
        <f t="shared" si="19"/>
        <v/>
      </c>
      <c r="AK27" s="99"/>
      <c r="AL27" s="99"/>
      <c r="AM27" s="68" t="str">
        <f t="shared" si="20"/>
        <v/>
      </c>
      <c r="AN27" s="74" t="str">
        <f t="shared" si="21"/>
        <v/>
      </c>
      <c r="AO27" s="93" t="str">
        <f t="shared" si="22"/>
        <v/>
      </c>
      <c r="AP27" s="91"/>
      <c r="AR27" s="93"/>
    </row>
    <row r="28" spans="1:44" ht="27.6" hidden="1" x14ac:dyDescent="0.25">
      <c r="A28" s="9" t="s">
        <v>45</v>
      </c>
      <c r="B28" s="2" t="s">
        <v>46</v>
      </c>
      <c r="C28" s="3" t="s">
        <v>2</v>
      </c>
      <c r="D28" s="41">
        <v>1310</v>
      </c>
      <c r="E28" s="10">
        <f t="shared" si="4"/>
        <v>196.5</v>
      </c>
      <c r="F28" s="10">
        <f t="shared" si="5"/>
        <v>65.5</v>
      </c>
      <c r="G28" s="10">
        <f t="shared" si="6"/>
        <v>1169.175</v>
      </c>
      <c r="H28" s="67"/>
      <c r="I28" s="68"/>
      <c r="J28" s="74">
        <f t="shared" si="7"/>
        <v>0</v>
      </c>
      <c r="K28" s="68"/>
      <c r="L28" s="74">
        <f t="shared" si="8"/>
        <v>0</v>
      </c>
      <c r="M28" s="68">
        <f>IF(D28="","",_xlfn.XLOOKUP(A28,'3'!A:A,'3'!D:D,IF($M$6=0,0,"ERROR")))</f>
        <v>0</v>
      </c>
      <c r="N28" s="70">
        <f t="shared" si="9"/>
        <v>0</v>
      </c>
      <c r="O28" s="68">
        <f>IF(D28="","",_xlfn.XLOOKUP(A28,'4'!A:A,'4'!D:D,IF($O$6=0,0,"ERROR")))</f>
        <v>0</v>
      </c>
      <c r="P28" s="69">
        <f t="shared" si="10"/>
        <v>0</v>
      </c>
      <c r="Q28" s="68">
        <f>IF(D28="","",_xlfn.XLOOKUP(A28,'5'!A:A,'5'!D:D,IF($Q$6=0,0,"ERROR")))</f>
        <v>0</v>
      </c>
      <c r="R28" s="70">
        <f t="shared" si="11"/>
        <v>0</v>
      </c>
      <c r="S28" s="68">
        <f>IF(D28="","",_xlfn.XLOOKUP(A28,'6'!A:A,'6'!D:D,IF($Q$6=0,0,"ERROR")))</f>
        <v>0</v>
      </c>
      <c r="T28" s="70">
        <f t="shared" si="12"/>
        <v>0</v>
      </c>
      <c r="U28" s="68">
        <f>IF(D28="","",_xlfn.XLOOKUP(A28,'7'!A:A,'7'!D:D,IF($U$6=0,0,"ERROR")))</f>
        <v>0</v>
      </c>
      <c r="V28" s="70">
        <f t="shared" si="13"/>
        <v>0</v>
      </c>
      <c r="W28" s="68">
        <f>IF(D28="","",_xlfn.XLOOKUP(A28,'8'!A:A,'8'!D:D,IF($U$6=0,0,"ERROR")))</f>
        <v>0</v>
      </c>
      <c r="X28" s="70">
        <f t="shared" si="3"/>
        <v>0</v>
      </c>
      <c r="Y28" s="68">
        <f>IF(D28="","",_xlfn.XLOOKUP(A28,'9'!A:A,'9'!D:D,IF($U$6=0,0,"ERROR")))</f>
        <v>0</v>
      </c>
      <c r="Z28" s="70">
        <f t="shared" si="14"/>
        <v>0</v>
      </c>
      <c r="AA28" s="68">
        <f>IF(D28="","",_xlfn.XLOOKUP(A28,'10'!A:A,'10'!D:D,IF($U$6=0,0,"ERROR")))</f>
        <v>0</v>
      </c>
      <c r="AB28" s="70">
        <f t="shared" si="15"/>
        <v>0</v>
      </c>
      <c r="AC28" s="68">
        <f>IF(D28="","",_xlfn.XLOOKUP(A28,'11'!A:A,'11'!D:D,IF($U$6=0,0,"ERROR")))</f>
        <v>0</v>
      </c>
      <c r="AD28" s="70">
        <f t="shared" si="16"/>
        <v>0</v>
      </c>
      <c r="AE28" s="68">
        <f>IF(D28="","",_xlfn.XLOOKUP(A28,'12'!A:A,'12'!D:D,IF($U$6=0,0,"ERROR")))</f>
        <v>0</v>
      </c>
      <c r="AF28" s="70">
        <f t="shared" si="17"/>
        <v>0</v>
      </c>
      <c r="AG28" s="68">
        <f>IF(D28="","",_xlfn.XLOOKUP(A28,'13'!A:A,'13'!D:D,IF($U$6=0,0,"ERROR")))</f>
        <v>0</v>
      </c>
      <c r="AH28" s="70">
        <f t="shared" si="18"/>
        <v>0</v>
      </c>
      <c r="AI28" s="106">
        <f>IF(D28="","",_xlfn.XLOOKUP(A28,'14'!A:A,'14'!D:D,IF($U$6=0,0,"ERROR")))</f>
        <v>0</v>
      </c>
      <c r="AJ28" s="99">
        <f t="shared" si="19"/>
        <v>0</v>
      </c>
      <c r="AK28" s="99"/>
      <c r="AL28" s="99"/>
      <c r="AM28" s="68">
        <f t="shared" si="20"/>
        <v>0</v>
      </c>
      <c r="AN28" s="74">
        <f t="shared" si="21"/>
        <v>0</v>
      </c>
      <c r="AO28" s="93" t="str">
        <f t="shared" si="22"/>
        <v>הכל טוב</v>
      </c>
      <c r="AP28" s="91"/>
      <c r="AR28" s="93"/>
    </row>
    <row r="29" spans="1:44" ht="27.6" hidden="1" x14ac:dyDescent="0.25">
      <c r="A29" s="9" t="s">
        <v>47</v>
      </c>
      <c r="B29" s="2" t="s">
        <v>48</v>
      </c>
      <c r="C29" s="3" t="s">
        <v>2</v>
      </c>
      <c r="D29" s="41">
        <v>2090</v>
      </c>
      <c r="E29" s="10">
        <f t="shared" si="4"/>
        <v>313.5</v>
      </c>
      <c r="F29" s="10">
        <f t="shared" si="5"/>
        <v>104.5</v>
      </c>
      <c r="G29" s="10">
        <f t="shared" si="6"/>
        <v>1865.325</v>
      </c>
      <c r="H29" s="67"/>
      <c r="I29" s="68"/>
      <c r="J29" s="74">
        <f t="shared" si="7"/>
        <v>0</v>
      </c>
      <c r="K29" s="68"/>
      <c r="L29" s="74">
        <f t="shared" si="8"/>
        <v>0</v>
      </c>
      <c r="M29" s="68">
        <f>IF(D29="","",_xlfn.XLOOKUP(A29,'3'!A:A,'3'!D:D,IF($M$6=0,0,"ERROR")))</f>
        <v>0</v>
      </c>
      <c r="N29" s="70">
        <f t="shared" si="9"/>
        <v>0</v>
      </c>
      <c r="O29" s="68">
        <f>IF(D29="","",_xlfn.XLOOKUP(A29,'4'!A:A,'4'!D:D,IF($O$6=0,0,"ERROR")))</f>
        <v>0</v>
      </c>
      <c r="P29" s="69">
        <f t="shared" si="10"/>
        <v>0</v>
      </c>
      <c r="Q29" s="68">
        <f>IF(D29="","",_xlfn.XLOOKUP(A29,'5'!A:A,'5'!D:D,IF($Q$6=0,0,"ERROR")))</f>
        <v>0</v>
      </c>
      <c r="R29" s="70">
        <f t="shared" si="11"/>
        <v>0</v>
      </c>
      <c r="S29" s="68">
        <f>IF(D29="","",_xlfn.XLOOKUP(A29,'6'!A:A,'6'!D:D,IF($Q$6=0,0,"ERROR")))</f>
        <v>0</v>
      </c>
      <c r="T29" s="70">
        <f t="shared" si="12"/>
        <v>0</v>
      </c>
      <c r="U29" s="68">
        <f>IF(D29="","",_xlfn.XLOOKUP(A29,'7'!A:A,'7'!D:D,IF($U$6=0,0,"ERROR")))</f>
        <v>0</v>
      </c>
      <c r="V29" s="70">
        <f t="shared" si="13"/>
        <v>0</v>
      </c>
      <c r="W29" s="68">
        <f>IF(D29="","",_xlfn.XLOOKUP(A29,'8'!A:A,'8'!D:D,IF($U$6=0,0,"ERROR")))</f>
        <v>0</v>
      </c>
      <c r="X29" s="70">
        <f t="shared" si="3"/>
        <v>0</v>
      </c>
      <c r="Y29" s="68">
        <f>IF(D29="","",_xlfn.XLOOKUP(A29,'9'!A:A,'9'!D:D,IF($U$6=0,0,"ERROR")))</f>
        <v>0</v>
      </c>
      <c r="Z29" s="70">
        <f t="shared" si="14"/>
        <v>0</v>
      </c>
      <c r="AA29" s="68">
        <f>IF(D29="","",_xlfn.XLOOKUP(A29,'10'!A:A,'10'!D:D,IF($U$6=0,0,"ERROR")))</f>
        <v>0</v>
      </c>
      <c r="AB29" s="70">
        <f t="shared" si="15"/>
        <v>0</v>
      </c>
      <c r="AC29" s="68">
        <f>IF(D29="","",_xlfn.XLOOKUP(A29,'11'!A:A,'11'!D:D,IF($U$6=0,0,"ERROR")))</f>
        <v>0</v>
      </c>
      <c r="AD29" s="70">
        <f t="shared" si="16"/>
        <v>0</v>
      </c>
      <c r="AE29" s="68">
        <f>IF(D29="","",_xlfn.XLOOKUP(A29,'12'!A:A,'12'!D:D,IF($U$6=0,0,"ERROR")))</f>
        <v>0</v>
      </c>
      <c r="AF29" s="70">
        <f t="shared" si="17"/>
        <v>0</v>
      </c>
      <c r="AG29" s="68">
        <f>IF(D29="","",_xlfn.XLOOKUP(A29,'13'!A:A,'13'!D:D,IF($U$6=0,0,"ERROR")))</f>
        <v>0</v>
      </c>
      <c r="AH29" s="70">
        <f t="shared" si="18"/>
        <v>0</v>
      </c>
      <c r="AI29" s="106">
        <f>IF(D29="","",_xlfn.XLOOKUP(A29,'14'!A:A,'14'!D:D,IF($U$6=0,0,"ERROR")))</f>
        <v>0</v>
      </c>
      <c r="AJ29" s="99">
        <f t="shared" si="19"/>
        <v>0</v>
      </c>
      <c r="AK29" s="99"/>
      <c r="AL29" s="99"/>
      <c r="AM29" s="68">
        <f t="shared" si="20"/>
        <v>0</v>
      </c>
      <c r="AN29" s="74">
        <f t="shared" si="21"/>
        <v>0</v>
      </c>
      <c r="AO29" s="93" t="str">
        <f t="shared" si="22"/>
        <v>הכל טוב</v>
      </c>
      <c r="AP29" s="91"/>
      <c r="AR29" s="93"/>
    </row>
    <row r="30" spans="1:44" ht="14.4" hidden="1" x14ac:dyDescent="0.3">
      <c r="A30" s="43" t="s">
        <v>3</v>
      </c>
      <c r="B30" s="44" t="s">
        <v>49</v>
      </c>
      <c r="C30" s="3"/>
      <c r="D30" s="41" t="s">
        <v>3</v>
      </c>
      <c r="E30" s="10" t="str">
        <f t="shared" si="4"/>
        <v/>
      </c>
      <c r="F30" s="10" t="str">
        <f t="shared" si="5"/>
        <v/>
      </c>
      <c r="G30" s="10" t="str">
        <f t="shared" si="6"/>
        <v/>
      </c>
      <c r="H30" s="67"/>
      <c r="I30" s="68"/>
      <c r="J30" s="74" t="str">
        <f t="shared" si="7"/>
        <v/>
      </c>
      <c r="K30" s="68"/>
      <c r="L30" s="74" t="str">
        <f t="shared" si="8"/>
        <v/>
      </c>
      <c r="M30" s="68" t="str">
        <f>IF(D30="","",_xlfn.XLOOKUP(A30,'3'!A:A,'3'!D:D,IF($M$6=0,0,"ERROR")))</f>
        <v/>
      </c>
      <c r="N30" s="70" t="str">
        <f t="shared" si="9"/>
        <v/>
      </c>
      <c r="O30" s="68" t="str">
        <f>IF(D30="","",_xlfn.XLOOKUP(A30,'4'!A:A,'4'!D:D,IF($O$6=0,0,"ERROR")))</f>
        <v/>
      </c>
      <c r="P30" s="69" t="str">
        <f t="shared" si="10"/>
        <v/>
      </c>
      <c r="Q30" s="68" t="str">
        <f>IF(D30="","",_xlfn.XLOOKUP(A30,'5'!A:A,'5'!D:D,IF($Q$6=0,0,"ERROR")))</f>
        <v/>
      </c>
      <c r="R30" s="70" t="str">
        <f t="shared" si="11"/>
        <v/>
      </c>
      <c r="S30" s="68" t="str">
        <f>IF(D30="","",_xlfn.XLOOKUP(A30,'6'!A:A,'6'!D:D,IF($Q$6=0,0,"ERROR")))</f>
        <v/>
      </c>
      <c r="T30" s="70" t="str">
        <f t="shared" si="12"/>
        <v/>
      </c>
      <c r="U30" s="68" t="str">
        <f>IF(D30="","",_xlfn.XLOOKUP(A30,'7'!A:A,'7'!D:D,IF($U$6=0,0,"ERROR")))</f>
        <v/>
      </c>
      <c r="V30" s="70" t="str">
        <f t="shared" si="13"/>
        <v/>
      </c>
      <c r="W30" s="68" t="str">
        <f>IF(D30="","",_xlfn.XLOOKUP(A30,'8'!A:A,'8'!D:D,IF($U$6=0,0,"ERROR")))</f>
        <v/>
      </c>
      <c r="X30" s="70" t="str">
        <f t="shared" si="3"/>
        <v/>
      </c>
      <c r="Y30" s="68" t="str">
        <f>IF(D30="","",_xlfn.XLOOKUP(A30,'9'!A:A,'9'!D:D,IF($U$6=0,0,"ERROR")))</f>
        <v/>
      </c>
      <c r="Z30" s="70" t="str">
        <f t="shared" si="14"/>
        <v/>
      </c>
      <c r="AA30" s="68" t="str">
        <f>IF(D30="","",_xlfn.XLOOKUP(A30,'10'!A:A,'10'!D:D,IF($U$6=0,0,"ERROR")))</f>
        <v/>
      </c>
      <c r="AB30" s="70" t="str">
        <f t="shared" si="15"/>
        <v/>
      </c>
      <c r="AC30" s="68" t="str">
        <f>IF(D30="","",_xlfn.XLOOKUP(A30,'11'!A:A,'11'!D:D,IF($U$6=0,0,"ERROR")))</f>
        <v/>
      </c>
      <c r="AD30" s="70" t="str">
        <f t="shared" si="16"/>
        <v/>
      </c>
      <c r="AE30" s="68" t="str">
        <f>IF(D30="","",_xlfn.XLOOKUP(A30,'12'!A:A,'12'!D:D,IF($U$6=0,0,"ERROR")))</f>
        <v/>
      </c>
      <c r="AF30" s="70" t="str">
        <f t="shared" si="17"/>
        <v/>
      </c>
      <c r="AG30" s="68" t="str">
        <f>IF(D30="","",_xlfn.XLOOKUP(A30,'13'!A:A,'13'!D:D,IF($U$6=0,0,"ERROR")))</f>
        <v/>
      </c>
      <c r="AH30" s="70" t="str">
        <f t="shared" si="18"/>
        <v/>
      </c>
      <c r="AI30" s="106" t="str">
        <f>IF(D30="","",_xlfn.XLOOKUP(A30,'14'!A:A,'14'!D:D,IF($U$6=0,0,"ERROR")))</f>
        <v/>
      </c>
      <c r="AJ30" s="99" t="str">
        <f t="shared" si="19"/>
        <v/>
      </c>
      <c r="AK30" s="99"/>
      <c r="AL30" s="99"/>
      <c r="AM30" s="68" t="str">
        <f t="shared" si="20"/>
        <v/>
      </c>
      <c r="AN30" s="74" t="str">
        <f t="shared" si="21"/>
        <v/>
      </c>
      <c r="AO30" s="93" t="str">
        <f t="shared" si="22"/>
        <v/>
      </c>
      <c r="AP30" s="91"/>
      <c r="AR30" s="93"/>
    </row>
    <row r="31" spans="1:44" ht="31.2" x14ac:dyDescent="0.3">
      <c r="A31" s="5" t="s">
        <v>50</v>
      </c>
      <c r="B31" s="6" t="s">
        <v>51</v>
      </c>
      <c r="C31" s="7" t="s">
        <v>3</v>
      </c>
      <c r="D31" s="41" t="s">
        <v>3</v>
      </c>
      <c r="E31" s="10" t="str">
        <f t="shared" si="4"/>
        <v/>
      </c>
      <c r="F31" s="10" t="str">
        <f t="shared" si="5"/>
        <v/>
      </c>
      <c r="G31" s="10" t="str">
        <f t="shared" si="6"/>
        <v/>
      </c>
      <c r="H31" s="67"/>
      <c r="I31" s="68"/>
      <c r="J31" s="74" t="str">
        <f t="shared" si="7"/>
        <v/>
      </c>
      <c r="K31" s="68"/>
      <c r="L31" s="74" t="str">
        <f t="shared" si="8"/>
        <v/>
      </c>
      <c r="M31" s="68" t="str">
        <f>IF(D31="","",_xlfn.XLOOKUP(A31,'3'!A:A,'3'!D:D,IF($M$6=0,0,"ERROR")))</f>
        <v/>
      </c>
      <c r="N31" s="70" t="str">
        <f t="shared" si="9"/>
        <v/>
      </c>
      <c r="O31" s="68" t="str">
        <f>IF(D31="","",_xlfn.XLOOKUP(A31,'4'!A:A,'4'!D:D,IF($O$6=0,0,"ERROR")))</f>
        <v/>
      </c>
      <c r="P31" s="69" t="str">
        <f t="shared" si="10"/>
        <v/>
      </c>
      <c r="Q31" s="68" t="str">
        <f>IF(D31="","",_xlfn.XLOOKUP(A31,'5'!A:A,'5'!D:D,IF($Q$6=0,0,"ERROR")))</f>
        <v/>
      </c>
      <c r="R31" s="70" t="str">
        <f t="shared" si="11"/>
        <v/>
      </c>
      <c r="S31" s="68" t="str">
        <f>IF(D31="","",_xlfn.XLOOKUP(A31,'6'!A:A,'6'!D:D,IF($Q$6=0,0,"ERROR")))</f>
        <v/>
      </c>
      <c r="T31" s="70" t="str">
        <f t="shared" si="12"/>
        <v/>
      </c>
      <c r="U31" s="68" t="str">
        <f>IF(D31="","",_xlfn.XLOOKUP(A31,'7'!A:A,'7'!D:D,IF($U$6=0,0,"ERROR")))</f>
        <v/>
      </c>
      <c r="V31" s="70" t="str">
        <f t="shared" si="13"/>
        <v/>
      </c>
      <c r="W31" s="68" t="str">
        <f>IF(D31="","",_xlfn.XLOOKUP(A31,'8'!A:A,'8'!D:D,IF($U$6=0,0,"ERROR")))</f>
        <v/>
      </c>
      <c r="X31" s="70" t="str">
        <f t="shared" si="3"/>
        <v/>
      </c>
      <c r="Y31" s="68" t="str">
        <f>IF(D31="","",_xlfn.XLOOKUP(A31,'9'!A:A,'9'!D:D,IF($U$6=0,0,"ERROR")))</f>
        <v/>
      </c>
      <c r="Z31" s="70" t="str">
        <f t="shared" si="14"/>
        <v/>
      </c>
      <c r="AA31" s="68" t="str">
        <f>IF(D31="","",_xlfn.XLOOKUP(A31,'10'!A:A,'10'!D:D,IF($U$6=0,0,"ERROR")))</f>
        <v/>
      </c>
      <c r="AB31" s="70" t="str">
        <f t="shared" si="15"/>
        <v/>
      </c>
      <c r="AC31" s="68" t="str">
        <f>IF(D31="","",_xlfn.XLOOKUP(A31,'11'!A:A,'11'!D:D,IF($U$6=0,0,"ERROR")))</f>
        <v/>
      </c>
      <c r="AD31" s="70" t="str">
        <f t="shared" si="16"/>
        <v/>
      </c>
      <c r="AE31" s="68" t="str">
        <f>IF(D31="","",_xlfn.XLOOKUP(A31,'12'!A:A,'12'!D:D,IF($U$6=0,0,"ERROR")))</f>
        <v/>
      </c>
      <c r="AF31" s="70" t="str">
        <f t="shared" si="17"/>
        <v/>
      </c>
      <c r="AG31" s="68" t="str">
        <f>IF(D31="","",_xlfn.XLOOKUP(A31,'13'!A:A,'13'!D:D,IF($U$6=0,0,"ERROR")))</f>
        <v/>
      </c>
      <c r="AH31" s="70" t="str">
        <f t="shared" si="18"/>
        <v/>
      </c>
      <c r="AI31" s="106" t="str">
        <f>IF(D31="","",_xlfn.XLOOKUP(A31,'14'!A:A,'14'!D:D,IF($U$6=0,0,"ERROR")))</f>
        <v/>
      </c>
      <c r="AJ31" s="99" t="str">
        <f t="shared" si="19"/>
        <v/>
      </c>
      <c r="AK31" s="99"/>
      <c r="AL31" s="99"/>
      <c r="AM31" s="68" t="str">
        <f t="shared" si="20"/>
        <v/>
      </c>
      <c r="AN31" s="74" t="str">
        <f t="shared" si="21"/>
        <v/>
      </c>
      <c r="AO31" s="93" t="str">
        <f t="shared" si="22"/>
        <v/>
      </c>
      <c r="AP31" s="91"/>
      <c r="AR31" s="93"/>
    </row>
    <row r="32" spans="1:44" ht="41.4" hidden="1" x14ac:dyDescent="0.25">
      <c r="A32" s="9" t="s">
        <v>52</v>
      </c>
      <c r="B32" s="2" t="s">
        <v>53</v>
      </c>
      <c r="C32" s="3" t="s">
        <v>24</v>
      </c>
      <c r="D32" s="41">
        <v>1760</v>
      </c>
      <c r="E32" s="10">
        <f t="shared" si="4"/>
        <v>264</v>
      </c>
      <c r="F32" s="10">
        <f t="shared" si="5"/>
        <v>88</v>
      </c>
      <c r="G32" s="10">
        <f t="shared" si="6"/>
        <v>1570.8</v>
      </c>
      <c r="H32" s="67"/>
      <c r="I32" s="68"/>
      <c r="J32" s="74">
        <f t="shared" si="7"/>
        <v>0</v>
      </c>
      <c r="K32" s="68"/>
      <c r="L32" s="74">
        <f t="shared" si="8"/>
        <v>0</v>
      </c>
      <c r="M32" s="68">
        <f>IF(D32="","",_xlfn.XLOOKUP(A32,'3'!A:A,'3'!D:D,IF($M$6=0,0,"ERROR")))</f>
        <v>0</v>
      </c>
      <c r="N32" s="70">
        <f t="shared" si="9"/>
        <v>0</v>
      </c>
      <c r="O32" s="68">
        <f>IF(D32="","",_xlfn.XLOOKUP(A32,'4'!A:A,'4'!D:D,IF($O$6=0,0,"ERROR")))</f>
        <v>0</v>
      </c>
      <c r="P32" s="69">
        <f t="shared" si="10"/>
        <v>0</v>
      </c>
      <c r="Q32" s="68">
        <f>IF(D32="","",_xlfn.XLOOKUP(A32,'5'!A:A,'5'!D:D,IF($Q$6=0,0,"ERROR")))</f>
        <v>0</v>
      </c>
      <c r="R32" s="70">
        <f t="shared" si="11"/>
        <v>0</v>
      </c>
      <c r="S32" s="68">
        <f>IF(D32="","",_xlfn.XLOOKUP(A32,'6'!A:A,'6'!D:D,IF($Q$6=0,0,"ERROR")))</f>
        <v>0</v>
      </c>
      <c r="T32" s="70">
        <f t="shared" si="12"/>
        <v>0</v>
      </c>
      <c r="U32" s="68">
        <f>IF(D32="","",_xlfn.XLOOKUP(A32,'7'!A:A,'7'!D:D,IF($U$6=0,0,"ERROR")))</f>
        <v>0</v>
      </c>
      <c r="V32" s="70">
        <f t="shared" si="13"/>
        <v>0</v>
      </c>
      <c r="W32" s="68">
        <f>IF(D32="","",_xlfn.XLOOKUP(A32,'8'!A:A,'8'!D:D,IF($U$6=0,0,"ERROR")))</f>
        <v>0</v>
      </c>
      <c r="X32" s="70">
        <f t="shared" si="3"/>
        <v>0</v>
      </c>
      <c r="Y32" s="68">
        <f>IF(D32="","",_xlfn.XLOOKUP(A32,'9'!A:A,'9'!D:D,IF($U$6=0,0,"ERROR")))</f>
        <v>0</v>
      </c>
      <c r="Z32" s="70">
        <f t="shared" si="14"/>
        <v>0</v>
      </c>
      <c r="AA32" s="68">
        <f>IF(D32="","",_xlfn.XLOOKUP(A32,'10'!A:A,'10'!D:D,IF($U$6=0,0,"ERROR")))</f>
        <v>0</v>
      </c>
      <c r="AB32" s="70">
        <f t="shared" si="15"/>
        <v>0</v>
      </c>
      <c r="AC32" s="68">
        <f>IF(D32="","",_xlfn.XLOOKUP(A32,'11'!A:A,'11'!D:D,IF($U$6=0,0,"ERROR")))</f>
        <v>6.3250000000000002</v>
      </c>
      <c r="AD32" s="70">
        <f t="shared" si="16"/>
        <v>9935.31</v>
      </c>
      <c r="AE32" s="68">
        <f>IF(D32="","",_xlfn.XLOOKUP(A32,'12'!A:A,'12'!D:D,IF($U$6=0,0,"ERROR")))</f>
        <v>0</v>
      </c>
      <c r="AF32" s="70">
        <f t="shared" si="17"/>
        <v>0</v>
      </c>
      <c r="AG32" s="68">
        <f>IF(D32="","",_xlfn.XLOOKUP(A32,'13'!A:A,'13'!D:D,IF($U$6=0,0,"ERROR")))</f>
        <v>0</v>
      </c>
      <c r="AH32" s="70">
        <f t="shared" si="18"/>
        <v>0</v>
      </c>
      <c r="AI32" s="106">
        <f>IF(D32="","",_xlfn.XLOOKUP(A32,'14'!A:A,'14'!D:D,IF($U$6=0,0,"ERROR")))</f>
        <v>0</v>
      </c>
      <c r="AJ32" s="99">
        <f t="shared" si="19"/>
        <v>0</v>
      </c>
      <c r="AK32" s="99"/>
      <c r="AL32" s="99"/>
      <c r="AM32" s="68">
        <f t="shared" si="20"/>
        <v>6.3250000000000002</v>
      </c>
      <c r="AN32" s="74">
        <f t="shared" si="21"/>
        <v>9935.31</v>
      </c>
      <c r="AO32" s="93" t="str">
        <f t="shared" si="22"/>
        <v>הכל טוב</v>
      </c>
      <c r="AP32" s="91"/>
      <c r="AR32" s="93"/>
    </row>
    <row r="33" spans="1:44" ht="41.4" x14ac:dyDescent="0.25">
      <c r="A33" s="9" t="s">
        <v>54</v>
      </c>
      <c r="B33" s="2" t="s">
        <v>55</v>
      </c>
      <c r="C33" s="3" t="s">
        <v>24</v>
      </c>
      <c r="D33" s="41">
        <v>1850</v>
      </c>
      <c r="E33" s="10">
        <f t="shared" si="4"/>
        <v>277.5</v>
      </c>
      <c r="F33" s="10">
        <f t="shared" si="5"/>
        <v>92.5</v>
      </c>
      <c r="G33" s="10">
        <f t="shared" si="6"/>
        <v>1651.125</v>
      </c>
      <c r="H33" s="67"/>
      <c r="I33" s="68"/>
      <c r="J33" s="74">
        <f t="shared" si="7"/>
        <v>0</v>
      </c>
      <c r="K33" s="68"/>
      <c r="L33" s="74">
        <f t="shared" si="8"/>
        <v>0</v>
      </c>
      <c r="M33" s="68">
        <f>IF(D33="","",_xlfn.XLOOKUP(A33,'3'!A:A,'3'!D:D,IF($M$6=0,0,"ERROR")))</f>
        <v>0</v>
      </c>
      <c r="N33" s="70">
        <f t="shared" si="9"/>
        <v>0</v>
      </c>
      <c r="O33" s="68">
        <f>IF(D33="","",_xlfn.XLOOKUP(A33,'4'!A:A,'4'!D:D,IF($O$6=0,0,"ERROR")))</f>
        <v>0</v>
      </c>
      <c r="P33" s="69">
        <f t="shared" si="10"/>
        <v>0</v>
      </c>
      <c r="Q33" s="68">
        <f>IF(D33="","",_xlfn.XLOOKUP(A33,'5'!A:A,'5'!D:D,IF($Q$6=0,0,"ERROR")))</f>
        <v>9.77</v>
      </c>
      <c r="R33" s="70">
        <f t="shared" si="11"/>
        <v>16131.491249999999</v>
      </c>
      <c r="S33" s="68">
        <f>IF(D33="","",_xlfn.XLOOKUP(A33,'6'!A:A,'6'!D:D,IF($Q$6=0,0,"ERROR")))</f>
        <v>7.88</v>
      </c>
      <c r="T33" s="70">
        <f t="shared" si="12"/>
        <v>13010.865</v>
      </c>
      <c r="U33" s="68">
        <f>IF(D33="","",_xlfn.XLOOKUP(A33,'7'!A:A,'7'!D:D,IF($U$6=0,0,"ERROR")))</f>
        <v>0</v>
      </c>
      <c r="V33" s="70">
        <f t="shared" si="13"/>
        <v>0</v>
      </c>
      <c r="W33" s="68">
        <f>IF(D33="","",_xlfn.XLOOKUP(A33,'8'!A:A,'8'!D:D,IF($U$6=0,0,"ERROR")))</f>
        <v>8.74</v>
      </c>
      <c r="X33" s="70">
        <f t="shared" si="3"/>
        <v>14430.8325</v>
      </c>
      <c r="Y33" s="68">
        <f>IF(D33="","",_xlfn.XLOOKUP(A33,'9'!A:A,'9'!D:D,IF($U$6=0,0,"ERROR")))</f>
        <v>6.83</v>
      </c>
      <c r="Z33" s="70">
        <f t="shared" si="14"/>
        <v>11277.18375</v>
      </c>
      <c r="AA33" s="68">
        <f>IF(D33="","",_xlfn.XLOOKUP(A33,'10'!A:A,'10'!D:D,IF($U$6=0,0,"ERROR")))</f>
        <v>0</v>
      </c>
      <c r="AB33" s="70">
        <f t="shared" si="15"/>
        <v>0</v>
      </c>
      <c r="AC33" s="68">
        <f>IF(D33="","",_xlfn.XLOOKUP(A33,'11'!A:A,'11'!D:D,IF($U$6=0,0,"ERROR")))</f>
        <v>0</v>
      </c>
      <c r="AD33" s="70">
        <f t="shared" si="16"/>
        <v>0</v>
      </c>
      <c r="AE33" s="68">
        <f>IF(D33="","",_xlfn.XLOOKUP(A33,'12'!A:A,'12'!D:D,IF($U$6=0,0,"ERROR")))</f>
        <v>0</v>
      </c>
      <c r="AF33" s="70">
        <f t="shared" si="17"/>
        <v>0</v>
      </c>
      <c r="AG33" s="68">
        <f>IF(D33="","",_xlfn.XLOOKUP(A33,'13'!A:A,'13'!D:D,IF($U$6=0,0,"ERROR")))</f>
        <v>6.9</v>
      </c>
      <c r="AH33" s="70">
        <f t="shared" si="18"/>
        <v>11392.762500000001</v>
      </c>
      <c r="AI33" s="106">
        <f>IF(D33="","",_xlfn.XLOOKUP(A33,'14'!A:A,'14'!D:D,IF($U$6=0,0,"ERROR")))</f>
        <v>7.54</v>
      </c>
      <c r="AJ33" s="99">
        <f t="shared" si="19"/>
        <v>12449.4825</v>
      </c>
      <c r="AK33" s="99"/>
      <c r="AL33" s="99"/>
      <c r="AM33" s="68">
        <f t="shared" si="20"/>
        <v>47.66</v>
      </c>
      <c r="AN33" s="74">
        <f t="shared" si="21"/>
        <v>78692.617499999993</v>
      </c>
      <c r="AO33" s="93" t="str">
        <f t="shared" si="22"/>
        <v>הכל טוב</v>
      </c>
      <c r="AP33" s="91"/>
      <c r="AR33" s="93"/>
    </row>
    <row r="34" spans="1:44" ht="41.4" hidden="1" x14ac:dyDescent="0.25">
      <c r="A34" s="9" t="s">
        <v>56</v>
      </c>
      <c r="B34" s="2" t="s">
        <v>57</v>
      </c>
      <c r="C34" s="3" t="s">
        <v>24</v>
      </c>
      <c r="D34" s="41">
        <v>1680</v>
      </c>
      <c r="E34" s="10">
        <f t="shared" si="4"/>
        <v>252</v>
      </c>
      <c r="F34" s="10">
        <f t="shared" si="5"/>
        <v>84</v>
      </c>
      <c r="G34" s="10">
        <f t="shared" si="6"/>
        <v>1499.3999999999999</v>
      </c>
      <c r="H34" s="67"/>
      <c r="I34" s="68"/>
      <c r="J34" s="74">
        <f t="shared" si="7"/>
        <v>0</v>
      </c>
      <c r="K34" s="68"/>
      <c r="L34" s="74">
        <f t="shared" si="8"/>
        <v>0</v>
      </c>
      <c r="M34" s="68">
        <f>IF(D34="","",_xlfn.XLOOKUP(A34,'3'!A:A,'3'!D:D,IF($M$6=0,0,"ERROR")))</f>
        <v>8.4708000000000006</v>
      </c>
      <c r="N34" s="70">
        <f t="shared" si="9"/>
        <v>12701.11752</v>
      </c>
      <c r="O34" s="68">
        <f>IF(D34="","",_xlfn.XLOOKUP(A34,'4'!A:A,'4'!D:D,IF($O$6=0,0,"ERROR")))</f>
        <v>0</v>
      </c>
      <c r="P34" s="69">
        <f t="shared" si="10"/>
        <v>0</v>
      </c>
      <c r="Q34" s="68">
        <f>IF(D34="","",_xlfn.XLOOKUP(A34,'5'!A:A,'5'!D:D,IF($Q$6=0,0,"ERROR")))</f>
        <v>0</v>
      </c>
      <c r="R34" s="70">
        <f t="shared" si="11"/>
        <v>0</v>
      </c>
      <c r="S34" s="68">
        <f>IF(D34="","",_xlfn.XLOOKUP(A34,'6'!A:A,'6'!D:D,IF($Q$6=0,0,"ERROR")))</f>
        <v>0</v>
      </c>
      <c r="T34" s="70">
        <f t="shared" si="12"/>
        <v>0</v>
      </c>
      <c r="U34" s="68">
        <f>IF(D34="","",_xlfn.XLOOKUP(A34,'7'!A:A,'7'!D:D,IF($U$6=0,0,"ERROR")))</f>
        <v>8.7360000000000007</v>
      </c>
      <c r="V34" s="70">
        <f t="shared" si="13"/>
        <v>13098.758400000001</v>
      </c>
      <c r="W34" s="68">
        <f>IF(D34="","",_xlfn.XLOOKUP(A34,'8'!A:A,'8'!D:D,IF($U$6=0,0,"ERROR")))</f>
        <v>0</v>
      </c>
      <c r="X34" s="70">
        <f t="shared" si="3"/>
        <v>0</v>
      </c>
      <c r="Y34" s="68">
        <f>IF(D34="","",_xlfn.XLOOKUP(A34,'9'!A:A,'9'!D:D,IF($U$6=0,0,"ERROR")))</f>
        <v>0</v>
      </c>
      <c r="Z34" s="70">
        <f t="shared" si="14"/>
        <v>0</v>
      </c>
      <c r="AA34" s="68">
        <f>IF(D34="","",_xlfn.XLOOKUP(A34,'10'!A:A,'10'!D:D,IF($U$6=0,0,"ERROR")))</f>
        <v>0</v>
      </c>
      <c r="AB34" s="70">
        <f t="shared" si="15"/>
        <v>0</v>
      </c>
      <c r="AC34" s="68">
        <f>IF(D34="","",_xlfn.XLOOKUP(A34,'11'!A:A,'11'!D:D,IF($U$6=0,0,"ERROR")))</f>
        <v>0</v>
      </c>
      <c r="AD34" s="70">
        <f t="shared" si="16"/>
        <v>0</v>
      </c>
      <c r="AE34" s="68">
        <f>IF(D34="","",_xlfn.XLOOKUP(A34,'12'!A:A,'12'!D:D,IF($U$6=0,0,"ERROR")))</f>
        <v>0</v>
      </c>
      <c r="AF34" s="70">
        <f t="shared" si="17"/>
        <v>0</v>
      </c>
      <c r="AG34" s="68">
        <f>IF(D34="","",_xlfn.XLOOKUP(A34,'13'!A:A,'13'!D:D,IF($U$6=0,0,"ERROR")))</f>
        <v>0</v>
      </c>
      <c r="AH34" s="70">
        <f t="shared" si="18"/>
        <v>0</v>
      </c>
      <c r="AI34" s="106">
        <f>IF(D34="","",_xlfn.XLOOKUP(A34,'14'!A:A,'14'!D:D,IF($U$6=0,0,"ERROR")))</f>
        <v>0</v>
      </c>
      <c r="AJ34" s="99">
        <f t="shared" si="19"/>
        <v>0</v>
      </c>
      <c r="AK34" s="99"/>
      <c r="AL34" s="99"/>
      <c r="AM34" s="68">
        <f t="shared" si="20"/>
        <v>17.206800000000001</v>
      </c>
      <c r="AN34" s="74">
        <f t="shared" si="21"/>
        <v>25799.875919999999</v>
      </c>
      <c r="AO34" s="93" t="str">
        <f t="shared" si="22"/>
        <v>הכל טוב</v>
      </c>
      <c r="AP34" s="91"/>
      <c r="AR34" s="93"/>
    </row>
    <row r="35" spans="1:44" ht="15.6" x14ac:dyDescent="0.3">
      <c r="A35" s="5" t="s">
        <v>58</v>
      </c>
      <c r="B35" s="6" t="s">
        <v>59</v>
      </c>
      <c r="C35" s="7" t="s">
        <v>3</v>
      </c>
      <c r="D35" s="41" t="s">
        <v>3</v>
      </c>
      <c r="E35" s="10" t="str">
        <f t="shared" si="4"/>
        <v/>
      </c>
      <c r="F35" s="10" t="str">
        <f t="shared" si="5"/>
        <v/>
      </c>
      <c r="G35" s="10" t="str">
        <f t="shared" si="6"/>
        <v/>
      </c>
      <c r="H35" s="67"/>
      <c r="I35" s="68"/>
      <c r="J35" s="74" t="str">
        <f t="shared" si="7"/>
        <v/>
      </c>
      <c r="K35" s="68"/>
      <c r="L35" s="74" t="str">
        <f t="shared" si="8"/>
        <v/>
      </c>
      <c r="M35" s="68" t="str">
        <f>IF(D35="","",_xlfn.XLOOKUP(A35,'3'!A:A,'3'!D:D,IF($M$6=0,0,"ERROR")))</f>
        <v/>
      </c>
      <c r="N35" s="70" t="str">
        <f t="shared" si="9"/>
        <v/>
      </c>
      <c r="O35" s="68" t="str">
        <f>IF(D35="","",_xlfn.XLOOKUP(A35,'4'!A:A,'4'!D:D,IF($O$6=0,0,"ERROR")))</f>
        <v/>
      </c>
      <c r="P35" s="69" t="str">
        <f t="shared" si="10"/>
        <v/>
      </c>
      <c r="Q35" s="68" t="str">
        <f>IF(D35="","",_xlfn.XLOOKUP(A35,'5'!A:A,'5'!D:D,IF($Q$6=0,0,"ERROR")))</f>
        <v/>
      </c>
      <c r="R35" s="70" t="str">
        <f t="shared" si="11"/>
        <v/>
      </c>
      <c r="S35" s="68" t="str">
        <f>IF(D35="","",_xlfn.XLOOKUP(A35,'6'!A:A,'6'!D:D,IF($Q$6=0,0,"ERROR")))</f>
        <v/>
      </c>
      <c r="T35" s="70" t="str">
        <f t="shared" si="12"/>
        <v/>
      </c>
      <c r="U35" s="68" t="str">
        <f>IF(D35="","",_xlfn.XLOOKUP(A35,'7'!A:A,'7'!D:D,IF($U$6=0,0,"ERROR")))</f>
        <v/>
      </c>
      <c r="V35" s="70" t="str">
        <f t="shared" si="13"/>
        <v/>
      </c>
      <c r="W35" s="68" t="str">
        <f>IF(D35="","",_xlfn.XLOOKUP(A35,'8'!A:A,'8'!D:D,IF($U$6=0,0,"ERROR")))</f>
        <v/>
      </c>
      <c r="X35" s="70" t="str">
        <f t="shared" si="3"/>
        <v/>
      </c>
      <c r="Y35" s="68" t="str">
        <f>IF(D35="","",_xlfn.XLOOKUP(A35,'9'!A:A,'9'!D:D,IF($U$6=0,0,"ERROR")))</f>
        <v/>
      </c>
      <c r="Z35" s="70" t="str">
        <f t="shared" si="14"/>
        <v/>
      </c>
      <c r="AA35" s="68" t="str">
        <f>IF(D35="","",_xlfn.XLOOKUP(A35,'10'!A:A,'10'!D:D,IF($U$6=0,0,"ERROR")))</f>
        <v/>
      </c>
      <c r="AB35" s="70" t="str">
        <f t="shared" si="15"/>
        <v/>
      </c>
      <c r="AC35" s="68" t="str">
        <f>IF(D35="","",_xlfn.XLOOKUP(A35,'11'!A:A,'11'!D:D,IF($U$6=0,0,"ERROR")))</f>
        <v/>
      </c>
      <c r="AD35" s="70" t="str">
        <f t="shared" si="16"/>
        <v/>
      </c>
      <c r="AE35" s="68" t="str">
        <f>IF(D35="","",_xlfn.XLOOKUP(A35,'12'!A:A,'12'!D:D,IF($U$6=0,0,"ERROR")))</f>
        <v/>
      </c>
      <c r="AF35" s="70" t="str">
        <f t="shared" si="17"/>
        <v/>
      </c>
      <c r="AG35" s="68" t="str">
        <f>IF(D35="","",_xlfn.XLOOKUP(A35,'13'!A:A,'13'!D:D,IF($U$6=0,0,"ERROR")))</f>
        <v/>
      </c>
      <c r="AH35" s="70" t="str">
        <f t="shared" si="18"/>
        <v/>
      </c>
      <c r="AI35" s="106" t="str">
        <f>IF(D35="","",_xlfn.XLOOKUP(A35,'14'!A:A,'14'!D:D,IF($U$6=0,0,"ERROR")))</f>
        <v/>
      </c>
      <c r="AJ35" s="99" t="str">
        <f t="shared" si="19"/>
        <v/>
      </c>
      <c r="AK35" s="99"/>
      <c r="AL35" s="99"/>
      <c r="AM35" s="68" t="str">
        <f t="shared" si="20"/>
        <v/>
      </c>
      <c r="AN35" s="74" t="str">
        <f t="shared" si="21"/>
        <v/>
      </c>
      <c r="AO35" s="93" t="str">
        <f t="shared" si="22"/>
        <v/>
      </c>
      <c r="AP35" s="91"/>
      <c r="AR35" s="93"/>
    </row>
    <row r="36" spans="1:44" ht="31.2" x14ac:dyDescent="0.3">
      <c r="A36" s="5" t="s">
        <v>171</v>
      </c>
      <c r="B36" s="6" t="s">
        <v>172</v>
      </c>
      <c r="C36" s="7" t="s">
        <v>24</v>
      </c>
      <c r="D36" s="41">
        <v>2850</v>
      </c>
      <c r="E36" s="10">
        <f t="shared" si="4"/>
        <v>427.5</v>
      </c>
      <c r="F36" s="10">
        <f t="shared" si="5"/>
        <v>142.5</v>
      </c>
      <c r="G36" s="10">
        <f t="shared" si="6"/>
        <v>2543.625</v>
      </c>
      <c r="H36" s="67"/>
      <c r="I36" s="68"/>
      <c r="J36" s="74"/>
      <c r="K36" s="68"/>
      <c r="L36" s="74"/>
      <c r="M36" s="68">
        <f>IF(D36="","",_xlfn.XLOOKUP(A36,'3'!A:A,'3'!D:D,IF($M$6=0,0,"ERROR")))</f>
        <v>0</v>
      </c>
      <c r="N36" s="70"/>
      <c r="O36" s="68">
        <f>IF(D36="","",_xlfn.XLOOKUP(A36,'4'!A:A,'4'!D:D,IF($O$6=0,0,"ERROR")))</f>
        <v>0</v>
      </c>
      <c r="P36" s="69">
        <f t="shared" si="10"/>
        <v>0</v>
      </c>
      <c r="Q36" s="68">
        <f>IF(D36="","",_xlfn.XLOOKUP(A36,'5'!A:A,'5'!D:D,IF($Q$6=0,0,"ERROR")))</f>
        <v>0</v>
      </c>
      <c r="R36" s="70">
        <f t="shared" si="11"/>
        <v>0</v>
      </c>
      <c r="S36" s="68">
        <f>IF(D36="","",_xlfn.XLOOKUP(A36,'6'!A:A,'6'!D:D,IF($Q$6=0,0,"ERROR")))</f>
        <v>0</v>
      </c>
      <c r="T36" s="70">
        <f t="shared" si="12"/>
        <v>0</v>
      </c>
      <c r="U36" s="68">
        <f>IF(D36="","",_xlfn.XLOOKUP(A36,'7'!A:A,'7'!D:D,IF($U$6=0,0,"ERROR")))</f>
        <v>0</v>
      </c>
      <c r="V36" s="70">
        <f t="shared" si="13"/>
        <v>0</v>
      </c>
      <c r="W36" s="68">
        <f>IF(D36="","",_xlfn.XLOOKUP(A36,'8'!A:A,'8'!D:D,IF($U$6=0,0,"ERROR")))</f>
        <v>0</v>
      </c>
      <c r="X36" s="70">
        <f t="shared" si="3"/>
        <v>0</v>
      </c>
      <c r="Y36" s="68">
        <f>IF(D36="","",_xlfn.XLOOKUP(A36,'9'!A:A,'9'!D:D,IF($U$6=0,0,"ERROR")))</f>
        <v>0</v>
      </c>
      <c r="Z36" s="70">
        <f t="shared" si="14"/>
        <v>0</v>
      </c>
      <c r="AA36" s="68">
        <f>IF(D36="","",_xlfn.XLOOKUP(A36,'10'!A:A,'10'!D:D,IF($U$6=0,0,"ERROR")))</f>
        <v>0</v>
      </c>
      <c r="AB36" s="70">
        <f t="shared" si="15"/>
        <v>0</v>
      </c>
      <c r="AC36" s="68">
        <f>IF(D36="","",_xlfn.XLOOKUP(A36,'11'!A:A,'11'!D:D,IF($U$6=0,0,"ERROR")))</f>
        <v>0</v>
      </c>
      <c r="AD36" s="70">
        <f t="shared" si="16"/>
        <v>0</v>
      </c>
      <c r="AE36" s="68">
        <f>IF(D36="","",_xlfn.XLOOKUP(A36,'12'!A:A,'12'!D:D,IF($U$6=0,0,"ERROR")))</f>
        <v>0</v>
      </c>
      <c r="AF36" s="70">
        <f t="shared" si="17"/>
        <v>0</v>
      </c>
      <c r="AG36" s="68">
        <f>IF(D36="","",_xlfn.XLOOKUP(A36,'13'!A:A,'13'!D:D,IF($U$6=0,0,"ERROR")))</f>
        <v>0</v>
      </c>
      <c r="AH36" s="70">
        <f t="shared" si="18"/>
        <v>0</v>
      </c>
      <c r="AI36" s="106">
        <f>IF(D36="","",_xlfn.XLOOKUP(A36,'14'!A:A,'14'!D:D,IF($U$6=0,0,"ERROR")))</f>
        <v>0</v>
      </c>
      <c r="AJ36" s="99">
        <f t="shared" si="19"/>
        <v>0</v>
      </c>
      <c r="AK36" s="99"/>
      <c r="AL36" s="99"/>
      <c r="AM36" s="68">
        <f t="shared" si="20"/>
        <v>0</v>
      </c>
      <c r="AN36" s="74">
        <f t="shared" si="21"/>
        <v>0</v>
      </c>
      <c r="AO36" s="93" t="str">
        <f t="shared" si="22"/>
        <v>הכל טוב</v>
      </c>
      <c r="AP36" s="91"/>
      <c r="AR36" s="93"/>
    </row>
    <row r="37" spans="1:44" ht="41.4" x14ac:dyDescent="0.25">
      <c r="A37" s="9" t="s">
        <v>60</v>
      </c>
      <c r="B37" s="2" t="s">
        <v>61</v>
      </c>
      <c r="C37" s="3" t="s">
        <v>24</v>
      </c>
      <c r="D37" s="41">
        <v>2300</v>
      </c>
      <c r="E37" s="10">
        <f t="shared" si="4"/>
        <v>345</v>
      </c>
      <c r="F37" s="10">
        <f t="shared" si="5"/>
        <v>115</v>
      </c>
      <c r="G37" s="10">
        <f t="shared" si="6"/>
        <v>2052.75</v>
      </c>
      <c r="H37" s="67"/>
      <c r="I37" s="68"/>
      <c r="J37" s="74">
        <f t="shared" si="7"/>
        <v>0</v>
      </c>
      <c r="K37" s="68"/>
      <c r="L37" s="74">
        <f t="shared" si="8"/>
        <v>0</v>
      </c>
      <c r="M37" s="68">
        <f>IF(D37="","",_xlfn.XLOOKUP(A37,'3'!A:A,'3'!D:D,IF($M$6=0,0,"ERROR")))</f>
        <v>0</v>
      </c>
      <c r="N37" s="70">
        <f t="shared" si="9"/>
        <v>0</v>
      </c>
      <c r="O37" s="68">
        <f>IF(D37="","",_xlfn.XLOOKUP(A37,'4'!A:A,'4'!D:D,IF($O$6=0,0,"ERROR")))</f>
        <v>0</v>
      </c>
      <c r="P37" s="69">
        <f t="shared" si="10"/>
        <v>0</v>
      </c>
      <c r="Q37" s="68">
        <f>IF(D37="","",_xlfn.XLOOKUP(A37,'5'!A:A,'5'!D:D,IF($Q$6=0,0,"ERROR")))</f>
        <v>0</v>
      </c>
      <c r="R37" s="70">
        <f t="shared" si="11"/>
        <v>0</v>
      </c>
      <c r="S37" s="68">
        <f>IF(D37="","",_xlfn.XLOOKUP(A37,'6'!A:A,'6'!D:D,IF($Q$6=0,0,"ERROR")))</f>
        <v>0</v>
      </c>
      <c r="T37" s="70">
        <f t="shared" si="12"/>
        <v>0</v>
      </c>
      <c r="U37" s="68">
        <f>IF(D37="","",_xlfn.XLOOKUP(A37,'7'!A:A,'7'!D:D,IF($U$6=0,0,"ERROR")))</f>
        <v>1.5</v>
      </c>
      <c r="V37" s="70">
        <f t="shared" si="13"/>
        <v>3079.125</v>
      </c>
      <c r="W37" s="68">
        <f>IF(D37="","",_xlfn.XLOOKUP(A37,'8'!A:A,'8'!D:D,IF($U$6=0,0,"ERROR")))</f>
        <v>0</v>
      </c>
      <c r="X37" s="70">
        <f t="shared" si="3"/>
        <v>0</v>
      </c>
      <c r="Y37" s="68">
        <f>IF(D37="","",_xlfn.XLOOKUP(A37,'9'!A:A,'9'!D:D,IF($U$6=0,0,"ERROR")))</f>
        <v>0</v>
      </c>
      <c r="Z37" s="70">
        <f t="shared" si="14"/>
        <v>0</v>
      </c>
      <c r="AA37" s="68">
        <f>IF(D37="","",_xlfn.XLOOKUP(A37,'10'!A:A,'10'!D:D,IF($U$6=0,0,"ERROR")))</f>
        <v>0</v>
      </c>
      <c r="AB37" s="70">
        <f t="shared" si="15"/>
        <v>0</v>
      </c>
      <c r="AC37" s="68">
        <f>IF(D37="","",_xlfn.XLOOKUP(A37,'11'!A:A,'11'!D:D,IF($U$6=0,0,"ERROR")))</f>
        <v>0</v>
      </c>
      <c r="AD37" s="70">
        <f t="shared" si="16"/>
        <v>0</v>
      </c>
      <c r="AE37" s="68">
        <f>IF(D37="","",_xlfn.XLOOKUP(A37,'12'!A:A,'12'!D:D,IF($U$6=0,0,"ERROR")))</f>
        <v>0</v>
      </c>
      <c r="AF37" s="70">
        <f t="shared" si="17"/>
        <v>0</v>
      </c>
      <c r="AG37" s="68">
        <f>IF(D37="","",_xlfn.XLOOKUP(A37,'13'!A:A,'13'!D:D,IF($U$6=0,0,"ERROR")))</f>
        <v>0</v>
      </c>
      <c r="AH37" s="70">
        <f t="shared" si="18"/>
        <v>0</v>
      </c>
      <c r="AI37" s="106">
        <f>IF(D37="","",_xlfn.XLOOKUP(A37,'14'!A:A,'14'!D:D,IF($U$6=0,0,"ERROR")))</f>
        <v>0</v>
      </c>
      <c r="AJ37" s="99">
        <f t="shared" si="19"/>
        <v>0</v>
      </c>
      <c r="AK37" s="99"/>
      <c r="AL37" s="99"/>
      <c r="AM37" s="68">
        <f t="shared" si="20"/>
        <v>1.5</v>
      </c>
      <c r="AN37" s="74">
        <f t="shared" si="21"/>
        <v>3079.125</v>
      </c>
      <c r="AO37" s="93" t="str">
        <f t="shared" si="22"/>
        <v>הכל טוב</v>
      </c>
      <c r="AP37" s="91"/>
      <c r="AR37" s="93"/>
    </row>
    <row r="38" spans="1:44" ht="41.4" hidden="1" x14ac:dyDescent="0.25">
      <c r="A38" s="9" t="s">
        <v>62</v>
      </c>
      <c r="B38" s="2" t="s">
        <v>63</v>
      </c>
      <c r="C38" s="3" t="s">
        <v>24</v>
      </c>
      <c r="D38" s="41">
        <v>3250</v>
      </c>
      <c r="E38" s="10">
        <f t="shared" si="4"/>
        <v>487.5</v>
      </c>
      <c r="F38" s="10">
        <f t="shared" si="5"/>
        <v>162.5</v>
      </c>
      <c r="G38" s="10">
        <f t="shared" si="6"/>
        <v>2900.625</v>
      </c>
      <c r="H38" s="67"/>
      <c r="I38" s="68"/>
      <c r="J38" s="74">
        <f t="shared" si="7"/>
        <v>0</v>
      </c>
      <c r="K38" s="68"/>
      <c r="L38" s="74">
        <f t="shared" si="8"/>
        <v>0</v>
      </c>
      <c r="M38" s="68">
        <f>IF(D38="","",_xlfn.XLOOKUP(A38,'3'!A:A,'3'!D:D,IF($M$6=0,0,"ERROR")))</f>
        <v>0</v>
      </c>
      <c r="N38" s="70">
        <f t="shared" si="9"/>
        <v>0</v>
      </c>
      <c r="O38" s="68">
        <f>IF(D38="","",_xlfn.XLOOKUP(A38,'4'!A:A,'4'!D:D,IF($O$6=0,0,"ERROR")))</f>
        <v>0</v>
      </c>
      <c r="P38" s="69">
        <f t="shared" si="10"/>
        <v>0</v>
      </c>
      <c r="Q38" s="68">
        <f>IF(D38="","",_xlfn.XLOOKUP(A38,'5'!A:A,'5'!D:D,IF($Q$6=0,0,"ERROR")))</f>
        <v>0</v>
      </c>
      <c r="R38" s="70">
        <f t="shared" si="11"/>
        <v>0</v>
      </c>
      <c r="S38" s="68">
        <f>IF(D38="","",_xlfn.XLOOKUP(A38,'6'!A:A,'6'!D:D,IF($Q$6=0,0,"ERROR")))</f>
        <v>0</v>
      </c>
      <c r="T38" s="70">
        <f t="shared" si="12"/>
        <v>0</v>
      </c>
      <c r="U38" s="68">
        <f>IF(D38="","",_xlfn.XLOOKUP(A38,'7'!A:A,'7'!D:D,IF($U$6=0,0,"ERROR")))</f>
        <v>0</v>
      </c>
      <c r="V38" s="70">
        <f t="shared" si="13"/>
        <v>0</v>
      </c>
      <c r="W38" s="68">
        <f>IF(D38="","",_xlfn.XLOOKUP(A38,'8'!A:A,'8'!D:D,IF($U$6=0,0,"ERROR")))</f>
        <v>0</v>
      </c>
      <c r="X38" s="70">
        <f t="shared" si="3"/>
        <v>0</v>
      </c>
      <c r="Y38" s="68">
        <f>IF(D38="","",_xlfn.XLOOKUP(A38,'9'!A:A,'9'!D:D,IF($U$6=0,0,"ERROR")))</f>
        <v>0</v>
      </c>
      <c r="Z38" s="70">
        <f t="shared" si="14"/>
        <v>0</v>
      </c>
      <c r="AA38" s="68">
        <f>IF(D38="","",_xlfn.XLOOKUP(A38,'10'!A:A,'10'!D:D,IF($U$6=0,0,"ERROR")))</f>
        <v>0</v>
      </c>
      <c r="AB38" s="70">
        <f t="shared" si="15"/>
        <v>0</v>
      </c>
      <c r="AC38" s="68">
        <f>IF(D38="","",_xlfn.XLOOKUP(A38,'11'!A:A,'11'!D:D,IF($U$6=0,0,"ERROR")))</f>
        <v>0</v>
      </c>
      <c r="AD38" s="70">
        <f t="shared" si="16"/>
        <v>0</v>
      </c>
      <c r="AE38" s="68">
        <f>IF(D38="","",_xlfn.XLOOKUP(A38,'12'!A:A,'12'!D:D,IF($U$6=0,0,"ERROR")))</f>
        <v>0</v>
      </c>
      <c r="AF38" s="70">
        <f t="shared" si="17"/>
        <v>0</v>
      </c>
      <c r="AG38" s="68">
        <f>IF(D38="","",_xlfn.XLOOKUP(A38,'13'!A:A,'13'!D:D,IF($U$6=0,0,"ERROR")))</f>
        <v>0</v>
      </c>
      <c r="AH38" s="70">
        <f t="shared" si="18"/>
        <v>0</v>
      </c>
      <c r="AI38" s="106">
        <f>IF(D38="","",_xlfn.XLOOKUP(A38,'14'!A:A,'14'!D:D,IF($U$6=0,0,"ERROR")))</f>
        <v>0</v>
      </c>
      <c r="AJ38" s="99">
        <f t="shared" si="19"/>
        <v>0</v>
      </c>
      <c r="AK38" s="99"/>
      <c r="AL38" s="99"/>
      <c r="AM38" s="68">
        <f t="shared" si="20"/>
        <v>0</v>
      </c>
      <c r="AN38" s="74">
        <f t="shared" si="21"/>
        <v>0</v>
      </c>
      <c r="AO38" s="93" t="str">
        <f t="shared" si="22"/>
        <v>הכל טוב</v>
      </c>
      <c r="AP38" s="91"/>
      <c r="AR38" s="93"/>
    </row>
    <row r="39" spans="1:44" ht="15.6" x14ac:dyDescent="0.3">
      <c r="A39" s="5" t="s">
        <v>64</v>
      </c>
      <c r="B39" s="6" t="s">
        <v>65</v>
      </c>
      <c r="C39" s="7" t="s">
        <v>3</v>
      </c>
      <c r="D39" s="41" t="s">
        <v>3</v>
      </c>
      <c r="E39" s="10" t="str">
        <f t="shared" si="4"/>
        <v/>
      </c>
      <c r="F39" s="10" t="str">
        <f t="shared" si="5"/>
        <v/>
      </c>
      <c r="G39" s="10" t="str">
        <f t="shared" si="6"/>
        <v/>
      </c>
      <c r="H39" s="67"/>
      <c r="I39" s="68"/>
      <c r="J39" s="74" t="str">
        <f t="shared" si="7"/>
        <v/>
      </c>
      <c r="K39" s="68"/>
      <c r="L39" s="74" t="str">
        <f t="shared" si="8"/>
        <v/>
      </c>
      <c r="M39" s="68" t="str">
        <f>IF(D39="","",_xlfn.XLOOKUP(A39,'3'!A:A,'3'!D:D,IF($M$6=0,0,"ERROR")))</f>
        <v/>
      </c>
      <c r="N39" s="70" t="str">
        <f t="shared" si="9"/>
        <v/>
      </c>
      <c r="O39" s="68" t="str">
        <f>IF(D39="","",_xlfn.XLOOKUP(A39,'4'!A:A,'4'!D:D,IF($O$6=0,0,"ERROR")))</f>
        <v/>
      </c>
      <c r="P39" s="69" t="str">
        <f t="shared" si="10"/>
        <v/>
      </c>
      <c r="Q39" s="68" t="str">
        <f>IF(D39="","",_xlfn.XLOOKUP(A39,'5'!A:A,'5'!D:D,IF($Q$6=0,0,"ERROR")))</f>
        <v/>
      </c>
      <c r="R39" s="70" t="str">
        <f t="shared" si="11"/>
        <v/>
      </c>
      <c r="S39" s="68" t="str">
        <f>IF(D39="","",_xlfn.XLOOKUP(A39,'6'!A:A,'6'!D:D,IF($Q$6=0,0,"ERROR")))</f>
        <v/>
      </c>
      <c r="T39" s="70" t="str">
        <f t="shared" si="12"/>
        <v/>
      </c>
      <c r="U39" s="68" t="str">
        <f>IF(D39="","",_xlfn.XLOOKUP(A39,'7'!A:A,'7'!D:D,IF($U$6=0,0,"ERROR")))</f>
        <v/>
      </c>
      <c r="V39" s="70" t="str">
        <f t="shared" si="13"/>
        <v/>
      </c>
      <c r="W39" s="68" t="str">
        <f>IF(D39="","",_xlfn.XLOOKUP(A39,'8'!A:A,'8'!D:D,IF($U$6=0,0,"ERROR")))</f>
        <v/>
      </c>
      <c r="X39" s="70" t="str">
        <f t="shared" si="3"/>
        <v/>
      </c>
      <c r="Y39" s="68" t="str">
        <f>IF(D39="","",_xlfn.XLOOKUP(A39,'9'!A:A,'9'!D:D,IF($U$6=0,0,"ERROR")))</f>
        <v/>
      </c>
      <c r="Z39" s="70" t="str">
        <f t="shared" si="14"/>
        <v/>
      </c>
      <c r="AA39" s="68" t="str">
        <f>IF(D39="","",_xlfn.XLOOKUP(A39,'10'!A:A,'10'!D:D,IF($U$6=0,0,"ERROR")))</f>
        <v/>
      </c>
      <c r="AB39" s="70" t="str">
        <f t="shared" si="15"/>
        <v/>
      </c>
      <c r="AC39" s="68" t="str">
        <f>IF(D39="","",_xlfn.XLOOKUP(A39,'11'!A:A,'11'!D:D,IF($U$6=0,0,"ERROR")))</f>
        <v/>
      </c>
      <c r="AD39" s="70" t="str">
        <f t="shared" si="16"/>
        <v/>
      </c>
      <c r="AE39" s="68" t="str">
        <f>IF(D39="","",_xlfn.XLOOKUP(A39,'12'!A:A,'12'!D:D,IF($U$6=0,0,"ERROR")))</f>
        <v/>
      </c>
      <c r="AF39" s="70" t="str">
        <f t="shared" si="17"/>
        <v/>
      </c>
      <c r="AG39" s="68" t="str">
        <f>IF(D39="","",_xlfn.XLOOKUP(A39,'13'!A:A,'13'!D:D,IF($U$6=0,0,"ERROR")))</f>
        <v/>
      </c>
      <c r="AH39" s="70" t="str">
        <f t="shared" si="18"/>
        <v/>
      </c>
      <c r="AI39" s="106" t="str">
        <f>IF(D39="","",_xlfn.XLOOKUP(A39,'14'!A:A,'14'!D:D,IF($U$6=0,0,"ERROR")))</f>
        <v/>
      </c>
      <c r="AJ39" s="99" t="str">
        <f t="shared" si="19"/>
        <v/>
      </c>
      <c r="AK39" s="99"/>
      <c r="AL39" s="99"/>
      <c r="AM39" s="68" t="str">
        <f t="shared" si="20"/>
        <v/>
      </c>
      <c r="AN39" s="74" t="str">
        <f t="shared" si="21"/>
        <v/>
      </c>
      <c r="AO39" s="93" t="str">
        <f t="shared" si="22"/>
        <v/>
      </c>
      <c r="AP39" s="91"/>
      <c r="AR39" s="93"/>
    </row>
    <row r="40" spans="1:44" x14ac:dyDescent="0.25">
      <c r="A40" s="9" t="s">
        <v>66</v>
      </c>
      <c r="B40" s="2" t="s">
        <v>67</v>
      </c>
      <c r="C40" s="3" t="s">
        <v>24</v>
      </c>
      <c r="D40" s="41">
        <v>88</v>
      </c>
      <c r="E40" s="10">
        <f t="shared" si="4"/>
        <v>13.2</v>
      </c>
      <c r="F40" s="10">
        <f t="shared" si="5"/>
        <v>4.4000000000000004</v>
      </c>
      <c r="G40" s="10">
        <f t="shared" si="6"/>
        <v>78.540000000000006</v>
      </c>
      <c r="H40" s="67"/>
      <c r="I40" s="68"/>
      <c r="J40" s="74">
        <f t="shared" si="7"/>
        <v>0</v>
      </c>
      <c r="K40" s="68"/>
      <c r="L40" s="74">
        <f t="shared" si="8"/>
        <v>0</v>
      </c>
      <c r="M40" s="68">
        <f>IF(D40="","",_xlfn.XLOOKUP(A40,'3'!A:A,'3'!D:D,IF($M$6=0,0,"ERROR")))</f>
        <v>8.4708000000000006</v>
      </c>
      <c r="N40" s="70">
        <f t="shared" si="9"/>
        <v>665.29663200000005</v>
      </c>
      <c r="O40" s="68">
        <f>IF(D40="","",_xlfn.XLOOKUP(A40,'4'!A:A,'4'!D:D,IF($O$6=0,0,"ERROR")))</f>
        <v>0</v>
      </c>
      <c r="P40" s="69">
        <f t="shared" si="10"/>
        <v>0</v>
      </c>
      <c r="Q40" s="68">
        <f>IF(D40="","",_xlfn.XLOOKUP(A40,'5'!A:A,'5'!D:D,IF($Q$6=0,0,"ERROR")))</f>
        <v>9.77</v>
      </c>
      <c r="R40" s="70">
        <f t="shared" si="11"/>
        <v>767.33580000000006</v>
      </c>
      <c r="S40" s="68">
        <f>IF(D40="","",_xlfn.XLOOKUP(A40,'6'!A:A,'6'!D:D,IF($Q$6=0,0,"ERROR")))</f>
        <v>7.88</v>
      </c>
      <c r="T40" s="70">
        <f t="shared" si="12"/>
        <v>618.89520000000005</v>
      </c>
      <c r="U40" s="68">
        <f>IF(D40="","",_xlfn.XLOOKUP(A40,'7'!A:A,'7'!D:D,IF($U$6=0,0,"ERROR")))</f>
        <v>10.236000000000001</v>
      </c>
      <c r="V40" s="70">
        <f t="shared" si="13"/>
        <v>803.93544000000009</v>
      </c>
      <c r="W40" s="68">
        <f>IF(D40="","",_xlfn.XLOOKUP(A40,'8'!A:A,'8'!D:D,IF($U$6=0,0,"ERROR")))</f>
        <v>8.74</v>
      </c>
      <c r="X40" s="70">
        <f t="shared" si="3"/>
        <v>686.43960000000004</v>
      </c>
      <c r="Y40" s="68">
        <f>IF(D40="","",_xlfn.XLOOKUP(A40,'9'!A:A,'9'!D:D,IF($U$6=0,0,"ERROR")))</f>
        <v>6.83</v>
      </c>
      <c r="Z40" s="70">
        <f t="shared" si="14"/>
        <v>536.42820000000006</v>
      </c>
      <c r="AA40" s="68">
        <f>IF(D40="","",_xlfn.XLOOKUP(A40,'10'!A:A,'10'!D:D,IF($U$6=0,0,"ERROR")))</f>
        <v>0</v>
      </c>
      <c r="AB40" s="70">
        <f t="shared" si="15"/>
        <v>0</v>
      </c>
      <c r="AC40" s="68">
        <f>IF(D40="","",_xlfn.XLOOKUP(A40,'11'!A:A,'11'!D:D,IF($U$6=0,0,"ERROR")))</f>
        <v>6.33</v>
      </c>
      <c r="AD40" s="70">
        <f t="shared" si="16"/>
        <v>497.15820000000002</v>
      </c>
      <c r="AE40" s="68">
        <f>IF(D40="","",_xlfn.XLOOKUP(A40,'12'!A:A,'12'!D:D,IF($U$6=0,0,"ERROR")))</f>
        <v>0</v>
      </c>
      <c r="AF40" s="70">
        <f t="shared" si="17"/>
        <v>0</v>
      </c>
      <c r="AG40" s="68">
        <f>IF(D40="","",_xlfn.XLOOKUP(A40,'13'!A:A,'13'!D:D,IF($U$6=0,0,"ERROR")))</f>
        <v>6.9</v>
      </c>
      <c r="AH40" s="70">
        <f t="shared" si="18"/>
        <v>541.92600000000004</v>
      </c>
      <c r="AI40" s="106">
        <f>IF(D40="","",_xlfn.XLOOKUP(A40,'14'!A:A,'14'!D:D,IF($U$6=0,0,"ERROR")))</f>
        <v>0</v>
      </c>
      <c r="AJ40" s="99">
        <f t="shared" si="19"/>
        <v>0</v>
      </c>
      <c r="AK40" s="99"/>
      <c r="AL40" s="99"/>
      <c r="AM40" s="68">
        <f t="shared" si="20"/>
        <v>65.156800000000004</v>
      </c>
      <c r="AN40" s="74">
        <f t="shared" si="21"/>
        <v>5117.4150720000007</v>
      </c>
      <c r="AO40" s="93" t="str">
        <f t="shared" si="22"/>
        <v>הכל טוב</v>
      </c>
      <c r="AP40" s="91"/>
      <c r="AR40" s="93"/>
    </row>
    <row r="41" spans="1:44" ht="31.2" x14ac:dyDescent="0.3">
      <c r="A41" s="5" t="s">
        <v>68</v>
      </c>
      <c r="B41" s="6" t="s">
        <v>69</v>
      </c>
      <c r="C41" s="7" t="s">
        <v>3</v>
      </c>
      <c r="D41" s="41" t="s">
        <v>3</v>
      </c>
      <c r="E41" s="10" t="str">
        <f t="shared" si="4"/>
        <v/>
      </c>
      <c r="F41" s="10" t="str">
        <f t="shared" si="5"/>
        <v/>
      </c>
      <c r="G41" s="10" t="str">
        <f t="shared" si="6"/>
        <v/>
      </c>
      <c r="H41" s="67"/>
      <c r="I41" s="68"/>
      <c r="J41" s="74" t="str">
        <f t="shared" si="7"/>
        <v/>
      </c>
      <c r="K41" s="68"/>
      <c r="L41" s="74" t="str">
        <f t="shared" si="8"/>
        <v/>
      </c>
      <c r="M41" s="68" t="str">
        <f>IF(D41="","",_xlfn.XLOOKUP(A41,'3'!A:A,'3'!D:D,IF($M$6=0,0,"ERROR")))</f>
        <v/>
      </c>
      <c r="N41" s="70" t="str">
        <f t="shared" si="9"/>
        <v/>
      </c>
      <c r="O41" s="68" t="str">
        <f>IF(D41="","",_xlfn.XLOOKUP(A41,'4'!A:A,'4'!D:D,IF($O$6=0,0,"ERROR")))</f>
        <v/>
      </c>
      <c r="P41" s="69" t="str">
        <f t="shared" si="10"/>
        <v/>
      </c>
      <c r="Q41" s="68" t="str">
        <f>IF(D41="","",_xlfn.XLOOKUP(A41,'5'!A:A,'5'!D:D,IF($Q$6=0,0,"ERROR")))</f>
        <v/>
      </c>
      <c r="R41" s="70" t="str">
        <f t="shared" si="11"/>
        <v/>
      </c>
      <c r="S41" s="68" t="str">
        <f>IF(D41="","",_xlfn.XLOOKUP(A41,'6'!A:A,'6'!D:D,IF($Q$6=0,0,"ERROR")))</f>
        <v/>
      </c>
      <c r="T41" s="70" t="str">
        <f t="shared" si="12"/>
        <v/>
      </c>
      <c r="U41" s="68" t="str">
        <f>IF(D41="","",_xlfn.XLOOKUP(A41,'7'!A:A,'7'!D:D,IF($U$6=0,0,"ERROR")))</f>
        <v/>
      </c>
      <c r="V41" s="70" t="str">
        <f t="shared" si="13"/>
        <v/>
      </c>
      <c r="W41" s="68" t="str">
        <f>IF(D41="","",_xlfn.XLOOKUP(A41,'8'!A:A,'8'!D:D,IF($U$6=0,0,"ERROR")))</f>
        <v/>
      </c>
      <c r="X41" s="70" t="str">
        <f t="shared" si="3"/>
        <v/>
      </c>
      <c r="Y41" s="68" t="str">
        <f>IF(D41="","",_xlfn.XLOOKUP(A41,'9'!A:A,'9'!D:D,IF($U$6=0,0,"ERROR")))</f>
        <v/>
      </c>
      <c r="Z41" s="70" t="str">
        <f t="shared" si="14"/>
        <v/>
      </c>
      <c r="AA41" s="68" t="str">
        <f>IF(D41="","",_xlfn.XLOOKUP(A41,'10'!A:A,'10'!D:D,IF($U$6=0,0,"ERROR")))</f>
        <v/>
      </c>
      <c r="AB41" s="70" t="str">
        <f t="shared" si="15"/>
        <v/>
      </c>
      <c r="AC41" s="68" t="str">
        <f>IF(D41="","",_xlfn.XLOOKUP(A41,'11'!A:A,'11'!D:D,IF($U$6=0,0,"ERROR")))</f>
        <v/>
      </c>
      <c r="AD41" s="70" t="str">
        <f t="shared" si="16"/>
        <v/>
      </c>
      <c r="AE41" s="68" t="str">
        <f>IF(D41="","",_xlfn.XLOOKUP(A41,'12'!A:A,'12'!D:D,IF($U$6=0,0,"ERROR")))</f>
        <v/>
      </c>
      <c r="AF41" s="70" t="str">
        <f t="shared" si="17"/>
        <v/>
      </c>
      <c r="AG41" s="68" t="str">
        <f>IF(D41="","",_xlfn.XLOOKUP(A41,'13'!A:A,'13'!D:D,IF($U$6=0,0,"ERROR")))</f>
        <v/>
      </c>
      <c r="AH41" s="70" t="str">
        <f t="shared" si="18"/>
        <v/>
      </c>
      <c r="AI41" s="106" t="str">
        <f>IF(D41="","",_xlfn.XLOOKUP(A41,'14'!A:A,'14'!D:D,IF($U$6=0,0,"ERROR")))</f>
        <v/>
      </c>
      <c r="AJ41" s="99" t="str">
        <f t="shared" si="19"/>
        <v/>
      </c>
      <c r="AK41" s="99"/>
      <c r="AL41" s="99"/>
      <c r="AM41" s="68" t="str">
        <f t="shared" si="20"/>
        <v/>
      </c>
      <c r="AN41" s="74" t="str">
        <f t="shared" si="21"/>
        <v/>
      </c>
      <c r="AO41" s="93" t="str">
        <f t="shared" si="22"/>
        <v/>
      </c>
      <c r="AP41" s="91"/>
      <c r="AR41" s="93"/>
    </row>
    <row r="42" spans="1:44" ht="41.4" x14ac:dyDescent="0.25">
      <c r="A42" s="9" t="s">
        <v>70</v>
      </c>
      <c r="B42" s="2" t="s">
        <v>71</v>
      </c>
      <c r="C42" s="3" t="s">
        <v>24</v>
      </c>
      <c r="D42" s="41">
        <v>717</v>
      </c>
      <c r="E42" s="10">
        <f t="shared" si="4"/>
        <v>107.55</v>
      </c>
      <c r="F42" s="10">
        <f t="shared" si="5"/>
        <v>35.85</v>
      </c>
      <c r="G42" s="10">
        <f t="shared" si="6"/>
        <v>639.92250000000001</v>
      </c>
      <c r="H42" s="67"/>
      <c r="I42" s="68"/>
      <c r="J42" s="74">
        <f t="shared" si="7"/>
        <v>0</v>
      </c>
      <c r="K42" s="68"/>
      <c r="L42" s="74">
        <f t="shared" si="8"/>
        <v>0</v>
      </c>
      <c r="M42" s="68">
        <f>IF(D42="","",_xlfn.XLOOKUP(A42,'3'!A:A,'3'!D:D,IF($M$6=0,0,"ERROR")))</f>
        <v>12.324999999999999</v>
      </c>
      <c r="N42" s="70">
        <f t="shared" si="9"/>
        <v>7887.0448124999994</v>
      </c>
      <c r="O42" s="68">
        <f>IF(D42="","",_xlfn.XLOOKUP(A42,'4'!A:A,'4'!D:D,IF($O$6=0,0,"ERROR")))</f>
        <v>0</v>
      </c>
      <c r="P42" s="69">
        <f t="shared" si="10"/>
        <v>0</v>
      </c>
      <c r="Q42" s="68">
        <f>IF(D42="","",_xlfn.XLOOKUP(A42,'5'!A:A,'5'!D:D,IF($Q$6=0,0,"ERROR")))</f>
        <v>28.785</v>
      </c>
      <c r="R42" s="70">
        <f t="shared" si="11"/>
        <v>18420.169162500002</v>
      </c>
      <c r="S42" s="68">
        <f>IF(D42="","",_xlfn.XLOOKUP(A42,'6'!A:A,'6'!D:D,IF($Q$6=0,0,"ERROR")))</f>
        <v>0</v>
      </c>
      <c r="T42" s="70">
        <f t="shared" si="12"/>
        <v>0</v>
      </c>
      <c r="U42" s="68">
        <f>IF(D42="","",_xlfn.XLOOKUP(A42,'7'!A:A,'7'!D:D,IF($U$6=0,0,"ERROR")))</f>
        <v>0</v>
      </c>
      <c r="V42" s="70">
        <f t="shared" si="13"/>
        <v>0</v>
      </c>
      <c r="W42" s="68">
        <f>IF(D42="","",_xlfn.XLOOKUP(A42,'8'!A:A,'8'!D:D,IF($U$6=0,0,"ERROR")))</f>
        <v>0</v>
      </c>
      <c r="X42" s="70">
        <f t="shared" si="3"/>
        <v>0</v>
      </c>
      <c r="Y42" s="68">
        <f>IF(D42="","",_xlfn.XLOOKUP(A42,'9'!A:A,'9'!D:D,IF($U$6=0,0,"ERROR")))</f>
        <v>0</v>
      </c>
      <c r="Z42" s="70">
        <f t="shared" si="14"/>
        <v>0</v>
      </c>
      <c r="AA42" s="68">
        <f>IF(D42="","",_xlfn.XLOOKUP(A42,'10'!A:A,'10'!D:D,IF($U$6=0,0,"ERROR")))</f>
        <v>0</v>
      </c>
      <c r="AB42" s="70">
        <f t="shared" si="15"/>
        <v>0</v>
      </c>
      <c r="AC42" s="68">
        <f>IF(D42="","",_xlfn.XLOOKUP(A42,'11'!A:A,'11'!D:D,IF($U$6=0,0,"ERROR")))</f>
        <v>0</v>
      </c>
      <c r="AD42" s="70">
        <f t="shared" si="16"/>
        <v>0</v>
      </c>
      <c r="AE42" s="68">
        <f>IF(D42="","",_xlfn.XLOOKUP(A42,'12'!A:A,'12'!D:D,IF($U$6=0,0,"ERROR")))</f>
        <v>4</v>
      </c>
      <c r="AF42" s="70">
        <f t="shared" si="17"/>
        <v>2559.69</v>
      </c>
      <c r="AG42" s="68">
        <f>IF(D42="","",_xlfn.XLOOKUP(A42,'13'!A:A,'13'!D:D,IF($U$6=0,0,"ERROR")))</f>
        <v>0</v>
      </c>
      <c r="AH42" s="70">
        <f t="shared" si="18"/>
        <v>0</v>
      </c>
      <c r="AI42" s="106">
        <f>IF(D42="","",_xlfn.XLOOKUP(A42,'14'!A:A,'14'!D:D,IF($U$6=0,0,"ERROR")))</f>
        <v>0</v>
      </c>
      <c r="AJ42" s="99">
        <f t="shared" si="19"/>
        <v>0</v>
      </c>
      <c r="AK42" s="99"/>
      <c r="AL42" s="99"/>
      <c r="AM42" s="68">
        <f t="shared" si="20"/>
        <v>45.11</v>
      </c>
      <c r="AN42" s="74">
        <f t="shared" si="21"/>
        <v>28866.903975000001</v>
      </c>
      <c r="AO42" s="93" t="str">
        <f t="shared" si="22"/>
        <v>הכל טוב</v>
      </c>
      <c r="AP42" s="91"/>
      <c r="AR42" s="93"/>
    </row>
    <row r="43" spans="1:44" ht="41.4" x14ac:dyDescent="0.25">
      <c r="A43" s="9" t="s">
        <v>72</v>
      </c>
      <c r="B43" s="2" t="s">
        <v>73</v>
      </c>
      <c r="C43" s="3" t="s">
        <v>24</v>
      </c>
      <c r="D43" s="41">
        <v>582</v>
      </c>
      <c r="E43" s="10">
        <f t="shared" si="4"/>
        <v>87.3</v>
      </c>
      <c r="F43" s="10">
        <f t="shared" si="5"/>
        <v>29.1</v>
      </c>
      <c r="G43" s="10">
        <f t="shared" si="6"/>
        <v>519.43500000000006</v>
      </c>
      <c r="H43" s="67"/>
      <c r="I43" s="68"/>
      <c r="J43" s="74">
        <f t="shared" si="7"/>
        <v>0</v>
      </c>
      <c r="K43" s="68"/>
      <c r="L43" s="74">
        <f t="shared" si="8"/>
        <v>0</v>
      </c>
      <c r="M43" s="68">
        <f>IF(D43="","",_xlfn.XLOOKUP(A43,'3'!A:A,'3'!D:D,IF($M$6=0,0,"ERROR")))</f>
        <v>8.4708000000000006</v>
      </c>
      <c r="N43" s="70">
        <f t="shared" si="9"/>
        <v>4400.0299980000009</v>
      </c>
      <c r="O43" s="68">
        <f>IF(D43="","",_xlfn.XLOOKUP(A43,'4'!A:A,'4'!D:D,IF($O$6=0,0,"ERROR")))</f>
        <v>0</v>
      </c>
      <c r="P43" s="69">
        <f t="shared" si="10"/>
        <v>0</v>
      </c>
      <c r="Q43" s="68">
        <f>IF(D43="","",_xlfn.XLOOKUP(A43,'5'!A:A,'5'!D:D,IF($Q$6=0,0,"ERROR")))</f>
        <v>9.77</v>
      </c>
      <c r="R43" s="70">
        <f t="shared" si="11"/>
        <v>5074.8799500000005</v>
      </c>
      <c r="S43" s="68">
        <f>IF(D43="","",_xlfn.XLOOKUP(A43,'6'!A:A,'6'!D:D,IF($Q$6=0,0,"ERROR")))</f>
        <v>19.04</v>
      </c>
      <c r="T43" s="70">
        <f t="shared" si="12"/>
        <v>9890.0424000000003</v>
      </c>
      <c r="U43" s="68">
        <f>IF(D43="","",_xlfn.XLOOKUP(A43,'7'!A:A,'7'!D:D,IF($U$6=0,0,"ERROR")))</f>
        <v>0</v>
      </c>
      <c r="V43" s="70">
        <f t="shared" si="13"/>
        <v>0</v>
      </c>
      <c r="W43" s="68">
        <f>IF(D43="","",_xlfn.XLOOKUP(A43,'8'!A:A,'8'!D:D,IF($U$6=0,0,"ERROR")))</f>
        <v>0</v>
      </c>
      <c r="X43" s="70">
        <f t="shared" si="3"/>
        <v>0</v>
      </c>
      <c r="Y43" s="68">
        <f>IF(D43="","",_xlfn.XLOOKUP(A43,'9'!A:A,'9'!D:D,IF($U$6=0,0,"ERROR")))</f>
        <v>0</v>
      </c>
      <c r="Z43" s="70">
        <f t="shared" si="14"/>
        <v>0</v>
      </c>
      <c r="AA43" s="68">
        <f>IF(D43="","",_xlfn.XLOOKUP(A43,'10'!A:A,'10'!D:D,IF($U$6=0,0,"ERROR")))</f>
        <v>0</v>
      </c>
      <c r="AB43" s="70">
        <f t="shared" si="15"/>
        <v>0</v>
      </c>
      <c r="AC43" s="68">
        <f>IF(D43="","",_xlfn.XLOOKUP(A43,'11'!A:A,'11'!D:D,IF($U$6=0,0,"ERROR")))</f>
        <v>0</v>
      </c>
      <c r="AD43" s="70">
        <f t="shared" si="16"/>
        <v>0</v>
      </c>
      <c r="AE43" s="68">
        <f>IF(D43="","",_xlfn.XLOOKUP(A43,'12'!A:A,'12'!D:D,IF($U$6=0,0,"ERROR")))</f>
        <v>0</v>
      </c>
      <c r="AF43" s="70">
        <f t="shared" si="17"/>
        <v>0</v>
      </c>
      <c r="AG43" s="68">
        <f>IF(D43="","",_xlfn.XLOOKUP(A43,'13'!A:A,'13'!D:D,IF($U$6=0,0,"ERROR")))</f>
        <v>0</v>
      </c>
      <c r="AH43" s="70">
        <f t="shared" si="18"/>
        <v>0</v>
      </c>
      <c r="AI43" s="106">
        <f>IF(D43="","",_xlfn.XLOOKUP(A43,'14'!A:A,'14'!D:D,IF($U$6=0,0,"ERROR")))</f>
        <v>0</v>
      </c>
      <c r="AJ43" s="99">
        <f t="shared" si="19"/>
        <v>0</v>
      </c>
      <c r="AK43" s="99"/>
      <c r="AL43" s="99"/>
      <c r="AM43" s="68">
        <f t="shared" si="20"/>
        <v>37.280799999999999</v>
      </c>
      <c r="AN43" s="74">
        <f t="shared" si="21"/>
        <v>19364.952347999999</v>
      </c>
      <c r="AO43" s="93" t="str">
        <f t="shared" si="22"/>
        <v>הכל טוב</v>
      </c>
      <c r="AP43" s="91"/>
      <c r="AR43" s="93"/>
    </row>
    <row r="44" spans="1:44" ht="41.4" x14ac:dyDescent="0.25">
      <c r="A44" s="9" t="s">
        <v>218</v>
      </c>
      <c r="B44" s="2" t="s">
        <v>219</v>
      </c>
      <c r="C44" s="3" t="s">
        <v>24</v>
      </c>
      <c r="D44" s="41">
        <f>IF(C44="","",_xlfn.XLOOKUP(A44,'[2]12 - אלומיניום'!$A:$A,'[2]12 - אלומיניום'!$D:$D,"לא נמצא"))</f>
        <v>800</v>
      </c>
      <c r="E44" s="10">
        <f t="shared" ref="E44" si="23">IF(D44="","",D44*0.15)</f>
        <v>120</v>
      </c>
      <c r="F44" s="10">
        <f t="shared" ref="F44" si="24">IF(D44="","",D44*0.05)</f>
        <v>40</v>
      </c>
      <c r="G44" s="10">
        <f t="shared" ref="G44" si="25">IF(D44="","",D44*1.05*0.85)</f>
        <v>714</v>
      </c>
      <c r="H44" s="10"/>
      <c r="I44" s="68"/>
      <c r="J44" s="74"/>
      <c r="K44" s="68"/>
      <c r="L44" s="74"/>
      <c r="M44" s="68">
        <f>IF(D44="","",_xlfn.XLOOKUP(A44,'3'!A:A,'3'!D:D,IF($M$6=0,0,"ERROR")))</f>
        <v>0</v>
      </c>
      <c r="N44" s="70">
        <f t="shared" si="9"/>
        <v>0</v>
      </c>
      <c r="O44" s="68">
        <f>IF(D44="","",_xlfn.XLOOKUP(A44,'4'!A:A,'4'!D:D,IF($O$6=0,0,"ERROR")))</f>
        <v>2.91</v>
      </c>
      <c r="P44" s="69">
        <f>IF(G44="","",O44*G44)</f>
        <v>2077.7400000000002</v>
      </c>
      <c r="Q44" s="68">
        <f>IF(D44="","",_xlfn.XLOOKUP(A44,'5'!A:A,'5'!D:D,IF($Q$6=0,0,"ERROR")))</f>
        <v>0</v>
      </c>
      <c r="R44" s="70">
        <f t="shared" si="11"/>
        <v>0</v>
      </c>
      <c r="S44" s="68">
        <f>IF(D44="","",_xlfn.XLOOKUP(A44,'6'!A:A,'6'!D:D,IF($Q$6=0,0,"ERROR")))</f>
        <v>0</v>
      </c>
      <c r="T44" s="70">
        <f t="shared" si="12"/>
        <v>0</v>
      </c>
      <c r="U44" s="68">
        <f>IF(D44="","",_xlfn.XLOOKUP(A44,'7'!A:A,'7'!D:D,IF($U$6=0,0,"ERROR")))</f>
        <v>10.712</v>
      </c>
      <c r="V44" s="70">
        <f t="shared" si="13"/>
        <v>7648.3679999999995</v>
      </c>
      <c r="W44" s="68">
        <f>IF(D44="","",_xlfn.XLOOKUP(A44,'8'!A:A,'8'!D:D,IF($U$6=0,0,"ERROR")))</f>
        <v>11.21</v>
      </c>
      <c r="X44" s="70">
        <f t="shared" si="3"/>
        <v>8003.9400000000005</v>
      </c>
      <c r="Y44" s="68">
        <f>IF(D44="","",_xlfn.XLOOKUP(A44,'9'!A:A,'9'!D:D,IF($U$6=0,0,"ERROR")))</f>
        <v>10.18</v>
      </c>
      <c r="Z44" s="70">
        <f t="shared" si="14"/>
        <v>7268.5199999999995</v>
      </c>
      <c r="AA44" s="68">
        <f>IF(D44="","",_xlfn.XLOOKUP(A44,'10'!A:A,'10'!D:D,IF($U$6=0,0,"ERROR")))</f>
        <v>9.1668000000000003</v>
      </c>
      <c r="AB44" s="70">
        <f t="shared" si="15"/>
        <v>6545.0951999999997</v>
      </c>
      <c r="AC44" s="68">
        <f>IF(D44="","",_xlfn.XLOOKUP(A44,'11'!A:A,'11'!D:D,IF($U$6=0,0,"ERROR")))</f>
        <v>11.83</v>
      </c>
      <c r="AD44" s="70">
        <f t="shared" si="16"/>
        <v>8446.6200000000008</v>
      </c>
      <c r="AE44" s="68">
        <f>IF(D44="","",_xlfn.XLOOKUP(A44,'12'!A:A,'12'!D:D,IF($U$6=0,0,"ERROR")))</f>
        <v>0</v>
      </c>
      <c r="AF44" s="70">
        <f t="shared" si="17"/>
        <v>0</v>
      </c>
      <c r="AG44" s="68">
        <f>IF(D44="","",_xlfn.XLOOKUP(A44,'13'!A:A,'13'!D:D,IF($U$6=0,0,"ERROR")))</f>
        <v>8.9849999999999994</v>
      </c>
      <c r="AH44" s="70">
        <f t="shared" si="18"/>
        <v>6415.29</v>
      </c>
      <c r="AI44" s="106">
        <f>IF(D44="","",_xlfn.XLOOKUP(A44,'14'!A:A,'14'!D:D,IF($U$6=0,0,"ERROR")))</f>
        <v>11.694000000000001</v>
      </c>
      <c r="AJ44" s="99">
        <f t="shared" si="19"/>
        <v>8349.5160000000014</v>
      </c>
      <c r="AK44" s="99"/>
      <c r="AL44" s="99"/>
      <c r="AM44" s="68">
        <f t="shared" si="20"/>
        <v>76.687799999999996</v>
      </c>
      <c r="AN44" s="74">
        <f t="shared" si="21"/>
        <v>54755.089200000009</v>
      </c>
      <c r="AO44" s="93" t="str">
        <f t="shared" si="22"/>
        <v>הכל טוב</v>
      </c>
      <c r="AP44" s="91"/>
      <c r="AR44" s="93"/>
    </row>
    <row r="45" spans="1:44" ht="42" x14ac:dyDescent="0.3">
      <c r="A45" s="9" t="s">
        <v>173</v>
      </c>
      <c r="B45" s="2" t="s">
        <v>174</v>
      </c>
      <c r="C45" s="3" t="s">
        <v>24</v>
      </c>
      <c r="D45" s="41">
        <v>1440</v>
      </c>
      <c r="E45" s="58">
        <v>1440</v>
      </c>
      <c r="F45" s="10">
        <f t="shared" ref="F45" si="26">IF(E45="","",E45*0.15)</f>
        <v>216</v>
      </c>
      <c r="G45" s="10">
        <f t="shared" si="6"/>
        <v>1285.2</v>
      </c>
      <c r="H45" s="10"/>
      <c r="I45" s="68"/>
      <c r="J45" s="74"/>
      <c r="K45" s="68"/>
      <c r="L45" s="74"/>
      <c r="M45" s="68">
        <f>IF(D45="","",_xlfn.XLOOKUP(A45,'3'!A:A,'3'!D:D,IF($M$6=0,0,"ERROR")))</f>
        <v>0</v>
      </c>
      <c r="N45" s="70">
        <f t="shared" si="9"/>
        <v>0</v>
      </c>
      <c r="O45" s="68">
        <f>IF(D45="","",_xlfn.XLOOKUP(A45,'4'!A:A,'4'!D:D,IF($O$6=0,0,"ERROR")))</f>
        <v>0</v>
      </c>
      <c r="P45" s="69">
        <f t="shared" si="10"/>
        <v>0</v>
      </c>
      <c r="Q45" s="68">
        <f>IF(D45="","",_xlfn.XLOOKUP(A45,'5'!A:A,'5'!D:D,IF($Q$6=0,0,"ERROR")))</f>
        <v>0</v>
      </c>
      <c r="R45" s="70">
        <f t="shared" si="11"/>
        <v>0</v>
      </c>
      <c r="S45" s="68">
        <f>IF(D45="","",_xlfn.XLOOKUP(A45,'6'!A:A,'6'!D:D,IF($Q$6=0,0,"ERROR")))</f>
        <v>0</v>
      </c>
      <c r="T45" s="70">
        <f t="shared" si="12"/>
        <v>0</v>
      </c>
      <c r="U45" s="68">
        <f>IF(D45="","",_xlfn.XLOOKUP(A45,'7'!A:A,'7'!D:D,IF($U$6=0,0,"ERROR")))</f>
        <v>8.7360000000000007</v>
      </c>
      <c r="V45" s="70">
        <f t="shared" si="13"/>
        <v>11227.507200000002</v>
      </c>
      <c r="W45" s="68">
        <f>IF(D45="","",_xlfn.XLOOKUP(A45,'8'!A:A,'8'!D:D,IF($U$6=0,0,"ERROR")))</f>
        <v>8.74</v>
      </c>
      <c r="X45" s="70">
        <f t="shared" si="3"/>
        <v>11232.648000000001</v>
      </c>
      <c r="Y45" s="68">
        <f>IF(D45="","",_xlfn.XLOOKUP(A45,'9'!A:A,'9'!D:D,IF($U$6=0,0,"ERROR")))</f>
        <v>6.83</v>
      </c>
      <c r="Z45" s="70">
        <f t="shared" si="14"/>
        <v>8777.9160000000011</v>
      </c>
      <c r="AA45" s="68">
        <f>IF(D45="","",_xlfn.XLOOKUP(A45,'10'!A:A,'10'!D:D,IF($U$6=0,0,"ERROR")))</f>
        <v>0</v>
      </c>
      <c r="AB45" s="70">
        <f t="shared" si="15"/>
        <v>0</v>
      </c>
      <c r="AC45" s="68">
        <f>IF(D45="","",_xlfn.XLOOKUP(A45,'11'!A:A,'11'!D:D,IF($U$6=0,0,"ERROR")))</f>
        <v>7.15</v>
      </c>
      <c r="AD45" s="70">
        <f t="shared" si="16"/>
        <v>9189.18</v>
      </c>
      <c r="AE45" s="68">
        <f>IF(D45="","",_xlfn.XLOOKUP(A45,'12'!A:A,'12'!D:D,IF($U$6=0,0,"ERROR")))</f>
        <v>0</v>
      </c>
      <c r="AF45" s="70">
        <f t="shared" si="17"/>
        <v>0</v>
      </c>
      <c r="AG45" s="68">
        <f>IF(D45="","",_xlfn.XLOOKUP(A45,'13'!A:A,'13'!D:D,IF($U$6=0,0,"ERROR")))</f>
        <v>6.9</v>
      </c>
      <c r="AH45" s="70">
        <f t="shared" si="18"/>
        <v>8867.880000000001</v>
      </c>
      <c r="AI45" s="106">
        <f>IF(D45="","",_xlfn.XLOOKUP(A45,'14'!A:A,'14'!D:D,IF($U$6=0,0,"ERROR")))</f>
        <v>7.54</v>
      </c>
      <c r="AJ45" s="99">
        <f t="shared" si="19"/>
        <v>9690.4080000000013</v>
      </c>
      <c r="AK45" s="99"/>
      <c r="AL45" s="99"/>
      <c r="AM45" s="68">
        <f t="shared" si="20"/>
        <v>45.895999999999994</v>
      </c>
      <c r="AN45" s="74">
        <f t="shared" si="21"/>
        <v>58985.539200000007</v>
      </c>
      <c r="AO45" s="93" t="str">
        <f t="shared" si="22"/>
        <v>הכל טוב</v>
      </c>
      <c r="AP45" s="91"/>
      <c r="AR45" s="93"/>
    </row>
    <row r="46" spans="1:44" hidden="1" x14ac:dyDescent="0.25">
      <c r="A46" s="9" t="s">
        <v>74</v>
      </c>
      <c r="B46" s="2" t="s">
        <v>75</v>
      </c>
      <c r="C46" s="3" t="s">
        <v>2</v>
      </c>
      <c r="D46" s="41">
        <v>620</v>
      </c>
      <c r="E46" s="10">
        <f t="shared" si="4"/>
        <v>93</v>
      </c>
      <c r="F46" s="10">
        <f t="shared" si="5"/>
        <v>31</v>
      </c>
      <c r="G46" s="10">
        <f t="shared" si="6"/>
        <v>553.35</v>
      </c>
      <c r="H46" s="67"/>
      <c r="I46" s="68"/>
      <c r="J46" s="74">
        <f t="shared" si="7"/>
        <v>0</v>
      </c>
      <c r="K46" s="68"/>
      <c r="L46" s="74">
        <f t="shared" si="8"/>
        <v>0</v>
      </c>
      <c r="M46" s="68">
        <f>IF(D46="","",_xlfn.XLOOKUP(A46,'3'!A:A,'3'!D:D,IF($M$6=0,0,"ERROR")))</f>
        <v>0</v>
      </c>
      <c r="N46" s="70">
        <f t="shared" si="9"/>
        <v>0</v>
      </c>
      <c r="O46" s="68">
        <f>IF(D46="","",_xlfn.XLOOKUP(A46,'4'!A:A,'4'!D:D,IF($O$6=0,0,"ERROR")))</f>
        <v>0</v>
      </c>
      <c r="P46" s="69">
        <f t="shared" si="10"/>
        <v>0</v>
      </c>
      <c r="Q46" s="68">
        <f>IF(D46="","",_xlfn.XLOOKUP(A46,'5'!A:A,'5'!D:D,IF($Q$6=0,0,"ERROR")))</f>
        <v>0</v>
      </c>
      <c r="R46" s="70">
        <f t="shared" si="11"/>
        <v>0</v>
      </c>
      <c r="S46" s="68">
        <f>IF(D46="","",_xlfn.XLOOKUP(A46,'6'!A:A,'6'!D:D,IF($Q$6=0,0,"ERROR")))</f>
        <v>0</v>
      </c>
      <c r="T46" s="70">
        <f t="shared" si="12"/>
        <v>0</v>
      </c>
      <c r="U46" s="68">
        <f>IF(D46="","",_xlfn.XLOOKUP(A46,'7'!A:A,'7'!D:D,IF($U$6=0,0,"ERROR")))</f>
        <v>0</v>
      </c>
      <c r="V46" s="70">
        <f t="shared" si="13"/>
        <v>0</v>
      </c>
      <c r="W46" s="68">
        <f>IF(D46="","",_xlfn.XLOOKUP(A46,'8'!A:A,'8'!D:D,IF($U$6=0,0,"ERROR")))</f>
        <v>0</v>
      </c>
      <c r="X46" s="70">
        <f t="shared" si="3"/>
        <v>0</v>
      </c>
      <c r="Y46" s="68">
        <f>IF(D46="","",_xlfn.XLOOKUP(A46,'9'!A:A,'9'!D:D,IF($U$6=0,0,"ERROR")))</f>
        <v>0</v>
      </c>
      <c r="Z46" s="70">
        <f t="shared" si="14"/>
        <v>0</v>
      </c>
      <c r="AA46" s="68">
        <f>IF(D46="","",_xlfn.XLOOKUP(A46,'10'!A:A,'10'!D:D,IF($U$6=0,0,"ERROR")))</f>
        <v>0</v>
      </c>
      <c r="AB46" s="70">
        <f t="shared" si="15"/>
        <v>0</v>
      </c>
      <c r="AC46" s="68">
        <f>IF(D46="","",_xlfn.XLOOKUP(A46,'11'!A:A,'11'!D:D,IF($U$6=0,0,"ERROR")))</f>
        <v>0</v>
      </c>
      <c r="AD46" s="70">
        <f t="shared" si="16"/>
        <v>0</v>
      </c>
      <c r="AE46" s="68">
        <f>IF(D46="","",_xlfn.XLOOKUP(A46,'12'!A:A,'12'!D:D,IF($U$6=0,0,"ERROR")))</f>
        <v>0</v>
      </c>
      <c r="AF46" s="70">
        <f t="shared" si="17"/>
        <v>0</v>
      </c>
      <c r="AG46" s="68">
        <f>IF(D46="","",_xlfn.XLOOKUP(A46,'13'!A:A,'13'!D:D,IF($U$6=0,0,"ERROR")))</f>
        <v>0</v>
      </c>
      <c r="AH46" s="70">
        <f t="shared" si="18"/>
        <v>0</v>
      </c>
      <c r="AI46" s="106">
        <f>IF(D46="","",_xlfn.XLOOKUP(A46,'14'!A:A,'14'!D:D,IF($U$6=0,0,"ERROR")))</f>
        <v>0</v>
      </c>
      <c r="AJ46" s="99">
        <f t="shared" si="19"/>
        <v>0</v>
      </c>
      <c r="AK46" s="99"/>
      <c r="AL46" s="99"/>
      <c r="AM46" s="68">
        <f t="shared" si="20"/>
        <v>0</v>
      </c>
      <c r="AN46" s="74">
        <f t="shared" si="21"/>
        <v>0</v>
      </c>
      <c r="AO46" s="93" t="str">
        <f t="shared" si="22"/>
        <v>הכל טוב</v>
      </c>
      <c r="AP46" s="91"/>
      <c r="AR46" s="93"/>
    </row>
    <row r="47" spans="1:44" ht="27.6" hidden="1" x14ac:dyDescent="0.25">
      <c r="A47" s="9" t="s">
        <v>76</v>
      </c>
      <c r="B47" s="2" t="s">
        <v>77</v>
      </c>
      <c r="C47" s="3" t="s">
        <v>2</v>
      </c>
      <c r="D47" s="41">
        <v>750</v>
      </c>
      <c r="E47" s="10">
        <f t="shared" si="4"/>
        <v>112.5</v>
      </c>
      <c r="F47" s="10">
        <f t="shared" si="5"/>
        <v>37.5</v>
      </c>
      <c r="G47" s="10">
        <f t="shared" si="6"/>
        <v>669.375</v>
      </c>
      <c r="H47" s="67"/>
      <c r="I47" s="68"/>
      <c r="J47" s="74">
        <f t="shared" si="7"/>
        <v>0</v>
      </c>
      <c r="K47" s="68"/>
      <c r="L47" s="74">
        <f t="shared" si="8"/>
        <v>0</v>
      </c>
      <c r="M47" s="68">
        <f>IF(D47="","",_xlfn.XLOOKUP(A47,'3'!A:A,'3'!D:D,IF($M$6=0,0,"ERROR")))</f>
        <v>0</v>
      </c>
      <c r="N47" s="70">
        <f t="shared" si="9"/>
        <v>0</v>
      </c>
      <c r="O47" s="68">
        <f>IF(D47="","",_xlfn.XLOOKUP(A47,'4'!A:A,'4'!D:D,IF($O$6=0,0,"ERROR")))</f>
        <v>0</v>
      </c>
      <c r="P47" s="69">
        <f t="shared" si="10"/>
        <v>0</v>
      </c>
      <c r="Q47" s="68">
        <f>IF(D47="","",_xlfn.XLOOKUP(A47,'5'!A:A,'5'!D:D,IF($Q$6=0,0,"ERROR")))</f>
        <v>0</v>
      </c>
      <c r="R47" s="70">
        <f t="shared" si="11"/>
        <v>0</v>
      </c>
      <c r="S47" s="68">
        <f>IF(D47="","",_xlfn.XLOOKUP(A47,'6'!A:A,'6'!D:D,IF($Q$6=0,0,"ERROR")))</f>
        <v>0</v>
      </c>
      <c r="T47" s="70">
        <f t="shared" si="12"/>
        <v>0</v>
      </c>
      <c r="U47" s="68">
        <f>IF(D47="","",_xlfn.XLOOKUP(A47,'7'!A:A,'7'!D:D,IF($U$6=0,0,"ERROR")))</f>
        <v>0</v>
      </c>
      <c r="V47" s="70">
        <f t="shared" si="13"/>
        <v>0</v>
      </c>
      <c r="W47" s="68">
        <f>IF(D47="","",_xlfn.XLOOKUP(A47,'8'!A:A,'8'!D:D,IF($U$6=0,0,"ERROR")))</f>
        <v>0</v>
      </c>
      <c r="X47" s="70">
        <f t="shared" si="3"/>
        <v>0</v>
      </c>
      <c r="Y47" s="68">
        <f>IF(D47="","",_xlfn.XLOOKUP(A47,'9'!A:A,'9'!D:D,IF($U$6=0,0,"ERROR")))</f>
        <v>0</v>
      </c>
      <c r="Z47" s="70">
        <f t="shared" si="14"/>
        <v>0</v>
      </c>
      <c r="AA47" s="68">
        <f>IF(D47="","",_xlfn.XLOOKUP(A47,'10'!A:A,'10'!D:D,IF($U$6=0,0,"ERROR")))</f>
        <v>0</v>
      </c>
      <c r="AB47" s="70">
        <f t="shared" si="15"/>
        <v>0</v>
      </c>
      <c r="AC47" s="68">
        <f>IF(D47="","",_xlfn.XLOOKUP(A47,'11'!A:A,'11'!D:D,IF($U$6=0,0,"ERROR")))</f>
        <v>0</v>
      </c>
      <c r="AD47" s="70">
        <f t="shared" si="16"/>
        <v>0</v>
      </c>
      <c r="AE47" s="68">
        <f>IF(D47="","",_xlfn.XLOOKUP(A47,'12'!A:A,'12'!D:D,IF($U$6=0,0,"ERROR")))</f>
        <v>0</v>
      </c>
      <c r="AF47" s="70">
        <f t="shared" si="17"/>
        <v>0</v>
      </c>
      <c r="AG47" s="68">
        <f>IF(D47="","",_xlfn.XLOOKUP(A47,'13'!A:A,'13'!D:D,IF($U$6=0,0,"ERROR")))</f>
        <v>0</v>
      </c>
      <c r="AH47" s="70">
        <f t="shared" si="18"/>
        <v>0</v>
      </c>
      <c r="AI47" s="106">
        <f>IF(D47="","",_xlfn.XLOOKUP(A47,'14'!A:A,'14'!D:D,IF($U$6=0,0,"ERROR")))</f>
        <v>0</v>
      </c>
      <c r="AJ47" s="99">
        <f t="shared" si="19"/>
        <v>0</v>
      </c>
      <c r="AK47" s="99"/>
      <c r="AL47" s="99"/>
      <c r="AM47" s="68">
        <f t="shared" si="20"/>
        <v>0</v>
      </c>
      <c r="AN47" s="74">
        <f t="shared" si="21"/>
        <v>0</v>
      </c>
      <c r="AO47" s="93" t="str">
        <f t="shared" si="22"/>
        <v>הכל טוב</v>
      </c>
      <c r="AP47" s="91"/>
      <c r="AR47" s="93"/>
    </row>
    <row r="48" spans="1:44" ht="27.6" x14ac:dyDescent="0.25">
      <c r="A48" s="9" t="s">
        <v>78</v>
      </c>
      <c r="B48" s="2" t="s">
        <v>79</v>
      </c>
      <c r="C48" s="3" t="s">
        <v>2</v>
      </c>
      <c r="D48" s="41">
        <v>1020</v>
      </c>
      <c r="E48" s="10">
        <f t="shared" si="4"/>
        <v>153</v>
      </c>
      <c r="F48" s="10">
        <f t="shared" si="5"/>
        <v>51</v>
      </c>
      <c r="G48" s="10">
        <f t="shared" si="6"/>
        <v>910.35</v>
      </c>
      <c r="H48" s="67"/>
      <c r="I48" s="68"/>
      <c r="J48" s="74">
        <f t="shared" si="7"/>
        <v>0</v>
      </c>
      <c r="K48" s="68"/>
      <c r="L48" s="74">
        <f t="shared" si="8"/>
        <v>0</v>
      </c>
      <c r="M48" s="68">
        <f>IF(D48="","",_xlfn.XLOOKUP(A48,'3'!A:A,'3'!D:D,IF($M$6=0,0,"ERROR")))</f>
        <v>5</v>
      </c>
      <c r="N48" s="70">
        <f t="shared" si="9"/>
        <v>4551.75</v>
      </c>
      <c r="O48" s="68">
        <f>IF(D48="","",_xlfn.XLOOKUP(A48,'4'!A:A,'4'!D:D,IF($O$6=0,0,"ERROR")))</f>
        <v>0</v>
      </c>
      <c r="P48" s="69">
        <f t="shared" si="10"/>
        <v>0</v>
      </c>
      <c r="Q48" s="68">
        <f>IF(D48="","",_xlfn.XLOOKUP(A48,'5'!A:A,'5'!D:D,IF($Q$6=0,0,"ERROR")))</f>
        <v>0</v>
      </c>
      <c r="R48" s="70">
        <f t="shared" si="11"/>
        <v>0</v>
      </c>
      <c r="S48" s="68">
        <f>IF(D48="","",_xlfn.XLOOKUP(A48,'6'!A:A,'6'!D:D,IF($Q$6=0,0,"ERROR")))</f>
        <v>0</v>
      </c>
      <c r="T48" s="70">
        <f t="shared" si="12"/>
        <v>0</v>
      </c>
      <c r="U48" s="68">
        <f>IF(D48="","",_xlfn.XLOOKUP(A48,'7'!A:A,'7'!D:D,IF($U$6=0,0,"ERROR")))</f>
        <v>5</v>
      </c>
      <c r="V48" s="70">
        <f t="shared" si="13"/>
        <v>4551.75</v>
      </c>
      <c r="W48" s="68">
        <f>IF(D48="","",_xlfn.XLOOKUP(A48,'8'!A:A,'8'!D:D,IF($U$6=0,0,"ERROR")))</f>
        <v>1</v>
      </c>
      <c r="X48" s="70">
        <f t="shared" si="3"/>
        <v>910.35</v>
      </c>
      <c r="Y48" s="68">
        <f>IF(D48="","",_xlfn.XLOOKUP(A48,'9'!A:A,'9'!D:D,IF($U$6=0,0,"ERROR")))</f>
        <v>1</v>
      </c>
      <c r="Z48" s="70">
        <f t="shared" si="14"/>
        <v>910.35</v>
      </c>
      <c r="AA48" s="68">
        <f>IF(D48="","",_xlfn.XLOOKUP(A48,'10'!A:A,'10'!D:D,IF($U$6=0,0,"ERROR")))</f>
        <v>1</v>
      </c>
      <c r="AB48" s="70">
        <f t="shared" si="15"/>
        <v>910.35</v>
      </c>
      <c r="AC48" s="68">
        <f>IF(D48="","",_xlfn.XLOOKUP(A48,'11'!A:A,'11'!D:D,IF($U$6=0,0,"ERROR")))</f>
        <v>0</v>
      </c>
      <c r="AD48" s="70">
        <f t="shared" si="16"/>
        <v>0</v>
      </c>
      <c r="AE48" s="68">
        <f>IF(D48="","",_xlfn.XLOOKUP(A48,'12'!A:A,'12'!D:D,IF($U$6=0,0,"ERROR")))</f>
        <v>2</v>
      </c>
      <c r="AF48" s="70">
        <f t="shared" si="17"/>
        <v>1820.7</v>
      </c>
      <c r="AG48" s="68">
        <f>IF(D48="","",_xlfn.XLOOKUP(A48,'13'!A:A,'13'!D:D,IF($U$6=0,0,"ERROR")))</f>
        <v>0</v>
      </c>
      <c r="AH48" s="70">
        <f t="shared" si="18"/>
        <v>0</v>
      </c>
      <c r="AI48" s="106">
        <f>IF(D48="","",_xlfn.XLOOKUP(A48,'14'!A:A,'14'!D:D,IF($U$6=0,0,"ERROR")))</f>
        <v>0</v>
      </c>
      <c r="AJ48" s="99">
        <f t="shared" si="19"/>
        <v>0</v>
      </c>
      <c r="AK48" s="99"/>
      <c r="AL48" s="99"/>
      <c r="AM48" s="68">
        <f t="shared" si="20"/>
        <v>15</v>
      </c>
      <c r="AN48" s="74">
        <f t="shared" si="21"/>
        <v>13655.250000000002</v>
      </c>
      <c r="AO48" s="93" t="str">
        <f t="shared" si="22"/>
        <v>הכל טוב</v>
      </c>
      <c r="AP48" s="91"/>
      <c r="AR48" s="93"/>
    </row>
    <row r="49" spans="1:44" ht="27.6" x14ac:dyDescent="0.25">
      <c r="A49" s="9" t="s">
        <v>80</v>
      </c>
      <c r="B49" s="2" t="s">
        <v>81</v>
      </c>
      <c r="C49" s="3" t="s">
        <v>2</v>
      </c>
      <c r="D49" s="41">
        <v>1370</v>
      </c>
      <c r="E49" s="10">
        <f t="shared" si="4"/>
        <v>205.5</v>
      </c>
      <c r="F49" s="10">
        <f t="shared" si="5"/>
        <v>68.5</v>
      </c>
      <c r="G49" s="10">
        <f t="shared" si="6"/>
        <v>1222.7249999999999</v>
      </c>
      <c r="H49" s="67"/>
      <c r="I49" s="68"/>
      <c r="J49" s="74">
        <f t="shared" si="7"/>
        <v>0</v>
      </c>
      <c r="K49" s="68"/>
      <c r="L49" s="74">
        <f t="shared" si="8"/>
        <v>0</v>
      </c>
      <c r="M49" s="68">
        <f>IF(D49="","",_xlfn.XLOOKUP(A49,'3'!A:A,'3'!D:D,IF($M$6=0,0,"ERROR")))</f>
        <v>0</v>
      </c>
      <c r="N49" s="70">
        <f t="shared" si="9"/>
        <v>0</v>
      </c>
      <c r="O49" s="68">
        <f>IF(D49="","",_xlfn.XLOOKUP(A49,'4'!A:A,'4'!D:D,IF($O$6=0,0,"ERROR")))</f>
        <v>1</v>
      </c>
      <c r="P49" s="69">
        <f t="shared" si="10"/>
        <v>1222.7249999999999</v>
      </c>
      <c r="Q49" s="68">
        <f>IF(D49="","",_xlfn.XLOOKUP(A49,'5'!A:A,'5'!D:D,IF($Q$6=0,0,"ERROR")))</f>
        <v>5</v>
      </c>
      <c r="R49" s="70">
        <f t="shared" si="11"/>
        <v>6113.625</v>
      </c>
      <c r="S49" s="68">
        <f>IF(D49="","",_xlfn.XLOOKUP(A49,'6'!A:A,'6'!D:D,IF($Q$6=0,0,"ERROR")))</f>
        <v>3</v>
      </c>
      <c r="T49" s="70">
        <f t="shared" si="12"/>
        <v>3668.1749999999997</v>
      </c>
      <c r="U49" s="68">
        <f>IF(D49="","",_xlfn.XLOOKUP(A49,'7'!A:A,'7'!D:D,IF($U$6=0,0,"ERROR")))</f>
        <v>0</v>
      </c>
      <c r="V49" s="70">
        <f t="shared" si="13"/>
        <v>0</v>
      </c>
      <c r="W49" s="68">
        <f>IF(D49="","",_xlfn.XLOOKUP(A49,'8'!A:A,'8'!D:D,IF($U$6=0,0,"ERROR")))</f>
        <v>5</v>
      </c>
      <c r="X49" s="70">
        <f t="shared" si="3"/>
        <v>6113.625</v>
      </c>
      <c r="Y49" s="68">
        <f>IF(D49="","",_xlfn.XLOOKUP(A49,'9'!A:A,'9'!D:D,IF($U$6=0,0,"ERROR")))</f>
        <v>3</v>
      </c>
      <c r="Z49" s="70">
        <f t="shared" si="14"/>
        <v>3668.1749999999997</v>
      </c>
      <c r="AA49" s="68">
        <f>IF(D49="","",_xlfn.XLOOKUP(A49,'10'!A:A,'10'!D:D,IF($U$6=0,0,"ERROR")))</f>
        <v>4</v>
      </c>
      <c r="AB49" s="70">
        <f t="shared" si="15"/>
        <v>4890.8999999999996</v>
      </c>
      <c r="AC49" s="68">
        <f>IF(D49="","",_xlfn.XLOOKUP(A49,'11'!A:A,'11'!D:D,IF($U$6=0,0,"ERROR")))</f>
        <v>2</v>
      </c>
      <c r="AD49" s="70">
        <f t="shared" si="16"/>
        <v>2445.4499999999998</v>
      </c>
      <c r="AE49" s="68">
        <f>IF(D49="","",_xlfn.XLOOKUP(A49,'12'!A:A,'12'!D:D,IF($U$6=0,0,"ERROR")))</f>
        <v>0</v>
      </c>
      <c r="AF49" s="70">
        <f t="shared" si="17"/>
        <v>0</v>
      </c>
      <c r="AG49" s="68">
        <f>IF(D49="","",_xlfn.XLOOKUP(A49,'13'!A:A,'13'!D:D,IF($U$6=0,0,"ERROR")))</f>
        <v>3</v>
      </c>
      <c r="AH49" s="70">
        <f t="shared" si="18"/>
        <v>3668.1749999999997</v>
      </c>
      <c r="AI49" s="106">
        <f>IF(D49="","",_xlfn.XLOOKUP(A49,'14'!A:A,'14'!D:D,IF($U$6=0,0,"ERROR")))</f>
        <v>2</v>
      </c>
      <c r="AJ49" s="99">
        <f t="shared" si="19"/>
        <v>2445.4499999999998</v>
      </c>
      <c r="AK49" s="99"/>
      <c r="AL49" s="99"/>
      <c r="AM49" s="68">
        <f t="shared" si="20"/>
        <v>28</v>
      </c>
      <c r="AN49" s="74">
        <f t="shared" si="21"/>
        <v>34236.299999999996</v>
      </c>
      <c r="AO49" s="93" t="str">
        <f t="shared" si="22"/>
        <v>הכל טוב</v>
      </c>
      <c r="AP49" s="91"/>
      <c r="AR49" s="93"/>
    </row>
    <row r="50" spans="1:44" ht="27.6" x14ac:dyDescent="0.25">
      <c r="A50" s="9" t="s">
        <v>82</v>
      </c>
      <c r="B50" s="2" t="s">
        <v>83</v>
      </c>
      <c r="C50" s="3" t="s">
        <v>2</v>
      </c>
      <c r="D50" s="41">
        <v>1650</v>
      </c>
      <c r="E50" s="10">
        <f t="shared" si="4"/>
        <v>247.5</v>
      </c>
      <c r="F50" s="10">
        <f t="shared" si="5"/>
        <v>82.5</v>
      </c>
      <c r="G50" s="10">
        <f t="shared" si="6"/>
        <v>1472.625</v>
      </c>
      <c r="H50" s="67"/>
      <c r="I50" s="68"/>
      <c r="J50" s="74">
        <f t="shared" si="7"/>
        <v>0</v>
      </c>
      <c r="K50" s="68"/>
      <c r="L50" s="74">
        <f t="shared" si="8"/>
        <v>0</v>
      </c>
      <c r="M50" s="68">
        <f>IF(D50="","",_xlfn.XLOOKUP(A50,'3'!A:A,'3'!D:D,IF($M$6=0,0,"ERROR")))</f>
        <v>0</v>
      </c>
      <c r="N50" s="70">
        <f t="shared" si="9"/>
        <v>0</v>
      </c>
      <c r="O50" s="68">
        <f>IF(D50="","",_xlfn.XLOOKUP(A50,'4'!A:A,'4'!D:D,IF($O$6=0,0,"ERROR")))</f>
        <v>0</v>
      </c>
      <c r="P50" s="69">
        <f t="shared" si="10"/>
        <v>0</v>
      </c>
      <c r="Q50" s="68">
        <f>IF(D50="","",_xlfn.XLOOKUP(A50,'5'!A:A,'5'!D:D,IF($Q$6=0,0,"ERROR")))</f>
        <v>0</v>
      </c>
      <c r="R50" s="70">
        <f t="shared" si="11"/>
        <v>0</v>
      </c>
      <c r="S50" s="68">
        <f>IF(D50="","",_xlfn.XLOOKUP(A50,'6'!A:A,'6'!D:D,IF($Q$6=0,0,"ERROR")))</f>
        <v>0</v>
      </c>
      <c r="T50" s="70">
        <f t="shared" si="12"/>
        <v>0</v>
      </c>
      <c r="U50" s="68">
        <f>IF(D50="","",_xlfn.XLOOKUP(A50,'7'!A:A,'7'!D:D,IF($U$6=0,0,"ERROR")))</f>
        <v>0</v>
      </c>
      <c r="V50" s="70">
        <f t="shared" si="13"/>
        <v>0</v>
      </c>
      <c r="W50" s="68">
        <f>IF(D50="","",_xlfn.XLOOKUP(A50,'8'!A:A,'8'!D:D,IF($U$6=0,0,"ERROR")))</f>
        <v>0</v>
      </c>
      <c r="X50" s="70">
        <f t="shared" si="3"/>
        <v>0</v>
      </c>
      <c r="Y50" s="68">
        <f>IF(D50="","",_xlfn.XLOOKUP(A50,'9'!A:A,'9'!D:D,IF($U$6=0,0,"ERROR")))</f>
        <v>1</v>
      </c>
      <c r="Z50" s="70">
        <f t="shared" si="14"/>
        <v>1472.625</v>
      </c>
      <c r="AA50" s="68">
        <f>IF(D50="","",_xlfn.XLOOKUP(A50,'10'!A:A,'10'!D:D,IF($U$6=0,0,"ERROR")))</f>
        <v>0</v>
      </c>
      <c r="AB50" s="70">
        <f t="shared" si="15"/>
        <v>0</v>
      </c>
      <c r="AC50" s="68">
        <f>IF(D50="","",_xlfn.XLOOKUP(A50,'11'!A:A,'11'!D:D,IF($U$6=0,0,"ERROR")))</f>
        <v>0</v>
      </c>
      <c r="AD50" s="70">
        <f t="shared" si="16"/>
        <v>0</v>
      </c>
      <c r="AE50" s="68">
        <f>IF(D50="","",_xlfn.XLOOKUP(A50,'12'!A:A,'12'!D:D,IF($U$6=0,0,"ERROR")))</f>
        <v>0</v>
      </c>
      <c r="AF50" s="70">
        <f t="shared" si="17"/>
        <v>0</v>
      </c>
      <c r="AG50" s="68">
        <f>IF(D50="","",_xlfn.XLOOKUP(A50,'13'!A:A,'13'!D:D,IF($U$6=0,0,"ERROR")))</f>
        <v>1</v>
      </c>
      <c r="AH50" s="70">
        <f t="shared" si="18"/>
        <v>1472.625</v>
      </c>
      <c r="AI50" s="106">
        <f>IF(D50="","",_xlfn.XLOOKUP(A50,'14'!A:A,'14'!D:D,IF($U$6=0,0,"ERROR")))</f>
        <v>1</v>
      </c>
      <c r="AJ50" s="99">
        <f t="shared" si="19"/>
        <v>1472.625</v>
      </c>
      <c r="AK50" s="99"/>
      <c r="AL50" s="99"/>
      <c r="AM50" s="68">
        <f t="shared" si="20"/>
        <v>3</v>
      </c>
      <c r="AN50" s="74">
        <f t="shared" si="21"/>
        <v>4417.875</v>
      </c>
      <c r="AO50" s="93" t="str">
        <f t="shared" si="22"/>
        <v>הכל טוב</v>
      </c>
      <c r="AP50" s="91"/>
      <c r="AR50" s="93"/>
    </row>
    <row r="51" spans="1:44" ht="27.6" x14ac:dyDescent="0.25">
      <c r="A51" s="9" t="s">
        <v>84</v>
      </c>
      <c r="B51" s="2" t="s">
        <v>85</v>
      </c>
      <c r="C51" s="3" t="s">
        <v>2</v>
      </c>
      <c r="D51" s="41">
        <v>1820</v>
      </c>
      <c r="E51" s="10">
        <f t="shared" si="4"/>
        <v>273</v>
      </c>
      <c r="F51" s="10">
        <f t="shared" si="5"/>
        <v>91</v>
      </c>
      <c r="G51" s="10">
        <f t="shared" si="6"/>
        <v>1624.35</v>
      </c>
      <c r="H51" s="67"/>
      <c r="I51" s="68"/>
      <c r="J51" s="74">
        <f t="shared" si="7"/>
        <v>0</v>
      </c>
      <c r="K51" s="68"/>
      <c r="L51" s="74">
        <f t="shared" si="8"/>
        <v>0</v>
      </c>
      <c r="M51" s="68">
        <f>IF(D51="","",_xlfn.XLOOKUP(A51,'3'!A:A,'3'!D:D,IF($M$6=0,0,"ERROR")))</f>
        <v>1</v>
      </c>
      <c r="N51" s="70">
        <f t="shared" si="9"/>
        <v>1624.35</v>
      </c>
      <c r="O51" s="68">
        <f>IF(D51="","",_xlfn.XLOOKUP(A51,'4'!A:A,'4'!D:D,IF($O$6=0,0,"ERROR")))</f>
        <v>0</v>
      </c>
      <c r="P51" s="69">
        <f t="shared" si="10"/>
        <v>0</v>
      </c>
      <c r="Q51" s="68">
        <f>IF(D51="","",_xlfn.XLOOKUP(A51,'5'!A:A,'5'!D:D,IF($Q$6=0,0,"ERROR")))</f>
        <v>0</v>
      </c>
      <c r="R51" s="70">
        <f t="shared" si="11"/>
        <v>0</v>
      </c>
      <c r="S51" s="68">
        <f>IF(D51="","",_xlfn.XLOOKUP(A51,'6'!A:A,'6'!D:D,IF($Q$6=0,0,"ERROR")))</f>
        <v>1</v>
      </c>
      <c r="T51" s="70">
        <f t="shared" si="12"/>
        <v>1624.35</v>
      </c>
      <c r="U51" s="68">
        <f>IF(D51="","",_xlfn.XLOOKUP(A51,'7'!A:A,'7'!D:D,IF($U$6=0,0,"ERROR")))</f>
        <v>2</v>
      </c>
      <c r="V51" s="70">
        <f t="shared" si="13"/>
        <v>3248.7</v>
      </c>
      <c r="W51" s="68">
        <f>IF(D51="","",_xlfn.XLOOKUP(A51,'8'!A:A,'8'!D:D,IF($U$6=0,0,"ERROR")))</f>
        <v>1</v>
      </c>
      <c r="X51" s="70">
        <f t="shared" si="3"/>
        <v>1624.35</v>
      </c>
      <c r="Y51" s="68">
        <f>IF(D51="","",_xlfn.XLOOKUP(A51,'9'!A:A,'9'!D:D,IF($U$6=0,0,"ERROR")))</f>
        <v>1</v>
      </c>
      <c r="Z51" s="70">
        <f t="shared" si="14"/>
        <v>1624.35</v>
      </c>
      <c r="AA51" s="68">
        <f>IF(D51="","",_xlfn.XLOOKUP(A51,'10'!A:A,'10'!D:D,IF($U$6=0,0,"ERROR")))</f>
        <v>0</v>
      </c>
      <c r="AB51" s="70">
        <f t="shared" si="15"/>
        <v>0</v>
      </c>
      <c r="AC51" s="68">
        <f>IF(D51="","",_xlfn.XLOOKUP(A51,'11'!A:A,'11'!D:D,IF($U$6=0,0,"ERROR")))</f>
        <v>2</v>
      </c>
      <c r="AD51" s="70">
        <f t="shared" si="16"/>
        <v>3248.7</v>
      </c>
      <c r="AE51" s="68">
        <f>IF(D51="","",_xlfn.XLOOKUP(A51,'12'!A:A,'12'!D:D,IF($U$6=0,0,"ERROR")))</f>
        <v>0</v>
      </c>
      <c r="AF51" s="70">
        <f t="shared" si="17"/>
        <v>0</v>
      </c>
      <c r="AG51" s="68">
        <f>IF(D51="","",_xlfn.XLOOKUP(A51,'13'!A:A,'13'!D:D,IF($U$6=0,0,"ERROR")))</f>
        <v>1</v>
      </c>
      <c r="AH51" s="70">
        <f t="shared" si="18"/>
        <v>1624.35</v>
      </c>
      <c r="AI51" s="106">
        <f>IF(D51="","",_xlfn.XLOOKUP(A51,'14'!A:A,'14'!D:D,IF($U$6=0,0,"ERROR")))</f>
        <v>1</v>
      </c>
      <c r="AJ51" s="99">
        <f t="shared" si="19"/>
        <v>1624.35</v>
      </c>
      <c r="AK51" s="99"/>
      <c r="AL51" s="99"/>
      <c r="AM51" s="68">
        <f t="shared" si="20"/>
        <v>10</v>
      </c>
      <c r="AN51" s="74">
        <f t="shared" si="21"/>
        <v>16243.5</v>
      </c>
      <c r="AO51" s="93" t="str">
        <f t="shared" si="22"/>
        <v>הכל טוב</v>
      </c>
      <c r="AP51" s="91"/>
      <c r="AR51" s="93"/>
    </row>
    <row r="52" spans="1:44" hidden="1" x14ac:dyDescent="0.25">
      <c r="A52" s="9" t="s">
        <v>86</v>
      </c>
      <c r="B52" s="2" t="s">
        <v>87</v>
      </c>
      <c r="C52" s="3" t="s">
        <v>2</v>
      </c>
      <c r="D52" s="41">
        <v>130</v>
      </c>
      <c r="E52" s="10">
        <f t="shared" si="4"/>
        <v>19.5</v>
      </c>
      <c r="F52" s="10">
        <f t="shared" si="5"/>
        <v>6.5</v>
      </c>
      <c r="G52" s="10">
        <f t="shared" si="6"/>
        <v>116.02499999999999</v>
      </c>
      <c r="H52" s="67"/>
      <c r="I52" s="68"/>
      <c r="J52" s="74">
        <f t="shared" si="7"/>
        <v>0</v>
      </c>
      <c r="K52" s="68"/>
      <c r="L52" s="74">
        <f t="shared" si="8"/>
        <v>0</v>
      </c>
      <c r="M52" s="68">
        <f>IF(D52="","",_xlfn.XLOOKUP(A52,'3'!A:A,'3'!D:D,IF($M$6=0,0,"ERROR")))</f>
        <v>0</v>
      </c>
      <c r="N52" s="70">
        <f t="shared" si="9"/>
        <v>0</v>
      </c>
      <c r="O52" s="68">
        <f>IF(D52="","",_xlfn.XLOOKUP(A52,'4'!A:A,'4'!D:D,IF($O$6=0,0,"ERROR")))</f>
        <v>0</v>
      </c>
      <c r="P52" s="69">
        <f t="shared" si="10"/>
        <v>0</v>
      </c>
      <c r="Q52" s="68">
        <f>IF(D52="","",_xlfn.XLOOKUP(A52,'5'!A:A,'5'!D:D,IF($Q$6=0,0,"ERROR")))</f>
        <v>0</v>
      </c>
      <c r="R52" s="70">
        <f t="shared" si="11"/>
        <v>0</v>
      </c>
      <c r="S52" s="68">
        <f>IF(D52="","",_xlfn.XLOOKUP(A52,'6'!A:A,'6'!D:D,IF($Q$6=0,0,"ERROR")))</f>
        <v>0</v>
      </c>
      <c r="T52" s="70">
        <f t="shared" si="12"/>
        <v>0</v>
      </c>
      <c r="U52" s="68">
        <f>IF(D52="","",_xlfn.XLOOKUP(A52,'7'!A:A,'7'!D:D,IF($U$6=0,0,"ERROR")))</f>
        <v>2</v>
      </c>
      <c r="V52" s="70">
        <f t="shared" si="13"/>
        <v>232.04999999999998</v>
      </c>
      <c r="W52" s="68">
        <f>IF(D52="","",_xlfn.XLOOKUP(A52,'8'!A:A,'8'!D:D,IF($U$6=0,0,"ERROR")))</f>
        <v>0</v>
      </c>
      <c r="X52" s="70">
        <f t="shared" si="3"/>
        <v>0</v>
      </c>
      <c r="Y52" s="68">
        <f>IF(D52="","",_xlfn.XLOOKUP(A52,'9'!A:A,'9'!D:D,IF($U$6=0,0,"ERROR")))</f>
        <v>1</v>
      </c>
      <c r="Z52" s="70">
        <f t="shared" si="14"/>
        <v>116.02499999999999</v>
      </c>
      <c r="AA52" s="68">
        <f>IF(D52="","",_xlfn.XLOOKUP(A52,'10'!A:A,'10'!D:D,IF($U$6=0,0,"ERROR")))</f>
        <v>0</v>
      </c>
      <c r="AB52" s="70">
        <f t="shared" si="15"/>
        <v>0</v>
      </c>
      <c r="AC52" s="68">
        <f>IF(D52="","",_xlfn.XLOOKUP(A52,'11'!A:A,'11'!D:D,IF($U$6=0,0,"ERROR")))</f>
        <v>0</v>
      </c>
      <c r="AD52" s="70">
        <f t="shared" si="16"/>
        <v>0</v>
      </c>
      <c r="AE52" s="68">
        <f>IF(D52="","",_xlfn.XLOOKUP(A52,'12'!A:A,'12'!D:D,IF($U$6=0,0,"ERROR")))</f>
        <v>2</v>
      </c>
      <c r="AF52" s="70">
        <f t="shared" si="17"/>
        <v>232.04999999999998</v>
      </c>
      <c r="AG52" s="68">
        <f>IF(D52="","",_xlfn.XLOOKUP(A52,'13'!A:A,'13'!D:D,IF($U$6=0,0,"ERROR")))</f>
        <v>3</v>
      </c>
      <c r="AH52" s="70">
        <f t="shared" si="18"/>
        <v>348.07499999999999</v>
      </c>
      <c r="AI52" s="106">
        <f>IF(D52="","",_xlfn.XLOOKUP(A52,'14'!A:A,'14'!D:D,IF($U$6=0,0,"ERROR")))</f>
        <v>0</v>
      </c>
      <c r="AJ52" s="99">
        <f t="shared" si="19"/>
        <v>0</v>
      </c>
      <c r="AK52" s="99"/>
      <c r="AL52" s="99"/>
      <c r="AM52" s="68">
        <f t="shared" si="20"/>
        <v>8</v>
      </c>
      <c r="AN52" s="74">
        <f t="shared" si="21"/>
        <v>928.19999999999993</v>
      </c>
      <c r="AO52" s="93" t="str">
        <f t="shared" si="22"/>
        <v>הכל טוב</v>
      </c>
      <c r="AP52" s="91"/>
      <c r="AR52" s="93"/>
    </row>
    <row r="53" spans="1:44" x14ac:dyDescent="0.25">
      <c r="A53" s="9" t="s">
        <v>175</v>
      </c>
      <c r="B53" s="2" t="s">
        <v>176</v>
      </c>
      <c r="C53" s="3" t="s">
        <v>24</v>
      </c>
      <c r="D53" s="41">
        <v>60</v>
      </c>
      <c r="E53" s="10">
        <f t="shared" si="4"/>
        <v>9</v>
      </c>
      <c r="F53" s="10">
        <f t="shared" si="5"/>
        <v>3</v>
      </c>
      <c r="G53" s="10">
        <f t="shared" si="6"/>
        <v>53.55</v>
      </c>
      <c r="H53" s="67"/>
      <c r="I53" s="68"/>
      <c r="J53" s="74"/>
      <c r="K53" s="68"/>
      <c r="L53" s="74"/>
      <c r="M53" s="68">
        <f>IF(D53="","",_xlfn.XLOOKUP(A53,'3'!A:A,'3'!D:D,IF($M$6=0,0,"ERROR")))</f>
        <v>20.7958</v>
      </c>
      <c r="N53" s="70">
        <f t="shared" si="9"/>
        <v>1113.61509</v>
      </c>
      <c r="O53" s="68">
        <f>IF(D53="","",_xlfn.XLOOKUP(A53,'4'!A:A,'4'!D:D,IF($O$6=0,0,"ERROR")))</f>
        <v>0</v>
      </c>
      <c r="P53" s="69">
        <f>IF(G53="","",O53*G53)</f>
        <v>0</v>
      </c>
      <c r="Q53" s="68">
        <f>IF(D53="","",_xlfn.XLOOKUP(A53,'5'!A:A,'5'!D:D,IF($Q$6=0,0,"ERROR")))</f>
        <v>38.555</v>
      </c>
      <c r="R53" s="70">
        <f t="shared" si="11"/>
        <v>2064.6202499999999</v>
      </c>
      <c r="S53" s="68">
        <f>IF(D53="","",_xlfn.XLOOKUP(A53,'6'!A:A,'6'!D:D,IF($Q$6=0,0,"ERROR")))</f>
        <v>19.04</v>
      </c>
      <c r="T53" s="70">
        <f t="shared" si="12"/>
        <v>1019.5919999999999</v>
      </c>
      <c r="U53" s="68">
        <f>IF(D53="","",_xlfn.XLOOKUP(A53,'7'!A:A,'7'!D:D,IF($U$6=0,0,"ERROR")))</f>
        <v>16.364000000000001</v>
      </c>
      <c r="V53" s="70">
        <f t="shared" si="13"/>
        <v>876.29219999999998</v>
      </c>
      <c r="W53" s="68">
        <f>IF(D53="","",_xlfn.XLOOKUP(A53,'8'!A:A,'8'!D:D,IF($U$6=0,0,"ERROR")))</f>
        <v>19.950000000000003</v>
      </c>
      <c r="X53" s="70">
        <f t="shared" si="3"/>
        <v>1068.3225</v>
      </c>
      <c r="Y53" s="68">
        <f>IF(D53="","",_xlfn.XLOOKUP(A53,'9'!A:A,'9'!D:D,IF($U$6=0,0,"ERROR")))</f>
        <v>15.305999999999997</v>
      </c>
      <c r="Z53" s="70">
        <f t="shared" si="14"/>
        <v>819.63629999999978</v>
      </c>
      <c r="AA53" s="68">
        <f>IF(D53="","",_xlfn.XLOOKUP(A53,'10'!A:A,'10'!D:D,IF($U$6=0,0,"ERROR")))</f>
        <v>9.1668000000000003</v>
      </c>
      <c r="AB53" s="70">
        <f t="shared" si="15"/>
        <v>490.88213999999999</v>
      </c>
      <c r="AC53" s="68">
        <f>IF(D53="","",_xlfn.XLOOKUP(A53,'11'!A:A,'11'!D:D,IF($U$6=0,0,"ERROR")))</f>
        <v>18.98</v>
      </c>
      <c r="AD53" s="70">
        <f t="shared" si="16"/>
        <v>1016.379</v>
      </c>
      <c r="AE53" s="68">
        <f>IF(D53="","",_xlfn.XLOOKUP(A53,'12'!A:A,'12'!D:D,IF($U$6=0,0,"ERROR")))</f>
        <v>4</v>
      </c>
      <c r="AF53" s="70">
        <f t="shared" si="17"/>
        <v>214.2</v>
      </c>
      <c r="AG53" s="68">
        <f>IF(D53="","",_xlfn.XLOOKUP(A53,'13'!A:A,'13'!D:D,IF($U$6=0,0,"ERROR")))</f>
        <v>10.23</v>
      </c>
      <c r="AH53" s="70">
        <f t="shared" si="18"/>
        <v>547.81650000000002</v>
      </c>
      <c r="AI53" s="106">
        <f>IF(D53="","",_xlfn.XLOOKUP(A53,'14'!A:A,'14'!D:D,IF($U$6=0,0,"ERROR")))</f>
        <v>0</v>
      </c>
      <c r="AJ53" s="99">
        <f t="shared" si="19"/>
        <v>0</v>
      </c>
      <c r="AK53" s="99"/>
      <c r="AL53" s="99"/>
      <c r="AM53" s="68">
        <f t="shared" si="20"/>
        <v>172.38759999999999</v>
      </c>
      <c r="AN53" s="74">
        <f t="shared" si="21"/>
        <v>9231.3559800000021</v>
      </c>
      <c r="AO53" s="93" t="str">
        <f t="shared" si="22"/>
        <v>הכל טוב</v>
      </c>
      <c r="AP53" s="91"/>
      <c r="AR53" s="93"/>
    </row>
    <row r="54" spans="1:44" x14ac:dyDescent="0.25">
      <c r="A54" s="9" t="s">
        <v>88</v>
      </c>
      <c r="B54" s="2" t="s">
        <v>89</v>
      </c>
      <c r="C54" s="3" t="s">
        <v>2</v>
      </c>
      <c r="D54" s="41">
        <v>109</v>
      </c>
      <c r="E54" s="10">
        <f t="shared" si="4"/>
        <v>16.349999999999998</v>
      </c>
      <c r="F54" s="10">
        <f t="shared" si="5"/>
        <v>5.45</v>
      </c>
      <c r="G54" s="10">
        <f t="shared" si="6"/>
        <v>97.282499999999999</v>
      </c>
      <c r="H54" s="67"/>
      <c r="I54" s="68"/>
      <c r="J54" s="74">
        <f t="shared" si="7"/>
        <v>0</v>
      </c>
      <c r="K54" s="68"/>
      <c r="L54" s="74">
        <f t="shared" si="8"/>
        <v>0</v>
      </c>
      <c r="M54" s="68">
        <f>IF(D54="","",_xlfn.XLOOKUP(A54,'3'!A:A,'3'!D:D,IF($M$6=0,0,"ERROR")))</f>
        <v>0</v>
      </c>
      <c r="N54" s="70">
        <f t="shared" si="9"/>
        <v>0</v>
      </c>
      <c r="O54" s="68">
        <f>IF(D54="","",_xlfn.XLOOKUP(A54,'4'!A:A,'4'!D:D,IF($O$6=0,0,"ERROR")))</f>
        <v>0</v>
      </c>
      <c r="P54" s="69">
        <f t="shared" si="10"/>
        <v>0</v>
      </c>
      <c r="Q54" s="68">
        <f>IF(D54="","",_xlfn.XLOOKUP(A54,'5'!A:A,'5'!D:D,IF($Q$6=0,0,"ERROR")))</f>
        <v>0</v>
      </c>
      <c r="R54" s="70">
        <f t="shared" si="11"/>
        <v>0</v>
      </c>
      <c r="S54" s="68">
        <f>IF(D54="","",_xlfn.XLOOKUP(A54,'6'!A:A,'6'!D:D,IF($Q$6=0,0,"ERROR")))</f>
        <v>0</v>
      </c>
      <c r="T54" s="70">
        <f t="shared" si="12"/>
        <v>0</v>
      </c>
      <c r="U54" s="68">
        <f>IF(D54="","",_xlfn.XLOOKUP(A54,'7'!A:A,'7'!D:D,IF($U$6=0,0,"ERROR")))</f>
        <v>1</v>
      </c>
      <c r="V54" s="70">
        <f t="shared" si="13"/>
        <v>97.282499999999999</v>
      </c>
      <c r="W54" s="68">
        <f>IF(D54="","",_xlfn.XLOOKUP(A54,'8'!A:A,'8'!D:D,IF($U$6=0,0,"ERROR")))</f>
        <v>1</v>
      </c>
      <c r="X54" s="70">
        <f t="shared" si="3"/>
        <v>97.282499999999999</v>
      </c>
      <c r="Y54" s="68">
        <f>IF(D54="","",_xlfn.XLOOKUP(A54,'9'!A:A,'9'!D:D,IF($U$6=0,0,"ERROR")))</f>
        <v>0</v>
      </c>
      <c r="Z54" s="70">
        <f t="shared" si="14"/>
        <v>0</v>
      </c>
      <c r="AA54" s="68">
        <f>IF(D54="","",_xlfn.XLOOKUP(A54,'10'!A:A,'10'!D:D,IF($U$6=0,0,"ERROR")))</f>
        <v>1</v>
      </c>
      <c r="AB54" s="70">
        <f t="shared" si="15"/>
        <v>97.282499999999999</v>
      </c>
      <c r="AC54" s="68">
        <f>IF(D54="","",_xlfn.XLOOKUP(A54,'11'!A:A,'11'!D:D,IF($U$6=0,0,"ERROR")))</f>
        <v>0</v>
      </c>
      <c r="AD54" s="70">
        <f t="shared" si="16"/>
        <v>0</v>
      </c>
      <c r="AE54" s="68">
        <f>IF(D54="","",_xlfn.XLOOKUP(A54,'12'!A:A,'12'!D:D,IF($U$6=0,0,"ERROR")))</f>
        <v>0</v>
      </c>
      <c r="AF54" s="70">
        <f t="shared" si="17"/>
        <v>0</v>
      </c>
      <c r="AG54" s="68">
        <f>IF(D54="","",_xlfn.XLOOKUP(A54,'13'!A:A,'13'!D:D,IF($U$6=0,0,"ERROR")))</f>
        <v>0</v>
      </c>
      <c r="AH54" s="70">
        <f t="shared" si="18"/>
        <v>0</v>
      </c>
      <c r="AI54" s="106">
        <f>IF(D54="","",_xlfn.XLOOKUP(A54,'14'!A:A,'14'!D:D,IF($U$6=0,0,"ERROR")))</f>
        <v>0</v>
      </c>
      <c r="AJ54" s="99">
        <f t="shared" si="19"/>
        <v>0</v>
      </c>
      <c r="AK54" s="99"/>
      <c r="AL54" s="99"/>
      <c r="AM54" s="68">
        <f t="shared" si="20"/>
        <v>3</v>
      </c>
      <c r="AN54" s="74">
        <f t="shared" si="21"/>
        <v>291.84749999999997</v>
      </c>
      <c r="AO54" s="93" t="str">
        <f t="shared" si="22"/>
        <v>הכל טוב</v>
      </c>
      <c r="AP54" s="91"/>
      <c r="AR54" s="93"/>
    </row>
    <row r="55" spans="1:44" x14ac:dyDescent="0.25">
      <c r="A55" s="9" t="s">
        <v>90</v>
      </c>
      <c r="B55" s="2" t="s">
        <v>91</v>
      </c>
      <c r="C55" s="3" t="s">
        <v>2</v>
      </c>
      <c r="D55" s="41">
        <v>121</v>
      </c>
      <c r="E55" s="10">
        <f t="shared" si="4"/>
        <v>18.149999999999999</v>
      </c>
      <c r="F55" s="10">
        <f t="shared" si="5"/>
        <v>6.0500000000000007</v>
      </c>
      <c r="G55" s="10">
        <f t="shared" si="6"/>
        <v>107.99250000000001</v>
      </c>
      <c r="H55" s="67"/>
      <c r="I55" s="68"/>
      <c r="J55" s="74">
        <f t="shared" si="7"/>
        <v>0</v>
      </c>
      <c r="K55" s="68"/>
      <c r="L55" s="74">
        <f t="shared" si="8"/>
        <v>0</v>
      </c>
      <c r="M55" s="68">
        <f>IF(D55="","",_xlfn.XLOOKUP(A55,'3'!A:A,'3'!D:D,IF($M$6=0,0,"ERROR")))</f>
        <v>0</v>
      </c>
      <c r="N55" s="70">
        <f t="shared" si="9"/>
        <v>0</v>
      </c>
      <c r="O55" s="68">
        <f>IF(D55="","",_xlfn.XLOOKUP(A55,'4'!A:A,'4'!D:D,IF($O$6=0,0,"ERROR")))</f>
        <v>0</v>
      </c>
      <c r="P55" s="69">
        <f t="shared" si="10"/>
        <v>0</v>
      </c>
      <c r="Q55" s="68">
        <f>IF(D55="","",_xlfn.XLOOKUP(A55,'5'!A:A,'5'!D:D,IF($Q$6=0,0,"ERROR")))</f>
        <v>6</v>
      </c>
      <c r="R55" s="70">
        <f t="shared" si="11"/>
        <v>647.95500000000004</v>
      </c>
      <c r="S55" s="68">
        <f>IF(D55="","",_xlfn.XLOOKUP(A55,'6'!A:A,'6'!D:D,IF($Q$6=0,0,"ERROR")))</f>
        <v>3</v>
      </c>
      <c r="T55" s="70">
        <f t="shared" si="12"/>
        <v>323.97750000000002</v>
      </c>
      <c r="U55" s="68">
        <f>IF(D55="","",_xlfn.XLOOKUP(A55,'7'!A:A,'7'!D:D,IF($U$6=0,0,"ERROR")))</f>
        <v>5</v>
      </c>
      <c r="V55" s="70">
        <f t="shared" si="13"/>
        <v>539.96250000000009</v>
      </c>
      <c r="W55" s="68">
        <f>IF(D55="","",_xlfn.XLOOKUP(A55,'8'!A:A,'8'!D:D,IF($U$6=0,0,"ERROR")))</f>
        <v>5</v>
      </c>
      <c r="X55" s="70">
        <f t="shared" si="3"/>
        <v>539.96250000000009</v>
      </c>
      <c r="Y55" s="68">
        <f>IF(D55="","",_xlfn.XLOOKUP(A55,'9'!A:A,'9'!D:D,IF($U$6=0,0,"ERROR")))</f>
        <v>4</v>
      </c>
      <c r="Z55" s="70">
        <f t="shared" si="14"/>
        <v>431.97</v>
      </c>
      <c r="AA55" s="68">
        <f>IF(D55="","",_xlfn.XLOOKUP(A55,'10'!A:A,'10'!D:D,IF($U$6=0,0,"ERROR")))</f>
        <v>4</v>
      </c>
      <c r="AB55" s="70">
        <f t="shared" si="15"/>
        <v>431.97</v>
      </c>
      <c r="AC55" s="68">
        <f>IF(D55="","",_xlfn.XLOOKUP(A55,'11'!A:A,'11'!D:D,IF($U$6=0,0,"ERROR")))</f>
        <v>2</v>
      </c>
      <c r="AD55" s="70">
        <f t="shared" si="16"/>
        <v>215.98500000000001</v>
      </c>
      <c r="AE55" s="68">
        <f>IF(D55="","",_xlfn.XLOOKUP(A55,'12'!A:A,'12'!D:D,IF($U$6=0,0,"ERROR")))</f>
        <v>2</v>
      </c>
      <c r="AF55" s="70">
        <f t="shared" si="17"/>
        <v>215.98500000000001</v>
      </c>
      <c r="AG55" s="68">
        <f>IF(D55="","",_xlfn.XLOOKUP(A55,'13'!A:A,'13'!D:D,IF($U$6=0,0,"ERROR")))</f>
        <v>3</v>
      </c>
      <c r="AH55" s="70">
        <f t="shared" si="18"/>
        <v>323.97750000000002</v>
      </c>
      <c r="AI55" s="106">
        <f>IF(D55="","",_xlfn.XLOOKUP(A55,'14'!A:A,'14'!D:D,IF($U$6=0,0,"ERROR")))</f>
        <v>0</v>
      </c>
      <c r="AJ55" s="99">
        <f t="shared" si="19"/>
        <v>0</v>
      </c>
      <c r="AK55" s="99"/>
      <c r="AL55" s="99"/>
      <c r="AM55" s="68">
        <f t="shared" si="20"/>
        <v>34</v>
      </c>
      <c r="AN55" s="74">
        <f t="shared" si="21"/>
        <v>3671.7450000000008</v>
      </c>
      <c r="AO55" s="93" t="str">
        <f t="shared" si="22"/>
        <v>הכל טוב</v>
      </c>
      <c r="AP55" s="91"/>
      <c r="AR55" s="93"/>
    </row>
    <row r="56" spans="1:44" ht="14.4" x14ac:dyDescent="0.3">
      <c r="A56" s="63" t="s">
        <v>195</v>
      </c>
      <c r="B56" s="55" t="s">
        <v>182</v>
      </c>
      <c r="C56" s="3" t="s">
        <v>2</v>
      </c>
      <c r="D56" s="41">
        <v>133</v>
      </c>
      <c r="E56" s="10">
        <f t="shared" si="4"/>
        <v>19.95</v>
      </c>
      <c r="F56" s="10">
        <f t="shared" si="5"/>
        <v>6.65</v>
      </c>
      <c r="G56" s="10">
        <f t="shared" si="6"/>
        <v>118.7025</v>
      </c>
      <c r="H56" s="67"/>
      <c r="I56" s="68"/>
      <c r="J56" s="74">
        <f t="shared" ref="J56:J61" si="27">IF(D56="","",I56*G56)</f>
        <v>0</v>
      </c>
      <c r="K56" s="68"/>
      <c r="L56" s="74">
        <f t="shared" ref="L56:L61" si="28">IF(G56="","",K56*G56)</f>
        <v>0</v>
      </c>
      <c r="M56" s="68">
        <f>IF(D56="","",_xlfn.XLOOKUP(A56,'3'!A:A,'3'!D:D,IF($M$6=0,0,"ERROR")))</f>
        <v>5</v>
      </c>
      <c r="N56" s="70">
        <f t="shared" ref="N56:N61" si="29">IF(G56="","",M56*G56)</f>
        <v>593.51250000000005</v>
      </c>
      <c r="O56" s="68">
        <f>IF(D56="","",_xlfn.XLOOKUP(A56,'4'!A:A,'4'!D:D,IF($O$6=0,0,"ERROR")))</f>
        <v>0</v>
      </c>
      <c r="P56" s="69">
        <f t="shared" ref="P56:P61" si="30">IF(G56="","",O56*G56)</f>
        <v>0</v>
      </c>
      <c r="Q56" s="68">
        <f>IF(D56="","",_xlfn.XLOOKUP(A56,'5'!A:A,'5'!D:D,IF($Q$6=0,0,"ERROR")))</f>
        <v>0</v>
      </c>
      <c r="R56" s="70">
        <f t="shared" ref="R56:R61" si="31">IF(G56="","",Q56*G56)</f>
        <v>0</v>
      </c>
      <c r="S56" s="68">
        <f>IF(D56="","",_xlfn.XLOOKUP(A56,'6'!A:A,'6'!D:D,IF($Q$6=0,0,"ERROR")))</f>
        <v>0</v>
      </c>
      <c r="T56" s="70">
        <f t="shared" si="12"/>
        <v>0</v>
      </c>
      <c r="U56" s="68">
        <f>IF(D56="","",_xlfn.XLOOKUP(A56,'7'!A:A,'7'!D:D,IF($U$6=0,0,"ERROR")))</f>
        <v>0</v>
      </c>
      <c r="V56" s="70">
        <f t="shared" ref="V56:V61" si="32">IF(G56="","",U56*G56)</f>
        <v>0</v>
      </c>
      <c r="W56" s="68">
        <f>IF(D56="","",_xlfn.XLOOKUP(A56,'8'!A:A,'8'!D:D,IF($U$6=0,0,"ERROR")))</f>
        <v>0</v>
      </c>
      <c r="X56" s="70">
        <f t="shared" ref="X56:X61" si="33">IF(G56="","",W56*G56)</f>
        <v>0</v>
      </c>
      <c r="Y56" s="68">
        <f>IF(D56="","",_xlfn.XLOOKUP(A56,'9'!A:A,'9'!D:D,IF($U$6=0,0,"ERROR")))</f>
        <v>1</v>
      </c>
      <c r="Z56" s="70">
        <f t="shared" si="14"/>
        <v>118.7025</v>
      </c>
      <c r="AA56" s="68">
        <f>IF(D56="","",_xlfn.XLOOKUP(A56,'10'!A:A,'10'!D:D,IF($U$6=0,0,"ERROR")))</f>
        <v>0</v>
      </c>
      <c r="AB56" s="70">
        <f t="shared" si="15"/>
        <v>0</v>
      </c>
      <c r="AC56" s="68">
        <f>IF(D56="","",_xlfn.XLOOKUP(A56,'11'!A:A,'11'!D:D,IF($U$6=0,0,"ERROR")))</f>
        <v>0</v>
      </c>
      <c r="AD56" s="70">
        <f t="shared" si="16"/>
        <v>0</v>
      </c>
      <c r="AE56" s="68">
        <f>IF(D56="","",_xlfn.XLOOKUP(A56,'12'!A:A,'12'!D:D,IF($U$6=0,0,"ERROR")))</f>
        <v>0</v>
      </c>
      <c r="AF56" s="70">
        <f t="shared" si="17"/>
        <v>0</v>
      </c>
      <c r="AG56" s="68">
        <f>IF(D56="","",_xlfn.XLOOKUP(A56,'13'!A:A,'13'!D:D,IF($U$6=0,0,"ERROR")))</f>
        <v>1</v>
      </c>
      <c r="AH56" s="70">
        <f t="shared" si="18"/>
        <v>118.7025</v>
      </c>
      <c r="AI56" s="106">
        <f>IF(D56="","",_xlfn.XLOOKUP(A56,'14'!A:A,'14'!D:D,IF($U$6=0,0,"ERROR")))</f>
        <v>0</v>
      </c>
      <c r="AJ56" s="99">
        <f t="shared" si="19"/>
        <v>0</v>
      </c>
      <c r="AK56" s="99"/>
      <c r="AL56" s="99"/>
      <c r="AM56" s="68">
        <f t="shared" si="20"/>
        <v>7</v>
      </c>
      <c r="AN56" s="74">
        <f t="shared" si="21"/>
        <v>830.91750000000002</v>
      </c>
      <c r="AO56" s="93"/>
      <c r="AP56" s="91"/>
      <c r="AR56" s="93"/>
    </row>
    <row r="57" spans="1:44" ht="14.4" x14ac:dyDescent="0.3">
      <c r="A57" s="63" t="s">
        <v>196</v>
      </c>
      <c r="B57" s="55" t="s">
        <v>183</v>
      </c>
      <c r="C57" s="3" t="s">
        <v>2</v>
      </c>
      <c r="D57" s="41">
        <v>145</v>
      </c>
      <c r="E57" s="10">
        <f t="shared" si="4"/>
        <v>21.75</v>
      </c>
      <c r="F57" s="10">
        <f t="shared" si="5"/>
        <v>7.25</v>
      </c>
      <c r="G57" s="10">
        <f t="shared" si="6"/>
        <v>129.41249999999999</v>
      </c>
      <c r="H57" s="67"/>
      <c r="I57" s="68"/>
      <c r="J57" s="74">
        <f t="shared" si="27"/>
        <v>0</v>
      </c>
      <c r="K57" s="68"/>
      <c r="L57" s="74">
        <f t="shared" si="28"/>
        <v>0</v>
      </c>
      <c r="M57" s="68">
        <f>IF(D57="","",_xlfn.XLOOKUP(A57,'3'!A:A,'3'!D:D,IF($M$6=0,0,"ERROR")))</f>
        <v>0</v>
      </c>
      <c r="N57" s="70">
        <f t="shared" si="29"/>
        <v>0</v>
      </c>
      <c r="O57" s="68">
        <f>IF(D57="","",_xlfn.XLOOKUP(A57,'4'!A:A,'4'!D:D,IF($O$6=0,0,"ERROR")))</f>
        <v>0</v>
      </c>
      <c r="P57" s="69">
        <f t="shared" si="30"/>
        <v>0</v>
      </c>
      <c r="Q57" s="68">
        <f>IF(D57="","",_xlfn.XLOOKUP(A57,'5'!A:A,'5'!D:D,IF($Q$6=0,0,"ERROR")))</f>
        <v>0</v>
      </c>
      <c r="R57" s="70">
        <f t="shared" si="31"/>
        <v>0</v>
      </c>
      <c r="S57" s="68">
        <f>IF(D57="","",_xlfn.XLOOKUP(A57,'6'!A:A,'6'!D:D,IF($Q$6=0,0,"ERROR")))</f>
        <v>0</v>
      </c>
      <c r="T57" s="70">
        <f t="shared" si="12"/>
        <v>0</v>
      </c>
      <c r="U57" s="68">
        <f>IF(D57="","",_xlfn.XLOOKUP(A57,'7'!A:A,'7'!D:D,IF($U$6=0,0,"ERROR")))</f>
        <v>0</v>
      </c>
      <c r="V57" s="70">
        <f t="shared" si="32"/>
        <v>0</v>
      </c>
      <c r="W57" s="68">
        <f>IF(D57="","",_xlfn.XLOOKUP(A57,'8'!A:A,'8'!D:D,IF($U$6=0,0,"ERROR")))</f>
        <v>0</v>
      </c>
      <c r="X57" s="70">
        <f t="shared" si="33"/>
        <v>0</v>
      </c>
      <c r="Y57" s="68">
        <f>IF(D57="","",_xlfn.XLOOKUP(A57,'9'!A:A,'9'!D:D,IF($U$6=0,0,"ERROR")))</f>
        <v>0</v>
      </c>
      <c r="Z57" s="70">
        <f t="shared" si="14"/>
        <v>0</v>
      </c>
      <c r="AA57" s="68">
        <f>IF(D57="","",_xlfn.XLOOKUP(A57,'10'!A:A,'10'!D:D,IF($U$6=0,0,"ERROR")))</f>
        <v>0</v>
      </c>
      <c r="AB57" s="70">
        <f t="shared" si="15"/>
        <v>0</v>
      </c>
      <c r="AC57" s="68">
        <f>IF(D57="","",_xlfn.XLOOKUP(A57,'11'!A:A,'11'!D:D,IF($U$6=0,0,"ERROR")))</f>
        <v>0</v>
      </c>
      <c r="AD57" s="70">
        <f t="shared" si="16"/>
        <v>0</v>
      </c>
      <c r="AE57" s="68">
        <f>IF(D57="","",_xlfn.XLOOKUP(A57,'12'!A:A,'12'!D:D,IF($U$6=0,0,"ERROR")))</f>
        <v>0</v>
      </c>
      <c r="AF57" s="70">
        <f t="shared" si="17"/>
        <v>0</v>
      </c>
      <c r="AG57" s="68">
        <f>IF(D57="","",_xlfn.XLOOKUP(A57,'13'!A:A,'13'!D:D,IF($U$6=0,0,"ERROR")))</f>
        <v>0</v>
      </c>
      <c r="AH57" s="70">
        <f t="shared" si="18"/>
        <v>0</v>
      </c>
      <c r="AI57" s="106">
        <f>IF(D57="","",_xlfn.XLOOKUP(A57,'14'!A:A,'14'!D:D,IF($U$6=0,0,"ERROR")))</f>
        <v>0</v>
      </c>
      <c r="AJ57" s="99">
        <f t="shared" si="19"/>
        <v>0</v>
      </c>
      <c r="AK57" s="99"/>
      <c r="AL57" s="99"/>
      <c r="AM57" s="68">
        <f t="shared" si="20"/>
        <v>0</v>
      </c>
      <c r="AN57" s="74">
        <f t="shared" si="21"/>
        <v>0</v>
      </c>
      <c r="AO57" s="93"/>
      <c r="AP57" s="91"/>
      <c r="AR57" s="93"/>
    </row>
    <row r="58" spans="1:44" ht="14.4" x14ac:dyDescent="0.3">
      <c r="A58" s="63" t="s">
        <v>197</v>
      </c>
      <c r="B58" s="55" t="s">
        <v>184</v>
      </c>
      <c r="C58" s="3" t="s">
        <v>2</v>
      </c>
      <c r="D58" s="41">
        <v>157</v>
      </c>
      <c r="E58" s="10">
        <f t="shared" si="4"/>
        <v>23.55</v>
      </c>
      <c r="F58" s="10">
        <f t="shared" si="5"/>
        <v>7.8500000000000005</v>
      </c>
      <c r="G58" s="10">
        <f t="shared" si="6"/>
        <v>140.1225</v>
      </c>
      <c r="H58" s="67"/>
      <c r="I58" s="68"/>
      <c r="J58" s="74">
        <f t="shared" si="27"/>
        <v>0</v>
      </c>
      <c r="K58" s="68"/>
      <c r="L58" s="74">
        <f t="shared" si="28"/>
        <v>0</v>
      </c>
      <c r="M58" s="68">
        <f>IF(D58="","",_xlfn.XLOOKUP(A58,'3'!A:A,'3'!D:D,IF($M$6=0,0,"ERROR")))</f>
        <v>0</v>
      </c>
      <c r="N58" s="70">
        <f t="shared" si="29"/>
        <v>0</v>
      </c>
      <c r="O58" s="68">
        <f>IF(D58="","",_xlfn.XLOOKUP(A58,'4'!A:A,'4'!D:D,IF($O$6=0,0,"ERROR")))</f>
        <v>0</v>
      </c>
      <c r="P58" s="69">
        <f t="shared" si="30"/>
        <v>0</v>
      </c>
      <c r="Q58" s="68">
        <f>IF(D58="","",_xlfn.XLOOKUP(A58,'5'!A:A,'5'!D:D,IF($Q$6=0,0,"ERROR")))</f>
        <v>0</v>
      </c>
      <c r="R58" s="70">
        <f t="shared" si="31"/>
        <v>0</v>
      </c>
      <c r="S58" s="68">
        <f>IF(D58="","",_xlfn.XLOOKUP(A58,'6'!A:A,'6'!D:D,IF($Q$6=0,0,"ERROR")))</f>
        <v>0</v>
      </c>
      <c r="T58" s="70">
        <f t="shared" si="12"/>
        <v>0</v>
      </c>
      <c r="U58" s="68">
        <f>IF(D58="","",_xlfn.XLOOKUP(A58,'7'!A:A,'7'!D:D,IF($U$6=0,0,"ERROR")))</f>
        <v>0</v>
      </c>
      <c r="V58" s="70">
        <f t="shared" si="32"/>
        <v>0</v>
      </c>
      <c r="W58" s="68">
        <f>IF(D58="","",_xlfn.XLOOKUP(A58,'8'!A:A,'8'!D:D,IF($U$6=0,0,"ERROR")))</f>
        <v>0</v>
      </c>
      <c r="X58" s="70">
        <f t="shared" si="33"/>
        <v>0</v>
      </c>
      <c r="Y58" s="68">
        <f>IF(D58="","",_xlfn.XLOOKUP(A58,'9'!A:A,'9'!D:D,IF($U$6=0,0,"ERROR")))</f>
        <v>1</v>
      </c>
      <c r="Z58" s="70">
        <f t="shared" si="14"/>
        <v>140.1225</v>
      </c>
      <c r="AA58" s="68">
        <f>IF(D58="","",_xlfn.XLOOKUP(A58,'10'!A:A,'10'!D:D,IF($U$6=0,0,"ERROR")))</f>
        <v>0</v>
      </c>
      <c r="AB58" s="70">
        <f t="shared" si="15"/>
        <v>0</v>
      </c>
      <c r="AC58" s="68">
        <f>IF(D58="","",_xlfn.XLOOKUP(A58,'11'!A:A,'11'!D:D,IF($U$6=0,0,"ERROR")))</f>
        <v>2</v>
      </c>
      <c r="AD58" s="70">
        <f t="shared" si="16"/>
        <v>280.245</v>
      </c>
      <c r="AE58" s="68">
        <f>IF(D58="","",_xlfn.XLOOKUP(A58,'12'!A:A,'12'!D:D,IF($U$6=0,0,"ERROR")))</f>
        <v>0</v>
      </c>
      <c r="AF58" s="70">
        <f t="shared" si="17"/>
        <v>0</v>
      </c>
      <c r="AG58" s="68">
        <f>IF(D58="","",_xlfn.XLOOKUP(A58,'13'!A:A,'13'!D:D,IF($U$6=0,0,"ERROR")))</f>
        <v>1</v>
      </c>
      <c r="AH58" s="70">
        <f t="shared" si="18"/>
        <v>140.1225</v>
      </c>
      <c r="AI58" s="106">
        <f>IF(D58="","",_xlfn.XLOOKUP(A58,'14'!A:A,'14'!D:D,IF($U$6=0,0,"ERROR")))</f>
        <v>0</v>
      </c>
      <c r="AJ58" s="99">
        <f t="shared" si="19"/>
        <v>0</v>
      </c>
      <c r="AK58" s="99"/>
      <c r="AL58" s="99"/>
      <c r="AM58" s="68">
        <f t="shared" si="20"/>
        <v>4</v>
      </c>
      <c r="AN58" s="74">
        <f t="shared" si="21"/>
        <v>560.49</v>
      </c>
      <c r="AO58" s="93"/>
      <c r="AP58" s="91"/>
      <c r="AR58" s="93"/>
    </row>
    <row r="59" spans="1:44" ht="14.4" x14ac:dyDescent="0.3">
      <c r="A59" s="63" t="s">
        <v>198</v>
      </c>
      <c r="B59" s="55" t="s">
        <v>185</v>
      </c>
      <c r="C59" s="3" t="s">
        <v>2</v>
      </c>
      <c r="D59" s="41">
        <v>169</v>
      </c>
      <c r="E59" s="10">
        <f t="shared" si="4"/>
        <v>25.349999999999998</v>
      </c>
      <c r="F59" s="10">
        <f t="shared" si="5"/>
        <v>8.4500000000000011</v>
      </c>
      <c r="G59" s="10">
        <f t="shared" si="6"/>
        <v>150.83250000000001</v>
      </c>
      <c r="H59" s="67"/>
      <c r="I59" s="68"/>
      <c r="J59" s="74">
        <f t="shared" si="27"/>
        <v>0</v>
      </c>
      <c r="K59" s="68"/>
      <c r="L59" s="74">
        <f t="shared" si="28"/>
        <v>0</v>
      </c>
      <c r="M59" s="68">
        <f>IF(D59="","",_xlfn.XLOOKUP(A59,'3'!A:A,'3'!D:D,IF($M$6=0,0,"ERROR")))</f>
        <v>0</v>
      </c>
      <c r="N59" s="70">
        <f t="shared" si="29"/>
        <v>0</v>
      </c>
      <c r="O59" s="68">
        <f>IF(D59="","",_xlfn.XLOOKUP(A59,'4'!A:A,'4'!D:D,IF($O$6=0,0,"ERROR")))</f>
        <v>0</v>
      </c>
      <c r="P59" s="69">
        <f t="shared" si="30"/>
        <v>0</v>
      </c>
      <c r="Q59" s="68">
        <f>IF(D59="","",_xlfn.XLOOKUP(A59,'5'!A:A,'5'!D:D,IF($Q$6=0,0,"ERROR")))</f>
        <v>0</v>
      </c>
      <c r="R59" s="70">
        <f t="shared" si="31"/>
        <v>0</v>
      </c>
      <c r="S59" s="68">
        <f>IF(D59="","",_xlfn.XLOOKUP(A59,'6'!A:A,'6'!D:D,IF($Q$6=0,0,"ERROR")))</f>
        <v>1</v>
      </c>
      <c r="T59" s="70">
        <f t="shared" si="12"/>
        <v>150.83250000000001</v>
      </c>
      <c r="U59" s="68">
        <f>IF(D59="","",_xlfn.XLOOKUP(A59,'7'!A:A,'7'!D:D,IF($U$6=0,0,"ERROR")))</f>
        <v>1</v>
      </c>
      <c r="V59" s="70">
        <f t="shared" si="32"/>
        <v>150.83250000000001</v>
      </c>
      <c r="W59" s="68">
        <f>IF(D59="","",_xlfn.XLOOKUP(A59,'8'!A:A,'8'!D:D,IF($U$6=0,0,"ERROR")))</f>
        <v>1</v>
      </c>
      <c r="X59" s="70">
        <f t="shared" si="33"/>
        <v>150.83250000000001</v>
      </c>
      <c r="Y59" s="68">
        <f>IF(D59="","",_xlfn.XLOOKUP(A59,'9'!A:A,'9'!D:D,IF($U$6=0,0,"ERROR")))</f>
        <v>0</v>
      </c>
      <c r="Z59" s="70">
        <f t="shared" si="14"/>
        <v>0</v>
      </c>
      <c r="AA59" s="68">
        <f>IF(D59="","",_xlfn.XLOOKUP(A59,'10'!A:A,'10'!D:D,IF($U$6=0,0,"ERROR")))</f>
        <v>0</v>
      </c>
      <c r="AB59" s="70">
        <f t="shared" si="15"/>
        <v>0</v>
      </c>
      <c r="AC59" s="68">
        <f>IF(D59="","",_xlfn.XLOOKUP(A59,'11'!A:A,'11'!D:D,IF($U$6=0,0,"ERROR")))</f>
        <v>0</v>
      </c>
      <c r="AD59" s="70">
        <f t="shared" si="16"/>
        <v>0</v>
      </c>
      <c r="AE59" s="68">
        <f>IF(D59="","",_xlfn.XLOOKUP(A59,'12'!A:A,'12'!D:D,IF($U$6=0,0,"ERROR")))</f>
        <v>0</v>
      </c>
      <c r="AF59" s="70">
        <f t="shared" si="17"/>
        <v>0</v>
      </c>
      <c r="AG59" s="68">
        <f>IF(D59="","",_xlfn.XLOOKUP(A59,'13'!A:A,'13'!D:D,IF($U$6=0,0,"ERROR")))</f>
        <v>0</v>
      </c>
      <c r="AH59" s="70">
        <f t="shared" si="18"/>
        <v>0</v>
      </c>
      <c r="AI59" s="106">
        <f>IF(D59="","",_xlfn.XLOOKUP(A59,'14'!A:A,'14'!D:D,IF($U$6=0,0,"ERROR")))</f>
        <v>0</v>
      </c>
      <c r="AJ59" s="99">
        <f t="shared" si="19"/>
        <v>0</v>
      </c>
      <c r="AK59" s="99"/>
      <c r="AL59" s="99"/>
      <c r="AM59" s="68">
        <f t="shared" si="20"/>
        <v>3</v>
      </c>
      <c r="AN59" s="74">
        <f t="shared" si="21"/>
        <v>452.49750000000006</v>
      </c>
      <c r="AO59" s="93"/>
      <c r="AP59" s="91"/>
      <c r="AR59" s="93"/>
    </row>
    <row r="60" spans="1:44" ht="14.4" x14ac:dyDescent="0.3">
      <c r="A60" s="63" t="s">
        <v>199</v>
      </c>
      <c r="B60" s="55" t="s">
        <v>186</v>
      </c>
      <c r="C60" s="3" t="s">
        <v>2</v>
      </c>
      <c r="D60" s="41">
        <v>181</v>
      </c>
      <c r="E60" s="10">
        <f t="shared" si="4"/>
        <v>27.15</v>
      </c>
      <c r="F60" s="10">
        <f t="shared" si="5"/>
        <v>9.0500000000000007</v>
      </c>
      <c r="G60" s="10">
        <f t="shared" si="6"/>
        <v>161.54250000000002</v>
      </c>
      <c r="H60" s="67"/>
      <c r="I60" s="68"/>
      <c r="J60" s="74">
        <f t="shared" si="27"/>
        <v>0</v>
      </c>
      <c r="K60" s="68"/>
      <c r="L60" s="74">
        <f t="shared" si="28"/>
        <v>0</v>
      </c>
      <c r="M60" s="68">
        <f>IF(D60="","",_xlfn.XLOOKUP(A60,'3'!A:A,'3'!D:D,IF($M$6=0,0,"ERROR")))</f>
        <v>1</v>
      </c>
      <c r="N60" s="70">
        <f t="shared" si="29"/>
        <v>161.54250000000002</v>
      </c>
      <c r="O60" s="68">
        <f>IF(D60="","",_xlfn.XLOOKUP(A60,'4'!A:A,'4'!D:D,IF($O$6=0,0,"ERROR")))</f>
        <v>0</v>
      </c>
      <c r="P60" s="69">
        <f t="shared" si="30"/>
        <v>0</v>
      </c>
      <c r="Q60" s="68">
        <f>IF(D60="","",_xlfn.XLOOKUP(A60,'5'!A:A,'5'!D:D,IF($Q$6=0,0,"ERROR")))</f>
        <v>0</v>
      </c>
      <c r="R60" s="70">
        <f t="shared" si="31"/>
        <v>0</v>
      </c>
      <c r="S60" s="68">
        <f>IF(D60="","",_xlfn.XLOOKUP(A60,'6'!A:A,'6'!D:D,IF($Q$6=0,0,"ERROR")))</f>
        <v>0</v>
      </c>
      <c r="T60" s="70">
        <f t="shared" si="12"/>
        <v>0</v>
      </c>
      <c r="U60" s="68">
        <f>IF(D60="","",_xlfn.XLOOKUP(A60,'7'!A:A,'7'!D:D,IF($U$6=0,0,"ERROR")))</f>
        <v>1</v>
      </c>
      <c r="V60" s="70">
        <f t="shared" si="32"/>
        <v>161.54250000000002</v>
      </c>
      <c r="W60" s="68">
        <f>IF(D60="","",_xlfn.XLOOKUP(A60,'8'!A:A,'8'!D:D,IF($U$6=0,0,"ERROR")))</f>
        <v>0</v>
      </c>
      <c r="X60" s="70">
        <f t="shared" si="33"/>
        <v>0</v>
      </c>
      <c r="Y60" s="68">
        <f>IF(D60="","",_xlfn.XLOOKUP(A60,'9'!A:A,'9'!D:D,IF($U$6=0,0,"ERROR")))</f>
        <v>0</v>
      </c>
      <c r="Z60" s="70">
        <f t="shared" si="14"/>
        <v>0</v>
      </c>
      <c r="AA60" s="68">
        <f>IF(D60="","",_xlfn.XLOOKUP(A60,'10'!A:A,'10'!D:D,IF($U$6=0,0,"ERROR")))</f>
        <v>0</v>
      </c>
      <c r="AB60" s="70">
        <f t="shared" si="15"/>
        <v>0</v>
      </c>
      <c r="AC60" s="68">
        <f>IF(D60="","",_xlfn.XLOOKUP(A60,'11'!A:A,'11'!D:D,IF($U$6=0,0,"ERROR")))</f>
        <v>0</v>
      </c>
      <c r="AD60" s="70">
        <f t="shared" si="16"/>
        <v>0</v>
      </c>
      <c r="AE60" s="68">
        <f>IF(D60="","",_xlfn.XLOOKUP(A60,'12'!A:A,'12'!D:D,IF($U$6=0,0,"ERROR")))</f>
        <v>0</v>
      </c>
      <c r="AF60" s="70">
        <f t="shared" si="17"/>
        <v>0</v>
      </c>
      <c r="AG60" s="68">
        <f>IF(D60="","",_xlfn.XLOOKUP(A60,'13'!A:A,'13'!D:D,IF($U$6=0,0,"ERROR")))</f>
        <v>0</v>
      </c>
      <c r="AH60" s="70">
        <f t="shared" si="18"/>
        <v>0</v>
      </c>
      <c r="AI60" s="106">
        <f>IF(D60="","",_xlfn.XLOOKUP(A60,'14'!A:A,'14'!D:D,IF($U$6=0,0,"ERROR")))</f>
        <v>0</v>
      </c>
      <c r="AJ60" s="99">
        <f t="shared" si="19"/>
        <v>0</v>
      </c>
      <c r="AK60" s="99"/>
      <c r="AL60" s="99"/>
      <c r="AM60" s="68">
        <f t="shared" si="20"/>
        <v>2</v>
      </c>
      <c r="AN60" s="74">
        <f t="shared" si="21"/>
        <v>323.08500000000004</v>
      </c>
      <c r="AO60" s="93"/>
      <c r="AP60" s="91"/>
      <c r="AR60" s="93"/>
    </row>
    <row r="61" spans="1:44" ht="14.4" x14ac:dyDescent="0.3">
      <c r="A61" s="63" t="s">
        <v>200</v>
      </c>
      <c r="B61" s="55" t="s">
        <v>187</v>
      </c>
      <c r="C61" s="3" t="s">
        <v>2</v>
      </c>
      <c r="D61" s="41">
        <v>193</v>
      </c>
      <c r="E61" s="10">
        <f t="shared" si="4"/>
        <v>28.95</v>
      </c>
      <c r="F61" s="10">
        <f t="shared" si="5"/>
        <v>9.65</v>
      </c>
      <c r="G61" s="10">
        <f t="shared" si="6"/>
        <v>172.2525</v>
      </c>
      <c r="H61" s="67"/>
      <c r="I61" s="68"/>
      <c r="J61" s="74">
        <f t="shared" si="27"/>
        <v>0</v>
      </c>
      <c r="K61" s="68"/>
      <c r="L61" s="74">
        <f t="shared" si="28"/>
        <v>0</v>
      </c>
      <c r="M61" s="68">
        <f>IF(D61="","",_xlfn.XLOOKUP(A61,'3'!A:A,'3'!D:D,IF($M$6=0,0,"ERROR")))</f>
        <v>0</v>
      </c>
      <c r="N61" s="70">
        <f t="shared" si="29"/>
        <v>0</v>
      </c>
      <c r="O61" s="68">
        <f>IF(D61="","",_xlfn.XLOOKUP(A61,'4'!A:A,'4'!D:D,IF($O$6=0,0,"ERROR")))</f>
        <v>0</v>
      </c>
      <c r="P61" s="69">
        <f t="shared" si="30"/>
        <v>0</v>
      </c>
      <c r="Q61" s="68">
        <f>IF(D61="","",_xlfn.XLOOKUP(A61,'5'!A:A,'5'!D:D,IF($Q$6=0,0,"ERROR")))</f>
        <v>2</v>
      </c>
      <c r="R61" s="70">
        <f t="shared" si="31"/>
        <v>344.505</v>
      </c>
      <c r="S61" s="68">
        <f>IF(D61="","",_xlfn.XLOOKUP(A61,'6'!A:A,'6'!D:D,IF($Q$6=0,0,"ERROR")))</f>
        <v>0</v>
      </c>
      <c r="T61" s="70">
        <f t="shared" si="12"/>
        <v>0</v>
      </c>
      <c r="U61" s="68">
        <f>IF(D61="","",_xlfn.XLOOKUP(A61,'7'!A:A,'7'!D:D,IF($U$6=0,0,"ERROR")))</f>
        <v>0</v>
      </c>
      <c r="V61" s="70">
        <f t="shared" si="32"/>
        <v>0</v>
      </c>
      <c r="W61" s="68">
        <f>IF(D61="","",_xlfn.XLOOKUP(A61,'8'!A:A,'8'!D:D,IF($U$6=0,0,"ERROR")))</f>
        <v>0</v>
      </c>
      <c r="X61" s="70">
        <f t="shared" si="33"/>
        <v>0</v>
      </c>
      <c r="Y61" s="68">
        <f>IF(D61="","",_xlfn.XLOOKUP(A61,'9'!A:A,'9'!D:D,IF($U$6=0,0,"ERROR")))</f>
        <v>0</v>
      </c>
      <c r="Z61" s="70">
        <f t="shared" si="14"/>
        <v>0</v>
      </c>
      <c r="AA61" s="68">
        <f>IF(D61="","",_xlfn.XLOOKUP(A61,'10'!A:A,'10'!D:D,IF($U$6=0,0,"ERROR")))</f>
        <v>0</v>
      </c>
      <c r="AB61" s="70">
        <f t="shared" si="15"/>
        <v>0</v>
      </c>
      <c r="AC61" s="68">
        <f>IF(D61="","",_xlfn.XLOOKUP(A61,'11'!A:A,'11'!D:D,IF($U$6=0,0,"ERROR")))</f>
        <v>0</v>
      </c>
      <c r="AD61" s="70">
        <f t="shared" si="16"/>
        <v>0</v>
      </c>
      <c r="AE61" s="68">
        <f>IF(D61="","",_xlfn.XLOOKUP(A61,'12'!A:A,'12'!D:D,IF($U$6=0,0,"ERROR")))</f>
        <v>0</v>
      </c>
      <c r="AF61" s="70">
        <f t="shared" si="17"/>
        <v>0</v>
      </c>
      <c r="AG61" s="68">
        <f>IF(D61="","",_xlfn.XLOOKUP(A61,'13'!A:A,'13'!D:D,IF($U$6=0,0,"ERROR")))</f>
        <v>0</v>
      </c>
      <c r="AH61" s="70">
        <f t="shared" si="18"/>
        <v>0</v>
      </c>
      <c r="AI61" s="106">
        <f>IF(D61="","",_xlfn.XLOOKUP(A61,'14'!A:A,'14'!D:D,IF($U$6=0,0,"ERROR")))</f>
        <v>0</v>
      </c>
      <c r="AJ61" s="99">
        <f t="shared" si="19"/>
        <v>0</v>
      </c>
      <c r="AK61" s="99"/>
      <c r="AL61" s="99"/>
      <c r="AM61" s="68">
        <f t="shared" si="20"/>
        <v>2</v>
      </c>
      <c r="AN61" s="74">
        <f t="shared" si="21"/>
        <v>344.505</v>
      </c>
      <c r="AO61" s="93"/>
      <c r="AP61" s="91"/>
      <c r="AR61" s="93"/>
    </row>
    <row r="62" spans="1:44" ht="15.6" x14ac:dyDescent="0.3">
      <c r="A62" s="5" t="s">
        <v>92</v>
      </c>
      <c r="B62" s="6" t="s">
        <v>93</v>
      </c>
      <c r="C62" s="7" t="s">
        <v>3</v>
      </c>
      <c r="D62" s="41" t="s">
        <v>3</v>
      </c>
      <c r="E62" s="10" t="str">
        <f t="shared" si="4"/>
        <v/>
      </c>
      <c r="F62" s="10" t="str">
        <f t="shared" si="5"/>
        <v/>
      </c>
      <c r="G62" s="10" t="str">
        <f t="shared" si="6"/>
        <v/>
      </c>
      <c r="H62" s="67"/>
      <c r="I62" s="68"/>
      <c r="J62" s="74" t="str">
        <f t="shared" si="7"/>
        <v/>
      </c>
      <c r="K62" s="68"/>
      <c r="L62" s="74" t="str">
        <f t="shared" si="8"/>
        <v/>
      </c>
      <c r="M62" s="68" t="str">
        <f>IF(D62="","",_xlfn.XLOOKUP(A62,'3'!A:A,'3'!D:D,IF($M$6=0,0,"ERROR")))</f>
        <v/>
      </c>
      <c r="N62" s="70" t="str">
        <f t="shared" si="9"/>
        <v/>
      </c>
      <c r="O62" s="68" t="str">
        <f>IF(D62="","",_xlfn.XLOOKUP(A62,'4'!A:A,'4'!D:D,IF($O$6=0,0,"ERROR")))</f>
        <v/>
      </c>
      <c r="P62" s="69" t="str">
        <f t="shared" si="10"/>
        <v/>
      </c>
      <c r="Q62" s="68" t="str">
        <f>IF(D62="","",_xlfn.XLOOKUP(A62,'5'!A:A,'5'!D:D,IF($Q$6=0,0,"ERROR")))</f>
        <v/>
      </c>
      <c r="R62" s="70" t="str">
        <f t="shared" si="11"/>
        <v/>
      </c>
      <c r="S62" s="68" t="str">
        <f>IF(D62="","",_xlfn.XLOOKUP(A62,'6'!A:A,'6'!D:D,IF($Q$6=0,0,"ERROR")))</f>
        <v/>
      </c>
      <c r="T62" s="70" t="str">
        <f t="shared" si="12"/>
        <v/>
      </c>
      <c r="U62" s="68" t="str">
        <f>IF(D62="","",_xlfn.XLOOKUP(A62,'7'!A:A,'7'!D:D,IF($U$6=0,0,"ERROR")))</f>
        <v/>
      </c>
      <c r="V62" s="70" t="str">
        <f t="shared" si="13"/>
        <v/>
      </c>
      <c r="W62" s="68" t="str">
        <f>IF(D62="","",_xlfn.XLOOKUP(A62,'8'!A:A,'8'!D:D,IF($U$6=0,0,"ERROR")))</f>
        <v/>
      </c>
      <c r="X62" s="70" t="str">
        <f t="shared" si="3"/>
        <v/>
      </c>
      <c r="Y62" s="68" t="str">
        <f>IF(D62="","",_xlfn.XLOOKUP(A62,'9'!A:A,'9'!D:D,IF($U$6=0,0,"ERROR")))</f>
        <v/>
      </c>
      <c r="Z62" s="70" t="str">
        <f t="shared" si="14"/>
        <v/>
      </c>
      <c r="AA62" s="68" t="str">
        <f>IF(D62="","",_xlfn.XLOOKUP(A62,'10'!A:A,'10'!D:D,IF($U$6=0,0,"ERROR")))</f>
        <v/>
      </c>
      <c r="AB62" s="70" t="str">
        <f t="shared" si="15"/>
        <v/>
      </c>
      <c r="AC62" s="68" t="str">
        <f>IF(D62="","",_xlfn.XLOOKUP(A62,'11'!A:A,'11'!D:D,IF($U$6=0,0,"ERROR")))</f>
        <v/>
      </c>
      <c r="AD62" s="70" t="str">
        <f t="shared" si="16"/>
        <v/>
      </c>
      <c r="AE62" s="68" t="str">
        <f>IF(D62="","",_xlfn.XLOOKUP(A62,'12'!A:A,'12'!D:D,IF($U$6=0,0,"ERROR")))</f>
        <v/>
      </c>
      <c r="AF62" s="70" t="str">
        <f t="shared" si="17"/>
        <v/>
      </c>
      <c r="AG62" s="68" t="str">
        <f>IF(D62="","",_xlfn.XLOOKUP(A62,'13'!A:A,'13'!D:D,IF($U$6=0,0,"ERROR")))</f>
        <v/>
      </c>
      <c r="AH62" s="70" t="str">
        <f t="shared" si="18"/>
        <v/>
      </c>
      <c r="AI62" s="106" t="str">
        <f>IF(D62="","",_xlfn.XLOOKUP(A62,'14'!A:A,'14'!D:D,IF($U$6=0,0,"ERROR")))</f>
        <v/>
      </c>
      <c r="AJ62" s="99" t="str">
        <f t="shared" si="19"/>
        <v/>
      </c>
      <c r="AK62" s="99"/>
      <c r="AL62" s="99"/>
      <c r="AM62" s="68" t="str">
        <f t="shared" si="20"/>
        <v/>
      </c>
      <c r="AN62" s="74" t="str">
        <f t="shared" si="21"/>
        <v/>
      </c>
      <c r="AO62" s="93" t="str">
        <f t="shared" si="22"/>
        <v/>
      </c>
      <c r="AP62" s="91"/>
      <c r="AR62" s="93"/>
    </row>
    <row r="63" spans="1:44" ht="14.4" x14ac:dyDescent="0.3">
      <c r="A63" s="45" t="s">
        <v>94</v>
      </c>
      <c r="B63" s="46" t="s">
        <v>95</v>
      </c>
      <c r="C63" s="3" t="s">
        <v>24</v>
      </c>
      <c r="D63" s="41">
        <v>53</v>
      </c>
      <c r="E63" s="10">
        <f t="shared" si="4"/>
        <v>7.9499999999999993</v>
      </c>
      <c r="F63" s="10">
        <f t="shared" si="5"/>
        <v>2.6500000000000004</v>
      </c>
      <c r="G63" s="10">
        <f t="shared" si="6"/>
        <v>47.302500000000002</v>
      </c>
      <c r="H63" s="67"/>
      <c r="I63" s="68"/>
      <c r="J63" s="74">
        <f t="shared" si="7"/>
        <v>0</v>
      </c>
      <c r="K63" s="68"/>
      <c r="L63" s="74">
        <f t="shared" si="8"/>
        <v>0</v>
      </c>
      <c r="M63" s="68">
        <f>IF(D63="","",_xlfn.XLOOKUP(A63,'3'!A:A,'3'!D:D,IF($M$6=0,0,"ERROR")))</f>
        <v>13.81</v>
      </c>
      <c r="N63" s="70">
        <f t="shared" si="9"/>
        <v>653.247525</v>
      </c>
      <c r="O63" s="68">
        <f>IF(D63="","",_xlfn.XLOOKUP(A63,'4'!A:A,'4'!D:D,IF($O$6=0,0,"ERROR")))</f>
        <v>0</v>
      </c>
      <c r="P63" s="69">
        <f t="shared" si="10"/>
        <v>0</v>
      </c>
      <c r="Q63" s="68">
        <f>IF(D63="","",_xlfn.XLOOKUP(A63,'5'!A:A,'5'!D:D,IF($Q$6=0,0,"ERROR")))</f>
        <v>20.905833333333334</v>
      </c>
      <c r="R63" s="70">
        <f t="shared" si="11"/>
        <v>988.89818125000011</v>
      </c>
      <c r="S63" s="68">
        <f>IF(D63="","",_xlfn.XLOOKUP(A63,'6'!A:A,'6'!D:D,IF($Q$6=0,0,"ERROR")))</f>
        <v>0</v>
      </c>
      <c r="T63" s="70">
        <f t="shared" si="12"/>
        <v>0</v>
      </c>
      <c r="U63" s="68">
        <f>IF(D63="","",_xlfn.XLOOKUP(A63,'7'!A:A,'7'!D:D,IF($U$6=0,0,"ERROR")))</f>
        <v>5.59</v>
      </c>
      <c r="V63" s="70">
        <f t="shared" si="13"/>
        <v>264.420975</v>
      </c>
      <c r="W63" s="68">
        <f>IF(D63="","",_xlfn.XLOOKUP(A63,'8'!A:A,'8'!D:D,IF($U$6=0,0,"ERROR")))</f>
        <v>0</v>
      </c>
      <c r="X63" s="70">
        <f t="shared" si="3"/>
        <v>0</v>
      </c>
      <c r="Y63" s="68">
        <f>IF(D63="","",_xlfn.XLOOKUP(A63,'9'!A:A,'9'!D:D,IF($U$6=0,0,"ERROR")))</f>
        <v>11.35</v>
      </c>
      <c r="Z63" s="70">
        <f t="shared" si="14"/>
        <v>536.883375</v>
      </c>
      <c r="AA63" s="68">
        <f>IF(D63="","",_xlfn.XLOOKUP(A63,'10'!A:A,'10'!D:D,IF($U$6=0,0,"ERROR")))</f>
        <v>0</v>
      </c>
      <c r="AB63" s="70">
        <f t="shared" si="15"/>
        <v>0</v>
      </c>
      <c r="AC63" s="68">
        <f>IF(D63="","",_xlfn.XLOOKUP(A63,'11'!A:A,'11'!D:D,IF($U$6=0,0,"ERROR")))</f>
        <v>7.06</v>
      </c>
      <c r="AD63" s="70">
        <f t="shared" si="16"/>
        <v>333.95564999999999</v>
      </c>
      <c r="AE63" s="68">
        <f>IF(D63="","",_xlfn.XLOOKUP(A63,'12'!A:A,'12'!D:D,IF($U$6=0,0,"ERROR")))</f>
        <v>1.968</v>
      </c>
      <c r="AF63" s="70">
        <f t="shared" si="17"/>
        <v>93.091319999999996</v>
      </c>
      <c r="AG63" s="68">
        <f>IF(D63="","",_xlfn.XLOOKUP(A63,'13'!A:A,'13'!D:D,IF($U$6=0,0,"ERROR")))</f>
        <v>0</v>
      </c>
      <c r="AH63" s="70">
        <f t="shared" si="18"/>
        <v>0</v>
      </c>
      <c r="AI63" s="106">
        <f>IF(D63="","",_xlfn.XLOOKUP(A63,'14'!A:A,'14'!D:D,IF($U$6=0,0,"ERROR")))</f>
        <v>9.3000000000000007</v>
      </c>
      <c r="AJ63" s="99">
        <f t="shared" si="19"/>
        <v>439.91325000000006</v>
      </c>
      <c r="AK63" s="99"/>
      <c r="AL63" s="99"/>
      <c r="AM63" s="68">
        <f t="shared" si="20"/>
        <v>69.983833333333337</v>
      </c>
      <c r="AN63" s="74">
        <f t="shared" si="21"/>
        <v>3310.4102762500002</v>
      </c>
      <c r="AO63" s="93" t="str">
        <f t="shared" si="22"/>
        <v>הכל טוב</v>
      </c>
      <c r="AP63" s="91"/>
      <c r="AR63" s="93"/>
    </row>
    <row r="64" spans="1:44" ht="57.6" hidden="1" x14ac:dyDescent="0.3">
      <c r="A64" s="45" t="s">
        <v>96</v>
      </c>
      <c r="B64" s="46" t="s">
        <v>97</v>
      </c>
      <c r="C64" s="3" t="s">
        <v>24</v>
      </c>
      <c r="D64" s="41">
        <v>880</v>
      </c>
      <c r="E64" s="10">
        <f t="shared" si="4"/>
        <v>132</v>
      </c>
      <c r="F64" s="10">
        <f t="shared" si="5"/>
        <v>44</v>
      </c>
      <c r="G64" s="10">
        <f t="shared" si="6"/>
        <v>785.4</v>
      </c>
      <c r="H64" s="67"/>
      <c r="I64" s="68"/>
      <c r="J64" s="74">
        <f t="shared" si="7"/>
        <v>0</v>
      </c>
      <c r="K64" s="68"/>
      <c r="L64" s="74">
        <f t="shared" si="8"/>
        <v>0</v>
      </c>
      <c r="M64" s="68">
        <f>IF(D64="","",_xlfn.XLOOKUP(A64,'3'!A:A,'3'!D:D,IF($M$6=0,0,"ERROR")))</f>
        <v>0</v>
      </c>
      <c r="N64" s="70">
        <f t="shared" si="9"/>
        <v>0</v>
      </c>
      <c r="O64" s="68">
        <f>IF(D64="","",_xlfn.XLOOKUP(A64,'4'!A:A,'4'!D:D,IF($O$6=0,0,"ERROR")))</f>
        <v>0</v>
      </c>
      <c r="P64" s="69">
        <f t="shared" si="10"/>
        <v>0</v>
      </c>
      <c r="Q64" s="68">
        <f>IF(D64="","",_xlfn.XLOOKUP(A64,'5'!A:A,'5'!D:D,IF($Q$6=0,0,"ERROR")))</f>
        <v>0</v>
      </c>
      <c r="R64" s="70">
        <f t="shared" si="11"/>
        <v>0</v>
      </c>
      <c r="S64" s="68">
        <f>IF(D64="","",_xlfn.XLOOKUP(A64,'6'!A:A,'6'!D:D,IF($Q$6=0,0,"ERROR")))</f>
        <v>0</v>
      </c>
      <c r="T64" s="70">
        <f t="shared" si="12"/>
        <v>0</v>
      </c>
      <c r="U64" s="68">
        <f>IF(D64="","",_xlfn.XLOOKUP(A64,'7'!A:A,'7'!D:D,IF($U$6=0,0,"ERROR")))</f>
        <v>0</v>
      </c>
      <c r="V64" s="70">
        <f t="shared" si="13"/>
        <v>0</v>
      </c>
      <c r="W64" s="68">
        <f>IF(D64="","",_xlfn.XLOOKUP(A64,'8'!A:A,'8'!D:D,IF($U$6=0,0,"ERROR")))</f>
        <v>0</v>
      </c>
      <c r="X64" s="70">
        <f t="shared" si="3"/>
        <v>0</v>
      </c>
      <c r="Y64" s="68">
        <f>IF(D64="","",_xlfn.XLOOKUP(A64,'9'!A:A,'9'!D:D,IF($U$6=0,0,"ERROR")))</f>
        <v>0</v>
      </c>
      <c r="Z64" s="70">
        <f t="shared" si="14"/>
        <v>0</v>
      </c>
      <c r="AA64" s="68">
        <f>IF(D64="","",_xlfn.XLOOKUP(A64,'10'!A:A,'10'!D:D,IF($U$6=0,0,"ERROR")))</f>
        <v>0</v>
      </c>
      <c r="AB64" s="70">
        <f t="shared" si="15"/>
        <v>0</v>
      </c>
      <c r="AC64" s="68">
        <f>IF(D64="","",_xlfn.XLOOKUP(A64,'11'!A:A,'11'!D:D,IF($U$6=0,0,"ERROR")))</f>
        <v>0</v>
      </c>
      <c r="AD64" s="70">
        <f t="shared" si="16"/>
        <v>0</v>
      </c>
      <c r="AE64" s="68">
        <f>IF(D64="","",_xlfn.XLOOKUP(A64,'12'!A:A,'12'!D:D,IF($U$6=0,0,"ERROR")))</f>
        <v>1.968</v>
      </c>
      <c r="AF64" s="70">
        <f t="shared" si="17"/>
        <v>1545.6671999999999</v>
      </c>
      <c r="AG64" s="68">
        <f>IF(D64="","",_xlfn.XLOOKUP(A64,'13'!A:A,'13'!D:D,IF($U$6=0,0,"ERROR")))</f>
        <v>0</v>
      </c>
      <c r="AH64" s="70">
        <f t="shared" si="18"/>
        <v>0</v>
      </c>
      <c r="AI64" s="106">
        <f>IF(D64="","",_xlfn.XLOOKUP(A64,'14'!A:A,'14'!D:D,IF($U$6=0,0,"ERROR")))</f>
        <v>0</v>
      </c>
      <c r="AJ64" s="99">
        <f t="shared" si="19"/>
        <v>0</v>
      </c>
      <c r="AK64" s="99"/>
      <c r="AL64" s="99"/>
      <c r="AM64" s="68">
        <f t="shared" si="20"/>
        <v>1.968</v>
      </c>
      <c r="AN64" s="74">
        <f t="shared" si="21"/>
        <v>1545.6671999999999</v>
      </c>
      <c r="AO64" s="93" t="str">
        <f t="shared" si="22"/>
        <v>הכל טוב</v>
      </c>
      <c r="AP64" s="91"/>
      <c r="AR64" s="93"/>
    </row>
    <row r="65" spans="1:44" ht="57.6" x14ac:dyDescent="0.3">
      <c r="A65" s="45" t="s">
        <v>215</v>
      </c>
      <c r="B65" s="46" t="s">
        <v>98</v>
      </c>
      <c r="C65" s="3" t="s">
        <v>24</v>
      </c>
      <c r="D65" s="41">
        <v>650</v>
      </c>
      <c r="E65" s="10">
        <f t="shared" si="4"/>
        <v>97.5</v>
      </c>
      <c r="F65" s="10">
        <f t="shared" si="5"/>
        <v>32.5</v>
      </c>
      <c r="G65" s="10">
        <f t="shared" si="6"/>
        <v>580.125</v>
      </c>
      <c r="H65" s="67"/>
      <c r="I65" s="68"/>
      <c r="J65" s="74">
        <f t="shared" si="7"/>
        <v>0</v>
      </c>
      <c r="K65" s="68"/>
      <c r="L65" s="74">
        <f t="shared" si="8"/>
        <v>0</v>
      </c>
      <c r="M65" s="68">
        <f>IF(D65="","",_xlfn.XLOOKUP(A65,'3'!A:A,'3'!D:D,IF($M$6=0,0,"ERROR")))</f>
        <v>13.81</v>
      </c>
      <c r="N65" s="70">
        <f t="shared" si="9"/>
        <v>8011.5262499999999</v>
      </c>
      <c r="O65" s="68">
        <f>IF(D65="","",_xlfn.XLOOKUP(A65,'4'!A:A,'4'!D:D,IF($O$6=0,0,"ERROR")))</f>
        <v>0</v>
      </c>
      <c r="P65" s="69">
        <f t="shared" si="10"/>
        <v>0</v>
      </c>
      <c r="Q65" s="68">
        <f>IF(D65="","",_xlfn.XLOOKUP(A65,'5'!A:A,'5'!D:D,IF($Q$6=0,0,"ERROR")))</f>
        <v>20.905833333333334</v>
      </c>
      <c r="R65" s="70">
        <f t="shared" si="11"/>
        <v>12127.9965625</v>
      </c>
      <c r="S65" s="68">
        <f>IF(D65="","",_xlfn.XLOOKUP(A65,'6'!A:A,'6'!D:D,IF($Q$6=0,0,"ERROR")))</f>
        <v>0</v>
      </c>
      <c r="T65" s="70">
        <f t="shared" si="12"/>
        <v>0</v>
      </c>
      <c r="U65" s="68">
        <f>IF(D65="","",_xlfn.XLOOKUP(A65,'7'!A:A,'7'!D:D,IF($U$6=0,0,"ERROR")))</f>
        <v>5.59</v>
      </c>
      <c r="V65" s="70">
        <f t="shared" si="13"/>
        <v>3242.8987499999998</v>
      </c>
      <c r="W65" s="68">
        <f>IF(D65="","",_xlfn.XLOOKUP(A65,'8'!A:A,'8'!D:D,IF($U$6=0,0,"ERROR")))</f>
        <v>0</v>
      </c>
      <c r="X65" s="70">
        <f t="shared" si="3"/>
        <v>0</v>
      </c>
      <c r="Y65" s="68">
        <f>IF(D65="","",_xlfn.XLOOKUP(A65,'9'!A:A,'9'!D:D,IF($U$6=0,0,"ERROR")))</f>
        <v>11.35</v>
      </c>
      <c r="Z65" s="70">
        <f t="shared" si="14"/>
        <v>6584.4187499999998</v>
      </c>
      <c r="AA65" s="68">
        <f>IF(D65="","",_xlfn.XLOOKUP(A65,'10'!A:A,'10'!D:D,IF($U$6=0,0,"ERROR")))</f>
        <v>0</v>
      </c>
      <c r="AB65" s="70">
        <f t="shared" si="15"/>
        <v>0</v>
      </c>
      <c r="AC65" s="68">
        <f>IF(D65="","",_xlfn.XLOOKUP(A65,'11'!A:A,'11'!D:D,IF($U$6=0,0,"ERROR")))</f>
        <v>7.06</v>
      </c>
      <c r="AD65" s="70">
        <f t="shared" si="16"/>
        <v>4095.6824999999999</v>
      </c>
      <c r="AE65" s="68">
        <f>IF(D65="","",_xlfn.XLOOKUP(A65,'12'!A:A,'12'!D:D,IF($U$6=0,0,"ERROR")))</f>
        <v>0</v>
      </c>
      <c r="AF65" s="70">
        <f t="shared" si="17"/>
        <v>0</v>
      </c>
      <c r="AG65" s="68">
        <f>IF(D65="","",_xlfn.XLOOKUP(A65,'13'!A:A,'13'!D:D,IF($U$6=0,0,"ERROR")))</f>
        <v>0</v>
      </c>
      <c r="AH65" s="70">
        <f t="shared" si="18"/>
        <v>0</v>
      </c>
      <c r="AI65" s="106">
        <f>IF(D65="","",_xlfn.XLOOKUP(A65,'14'!A:A,'14'!D:D,IF($U$6=0,0,"ERROR")))</f>
        <v>9.3000000000000007</v>
      </c>
      <c r="AJ65" s="99">
        <f t="shared" si="19"/>
        <v>5395.1625000000004</v>
      </c>
      <c r="AK65" s="99"/>
      <c r="AL65" s="99"/>
      <c r="AM65" s="68">
        <f t="shared" si="20"/>
        <v>68.015833333333347</v>
      </c>
      <c r="AN65" s="74">
        <f t="shared" si="21"/>
        <v>39457.685312499998</v>
      </c>
      <c r="AO65" s="93" t="str">
        <f t="shared" si="22"/>
        <v>הכל טוב</v>
      </c>
      <c r="AP65" s="91"/>
      <c r="AR65" s="93"/>
    </row>
    <row r="66" spans="1:44" ht="31.2" x14ac:dyDescent="0.3">
      <c r="A66" s="5" t="s">
        <v>99</v>
      </c>
      <c r="B66" s="6" t="s">
        <v>100</v>
      </c>
      <c r="C66" s="7" t="s">
        <v>3</v>
      </c>
      <c r="D66" s="41" t="s">
        <v>3</v>
      </c>
      <c r="E66" s="10" t="str">
        <f t="shared" si="4"/>
        <v/>
      </c>
      <c r="F66" s="10" t="str">
        <f t="shared" si="5"/>
        <v/>
      </c>
      <c r="G66" s="10" t="str">
        <f t="shared" si="6"/>
        <v/>
      </c>
      <c r="H66" s="67"/>
      <c r="I66" s="68"/>
      <c r="J66" s="74" t="str">
        <f t="shared" si="7"/>
        <v/>
      </c>
      <c r="K66" s="68"/>
      <c r="L66" s="74" t="str">
        <f t="shared" si="8"/>
        <v/>
      </c>
      <c r="M66" s="68" t="str">
        <f>IF(D66="","",_xlfn.XLOOKUP(A66,'3'!A:A,'3'!D:D,IF($M$6=0,0,"ERROR")))</f>
        <v/>
      </c>
      <c r="N66" s="70" t="str">
        <f t="shared" si="9"/>
        <v/>
      </c>
      <c r="O66" s="68" t="str">
        <f>IF(D66="","",_xlfn.XLOOKUP(A66,'4'!A:A,'4'!D:D,IF($O$6=0,0,"ERROR")))</f>
        <v/>
      </c>
      <c r="P66" s="69" t="str">
        <f t="shared" si="10"/>
        <v/>
      </c>
      <c r="Q66" s="68" t="str">
        <f>IF(D66="","",_xlfn.XLOOKUP(A66,'5'!A:A,'5'!D:D,IF($Q$6=0,0,"ERROR")))</f>
        <v/>
      </c>
      <c r="R66" s="70" t="str">
        <f t="shared" si="11"/>
        <v/>
      </c>
      <c r="S66" s="68" t="str">
        <f>IF(D66="","",_xlfn.XLOOKUP(A66,'6'!A:A,'6'!D:D,IF($Q$6=0,0,"ERROR")))</f>
        <v/>
      </c>
      <c r="T66" s="70" t="str">
        <f t="shared" si="12"/>
        <v/>
      </c>
      <c r="U66" s="68" t="str">
        <f>IF(D66="","",_xlfn.XLOOKUP(A66,'7'!A:A,'7'!D:D,IF($U$6=0,0,"ERROR")))</f>
        <v/>
      </c>
      <c r="V66" s="70" t="str">
        <f t="shared" si="13"/>
        <v/>
      </c>
      <c r="W66" s="68" t="str">
        <f>IF(D66="","",_xlfn.XLOOKUP(A66,'8'!A:A,'8'!D:D,IF($U$6=0,0,"ERROR")))</f>
        <v/>
      </c>
      <c r="X66" s="70" t="str">
        <f t="shared" si="3"/>
        <v/>
      </c>
      <c r="Y66" s="68" t="str">
        <f>IF(D66="","",_xlfn.XLOOKUP(A66,'9'!A:A,'9'!D:D,IF($U$6=0,0,"ERROR")))</f>
        <v/>
      </c>
      <c r="Z66" s="70" t="str">
        <f t="shared" si="14"/>
        <v/>
      </c>
      <c r="AA66" s="68" t="str">
        <f>IF(D66="","",_xlfn.XLOOKUP(A66,'10'!A:A,'10'!D:D,IF($U$6=0,0,"ERROR")))</f>
        <v/>
      </c>
      <c r="AB66" s="70" t="str">
        <f t="shared" si="15"/>
        <v/>
      </c>
      <c r="AC66" s="68" t="str">
        <f>IF(D66="","",_xlfn.XLOOKUP(A66,'11'!A:A,'11'!D:D,IF($U$6=0,0,"ERROR")))</f>
        <v/>
      </c>
      <c r="AD66" s="70" t="str">
        <f t="shared" si="16"/>
        <v/>
      </c>
      <c r="AE66" s="68" t="str">
        <f>IF(D66="","",_xlfn.XLOOKUP(A66,'12'!A:A,'12'!D:D,IF($U$6=0,0,"ERROR")))</f>
        <v/>
      </c>
      <c r="AF66" s="70" t="str">
        <f t="shared" si="17"/>
        <v/>
      </c>
      <c r="AG66" s="68" t="str">
        <f>IF(D66="","",_xlfn.XLOOKUP(A66,'13'!A:A,'13'!D:D,IF($U$6=0,0,"ERROR")))</f>
        <v/>
      </c>
      <c r="AH66" s="70" t="str">
        <f t="shared" si="18"/>
        <v/>
      </c>
      <c r="AI66" s="106" t="str">
        <f>IF(D66="","",_xlfn.XLOOKUP(A66,'14'!A:A,'14'!D:D,IF($U$6=0,0,"ERROR")))</f>
        <v/>
      </c>
      <c r="AJ66" s="99" t="str">
        <f t="shared" si="19"/>
        <v/>
      </c>
      <c r="AK66" s="99"/>
      <c r="AL66" s="99"/>
      <c r="AM66" s="68" t="str">
        <f t="shared" si="20"/>
        <v/>
      </c>
      <c r="AN66" s="74" t="str">
        <f t="shared" si="21"/>
        <v/>
      </c>
      <c r="AO66" s="93" t="str">
        <f t="shared" si="22"/>
        <v/>
      </c>
      <c r="AP66" s="91"/>
      <c r="AR66" s="93"/>
    </row>
    <row r="67" spans="1:44" hidden="1" x14ac:dyDescent="0.25">
      <c r="A67" s="9" t="s">
        <v>101</v>
      </c>
      <c r="B67" s="2" t="s">
        <v>102</v>
      </c>
      <c r="C67" s="3" t="s">
        <v>24</v>
      </c>
      <c r="D67" s="41">
        <v>265</v>
      </c>
      <c r="E67" s="10">
        <f t="shared" si="4"/>
        <v>39.75</v>
      </c>
      <c r="F67" s="10">
        <f t="shared" si="5"/>
        <v>13.25</v>
      </c>
      <c r="G67" s="10">
        <f t="shared" si="6"/>
        <v>236.51249999999999</v>
      </c>
      <c r="H67" s="67"/>
      <c r="I67" s="68"/>
      <c r="J67" s="74">
        <f t="shared" si="7"/>
        <v>0</v>
      </c>
      <c r="K67" s="68"/>
      <c r="L67" s="74">
        <f t="shared" si="8"/>
        <v>0</v>
      </c>
      <c r="M67" s="68">
        <f>IF(D67="","",_xlfn.XLOOKUP(A67,'3'!A:A,'3'!D:D,IF($M$6=0,0,"ERROR")))</f>
        <v>0</v>
      </c>
      <c r="N67" s="70">
        <f t="shared" si="9"/>
        <v>0</v>
      </c>
      <c r="O67" s="68">
        <f>IF(D67="","",_xlfn.XLOOKUP(A67,'4'!A:A,'4'!D:D,IF($O$6=0,0,"ERROR")))</f>
        <v>0</v>
      </c>
      <c r="P67" s="69">
        <f t="shared" si="10"/>
        <v>0</v>
      </c>
      <c r="Q67" s="68">
        <f>IF(D67="","",_xlfn.XLOOKUP(A67,'5'!A:A,'5'!D:D,IF($Q$6=0,0,"ERROR")))</f>
        <v>0</v>
      </c>
      <c r="R67" s="70">
        <f t="shared" si="11"/>
        <v>0</v>
      </c>
      <c r="S67" s="68">
        <f>IF(D67="","",_xlfn.XLOOKUP(A67,'6'!A:A,'6'!D:D,IF($Q$6=0,0,"ERROR")))</f>
        <v>0</v>
      </c>
      <c r="T67" s="70">
        <f t="shared" si="12"/>
        <v>0</v>
      </c>
      <c r="U67" s="68">
        <f>IF(D67="","",_xlfn.XLOOKUP(A67,'7'!A:A,'7'!D:D,IF($U$6=0,0,"ERROR")))</f>
        <v>0</v>
      </c>
      <c r="V67" s="70">
        <f t="shared" si="13"/>
        <v>0</v>
      </c>
      <c r="W67" s="68">
        <f>IF(D67="","",_xlfn.XLOOKUP(A67,'8'!A:A,'8'!D:D,IF($U$6=0,0,"ERROR")))</f>
        <v>0</v>
      </c>
      <c r="X67" s="70">
        <f t="shared" si="3"/>
        <v>0</v>
      </c>
      <c r="Y67" s="68">
        <f>IF(D67="","",_xlfn.XLOOKUP(A67,'9'!A:A,'9'!D:D,IF($U$6=0,0,"ERROR")))</f>
        <v>0</v>
      </c>
      <c r="Z67" s="70">
        <f t="shared" si="14"/>
        <v>0</v>
      </c>
      <c r="AA67" s="68">
        <f>IF(D67="","",_xlfn.XLOOKUP(A67,'10'!A:A,'10'!D:D,IF($U$6=0,0,"ERROR")))</f>
        <v>0</v>
      </c>
      <c r="AB67" s="70">
        <f t="shared" si="15"/>
        <v>0</v>
      </c>
      <c r="AC67" s="68">
        <f>IF(D67="","",_xlfn.XLOOKUP(A67,'11'!A:A,'11'!D:D,IF($U$6=0,0,"ERROR")))</f>
        <v>0</v>
      </c>
      <c r="AD67" s="70">
        <f t="shared" si="16"/>
        <v>0</v>
      </c>
      <c r="AE67" s="68">
        <f>IF(D67="","",_xlfn.XLOOKUP(A67,'12'!A:A,'12'!D:D,IF($U$6=0,0,"ERROR")))</f>
        <v>0</v>
      </c>
      <c r="AF67" s="70">
        <f t="shared" si="17"/>
        <v>0</v>
      </c>
      <c r="AG67" s="68">
        <f>IF(D67="","",_xlfn.XLOOKUP(A67,'13'!A:A,'13'!D:D,IF($U$6=0,0,"ERROR")))</f>
        <v>0</v>
      </c>
      <c r="AH67" s="70">
        <f t="shared" si="18"/>
        <v>0</v>
      </c>
      <c r="AI67" s="106">
        <f>IF(D67="","",_xlfn.XLOOKUP(A67,'14'!A:A,'14'!D:D,IF($U$6=0,0,"ERROR")))</f>
        <v>0</v>
      </c>
      <c r="AJ67" s="99">
        <f t="shared" si="19"/>
        <v>0</v>
      </c>
      <c r="AK67" s="99"/>
      <c r="AL67" s="99"/>
      <c r="AM67" s="68">
        <f t="shared" si="20"/>
        <v>0</v>
      </c>
      <c r="AN67" s="74">
        <f t="shared" si="21"/>
        <v>0</v>
      </c>
      <c r="AO67" s="93" t="str">
        <f t="shared" si="22"/>
        <v>הכל טוב</v>
      </c>
      <c r="AP67" s="91"/>
      <c r="AR67" s="93"/>
    </row>
    <row r="68" spans="1:44" ht="14.4" x14ac:dyDescent="0.3">
      <c r="A68" s="45" t="s">
        <v>103</v>
      </c>
      <c r="B68" s="46" t="s">
        <v>104</v>
      </c>
      <c r="C68" s="3" t="s">
        <v>24</v>
      </c>
      <c r="D68" s="41">
        <v>375</v>
      </c>
      <c r="E68" s="10">
        <f t="shared" si="4"/>
        <v>56.25</v>
      </c>
      <c r="F68" s="10">
        <f t="shared" si="5"/>
        <v>18.75</v>
      </c>
      <c r="G68" s="10">
        <f t="shared" si="6"/>
        <v>334.6875</v>
      </c>
      <c r="H68" s="67"/>
      <c r="I68" s="68"/>
      <c r="J68" s="74">
        <f t="shared" si="7"/>
        <v>0</v>
      </c>
      <c r="K68" s="68"/>
      <c r="L68" s="74">
        <f t="shared" si="8"/>
        <v>0</v>
      </c>
      <c r="M68" s="68">
        <f>IF(D68="","",_xlfn.XLOOKUP(A68,'3'!A:A,'3'!D:D,IF($M$6=0,0,"ERROR")))</f>
        <v>19.129000000000001</v>
      </c>
      <c r="N68" s="70">
        <f t="shared" si="9"/>
        <v>6402.2371875000008</v>
      </c>
      <c r="O68" s="68">
        <f>IF(D68="","",_xlfn.XLOOKUP(A68,'4'!A:A,'4'!D:D,IF($O$6=0,0,"ERROR")))</f>
        <v>2.4849999999999999</v>
      </c>
      <c r="P68" s="69">
        <f t="shared" si="10"/>
        <v>831.69843749999995</v>
      </c>
      <c r="Q68" s="68">
        <f>IF(D68="","",_xlfn.XLOOKUP(A68,'5'!A:A,'5'!D:D,IF($Q$6=0,0,"ERROR")))</f>
        <v>26.643000000000001</v>
      </c>
      <c r="R68" s="70">
        <f t="shared" si="11"/>
        <v>8917.0790625000009</v>
      </c>
      <c r="S68" s="68">
        <f>IF(D68="","",_xlfn.XLOOKUP(A68,'6'!A:A,'6'!D:D,IF($Q$6=0,0,"ERROR")))</f>
        <v>19.035</v>
      </c>
      <c r="T68" s="70">
        <f t="shared" si="12"/>
        <v>6370.7765625000002</v>
      </c>
      <c r="U68" s="68">
        <f>IF(D68="","",_xlfn.XLOOKUP(A68,'7'!A:A,'7'!D:D,IF($U$6=0,0,"ERROR")))</f>
        <v>16.364000000000001</v>
      </c>
      <c r="V68" s="70">
        <f t="shared" si="13"/>
        <v>5476.8262500000001</v>
      </c>
      <c r="W68" s="68">
        <f>IF(D68="","",_xlfn.XLOOKUP(A68,'8'!A:A,'8'!D:D,IF($U$6=0,0,"ERROR")))</f>
        <v>8.74</v>
      </c>
      <c r="X68" s="70">
        <f t="shared" si="3"/>
        <v>2925.1687500000003</v>
      </c>
      <c r="Y68" s="68">
        <f>IF(D68="","",_xlfn.XLOOKUP(A68,'9'!A:A,'9'!D:D,IF($U$6=0,0,"ERROR")))</f>
        <v>10.089</v>
      </c>
      <c r="Z68" s="70">
        <f t="shared" si="14"/>
        <v>3376.6621875000001</v>
      </c>
      <c r="AA68" s="68">
        <f>IF(D68="","",_xlfn.XLOOKUP(A68,'10'!A:A,'10'!D:D,IF($U$6=0,0,"ERROR")))</f>
        <v>9.0969999999999995</v>
      </c>
      <c r="AB68" s="70">
        <f t="shared" si="15"/>
        <v>3044.6521874999999</v>
      </c>
      <c r="AC68" s="68">
        <f>IF(D68="","",_xlfn.XLOOKUP(A68,'11'!A:A,'11'!D:D,IF($U$6=0,0,"ERROR")))</f>
        <v>6.33</v>
      </c>
      <c r="AD68" s="70">
        <f t="shared" si="16"/>
        <v>2118.5718750000001</v>
      </c>
      <c r="AE68" s="68">
        <f>IF(D68="","",_xlfn.XLOOKUP(A68,'12'!A:A,'12'!D:D,IF($U$6=0,0,"ERROR")))</f>
        <v>3.9359999999999999</v>
      </c>
      <c r="AF68" s="70">
        <f t="shared" si="17"/>
        <v>1317.33</v>
      </c>
      <c r="AG68" s="68">
        <f>IF(D68="","",_xlfn.XLOOKUP(A68,'13'!A:A,'13'!D:D,IF($U$6=0,0,"ERROR")))</f>
        <v>15.394</v>
      </c>
      <c r="AH68" s="70">
        <f t="shared" si="18"/>
        <v>5152.1793749999997</v>
      </c>
      <c r="AI68" s="106">
        <f>IF(D68="","",_xlfn.XLOOKUP(A68,'14'!A:A,'14'!D:D,IF($U$6=0,0,"ERROR")))</f>
        <v>16.64</v>
      </c>
      <c r="AJ68" s="99">
        <f t="shared" si="19"/>
        <v>5569.2</v>
      </c>
      <c r="AK68" s="99"/>
      <c r="AL68" s="99"/>
      <c r="AM68" s="68">
        <f t="shared" si="20"/>
        <v>153.88200000000001</v>
      </c>
      <c r="AN68" s="74">
        <f t="shared" si="21"/>
        <v>51502.381875000006</v>
      </c>
      <c r="AO68" s="93" t="str">
        <f t="shared" si="22"/>
        <v>הכל טוב</v>
      </c>
      <c r="AP68" s="91"/>
      <c r="AR68" s="93"/>
    </row>
    <row r="69" spans="1:44" ht="14.4" x14ac:dyDescent="0.3">
      <c r="A69" s="45" t="s">
        <v>105</v>
      </c>
      <c r="B69" s="46" t="s">
        <v>106</v>
      </c>
      <c r="C69" s="3" t="s">
        <v>24</v>
      </c>
      <c r="D69" s="41">
        <v>317</v>
      </c>
      <c r="E69" s="10">
        <f t="shared" si="4"/>
        <v>47.55</v>
      </c>
      <c r="F69" s="10">
        <f t="shared" si="5"/>
        <v>15.850000000000001</v>
      </c>
      <c r="G69" s="10">
        <f t="shared" si="6"/>
        <v>282.92250000000001</v>
      </c>
      <c r="H69" s="67"/>
      <c r="I69" s="68"/>
      <c r="J69" s="74">
        <f t="shared" si="7"/>
        <v>0</v>
      </c>
      <c r="K69" s="68"/>
      <c r="L69" s="74">
        <f t="shared" si="8"/>
        <v>0</v>
      </c>
      <c r="M69" s="68">
        <f>IF(D69="","",_xlfn.XLOOKUP(A69,'3'!A:A,'3'!D:D,IF($M$6=0,0,"ERROR")))</f>
        <v>0</v>
      </c>
      <c r="N69" s="70">
        <f t="shared" si="9"/>
        <v>0</v>
      </c>
      <c r="O69" s="68">
        <f>IF(D69="","",_xlfn.XLOOKUP(A69,'4'!A:A,'4'!D:D,IF($O$6=0,0,"ERROR")))</f>
        <v>0</v>
      </c>
      <c r="P69" s="69">
        <f t="shared" si="10"/>
        <v>0</v>
      </c>
      <c r="Q69" s="68">
        <f>IF(D69="","",_xlfn.XLOOKUP(A69,'5'!A:A,'5'!D:D,IF($Q$6=0,0,"ERROR")))</f>
        <v>0</v>
      </c>
      <c r="R69" s="70">
        <f t="shared" si="11"/>
        <v>0</v>
      </c>
      <c r="S69" s="68">
        <f>IF(D69="","",_xlfn.XLOOKUP(A69,'6'!A:A,'6'!D:D,IF($Q$6=0,0,"ERROR")))</f>
        <v>0</v>
      </c>
      <c r="T69" s="70">
        <f t="shared" si="12"/>
        <v>0</v>
      </c>
      <c r="U69" s="68">
        <f>IF(D69="","",_xlfn.XLOOKUP(A69,'7'!A:A,'7'!D:D,IF($U$6=0,0,"ERROR")))</f>
        <v>0</v>
      </c>
      <c r="V69" s="70">
        <f t="shared" si="13"/>
        <v>0</v>
      </c>
      <c r="W69" s="68">
        <f>IF(D69="","",_xlfn.XLOOKUP(A69,'8'!A:A,'8'!D:D,IF($U$6=0,0,"ERROR")))</f>
        <v>0</v>
      </c>
      <c r="X69" s="70">
        <f t="shared" si="3"/>
        <v>0</v>
      </c>
      <c r="Y69" s="68">
        <f>IF(D69="","",_xlfn.XLOOKUP(A69,'9'!A:A,'9'!D:D,IF($U$6=0,0,"ERROR")))</f>
        <v>0</v>
      </c>
      <c r="Z69" s="70">
        <f t="shared" si="14"/>
        <v>0</v>
      </c>
      <c r="AA69" s="68">
        <f>IF(D69="","",_xlfn.XLOOKUP(A69,'10'!A:A,'10'!D:D,IF($U$6=0,0,"ERROR")))</f>
        <v>-3.0489999999999999</v>
      </c>
      <c r="AB69" s="70">
        <f t="shared" si="15"/>
        <v>-862.63070249999998</v>
      </c>
      <c r="AC69" s="68">
        <f>IF(D69="","",_xlfn.XLOOKUP(A69,'11'!A:A,'11'!D:D,IF($U$6=0,0,"ERROR")))</f>
        <v>0</v>
      </c>
      <c r="AD69" s="70">
        <f t="shared" si="16"/>
        <v>0</v>
      </c>
      <c r="AE69" s="68">
        <f>IF(D69="","",_xlfn.XLOOKUP(A69,'12'!A:A,'12'!D:D,IF($U$6=0,0,"ERROR")))</f>
        <v>0</v>
      </c>
      <c r="AF69" s="70">
        <f t="shared" si="17"/>
        <v>0</v>
      </c>
      <c r="AG69" s="68">
        <f>IF(D69="","",_xlfn.XLOOKUP(A69,'13'!A:A,'13'!D:D,IF($U$6=0,0,"ERROR")))</f>
        <v>-8.4939999999999998</v>
      </c>
      <c r="AH69" s="70">
        <f t="shared" si="18"/>
        <v>-2403.1437150000002</v>
      </c>
      <c r="AI69" s="106">
        <f>IF(D69="","",_xlfn.XLOOKUP(A69,'14'!A:A,'14'!D:D,IF($U$6=0,0,"ERROR")))</f>
        <v>0</v>
      </c>
      <c r="AJ69" s="99">
        <f t="shared" si="19"/>
        <v>0</v>
      </c>
      <c r="AK69" s="99"/>
      <c r="AL69" s="99"/>
      <c r="AM69" s="68">
        <f t="shared" si="20"/>
        <v>-11.542999999999999</v>
      </c>
      <c r="AN69" s="74">
        <f t="shared" si="21"/>
        <v>-3265.7744175000003</v>
      </c>
      <c r="AO69" s="93" t="str">
        <f t="shared" si="22"/>
        <v>הכל טוב</v>
      </c>
      <c r="AP69" s="91"/>
      <c r="AR69" s="93"/>
    </row>
    <row r="70" spans="1:44" ht="14.4" x14ac:dyDescent="0.3">
      <c r="A70" s="45" t="s">
        <v>107</v>
      </c>
      <c r="B70" s="46" t="s">
        <v>108</v>
      </c>
      <c r="C70" s="3" t="s">
        <v>24</v>
      </c>
      <c r="D70" s="41">
        <v>172</v>
      </c>
      <c r="E70" s="10">
        <f t="shared" si="4"/>
        <v>25.8</v>
      </c>
      <c r="F70" s="10">
        <f t="shared" si="5"/>
        <v>8.6</v>
      </c>
      <c r="G70" s="10">
        <f t="shared" si="6"/>
        <v>153.51</v>
      </c>
      <c r="H70" s="67"/>
      <c r="I70" s="68"/>
      <c r="J70" s="74">
        <f t="shared" si="7"/>
        <v>0</v>
      </c>
      <c r="K70" s="68"/>
      <c r="L70" s="74">
        <f t="shared" si="8"/>
        <v>0</v>
      </c>
      <c r="M70" s="68">
        <f>IF(D70="","",_xlfn.XLOOKUP(A70,'3'!A:A,'3'!D:D,IF($M$6=0,0,"ERROR")))</f>
        <v>-19.129000000000001</v>
      </c>
      <c r="N70" s="70">
        <f t="shared" si="9"/>
        <v>-2936.4927900000002</v>
      </c>
      <c r="O70" s="68">
        <f>IF(D70="","",_xlfn.XLOOKUP(A70,'4'!A:A,'4'!D:D,IF($O$6=0,0,"ERROR")))</f>
        <v>-2.4849999999999999</v>
      </c>
      <c r="P70" s="69">
        <f t="shared" si="10"/>
        <v>-381.47234999999995</v>
      </c>
      <c r="Q70" s="68">
        <f>IF(D70="","",_xlfn.XLOOKUP(A70,'5'!A:A,'5'!D:D,IF($Q$6=0,0,"ERROR")))</f>
        <v>-26.643000000000001</v>
      </c>
      <c r="R70" s="70">
        <f t="shared" si="11"/>
        <v>-4089.96693</v>
      </c>
      <c r="S70" s="68">
        <f>IF(D70="","",_xlfn.XLOOKUP(A70,'6'!A:A,'6'!D:D,IF($Q$6=0,0,"ERROR")))</f>
        <v>-19.035</v>
      </c>
      <c r="T70" s="70">
        <f t="shared" si="12"/>
        <v>-2922.0628499999998</v>
      </c>
      <c r="U70" s="68">
        <f>IF(D70="","",_xlfn.XLOOKUP(A70,'7'!A:A,'7'!D:D,IF($U$6=0,0,"ERROR")))</f>
        <v>-16.364000000000001</v>
      </c>
      <c r="V70" s="70">
        <f t="shared" si="13"/>
        <v>-2512.03764</v>
      </c>
      <c r="W70" s="68">
        <f>IF(D70="","",_xlfn.XLOOKUP(A70,'8'!A:A,'8'!D:D,IF($U$6=0,0,"ERROR")))</f>
        <v>-8.74</v>
      </c>
      <c r="X70" s="70">
        <f t="shared" si="3"/>
        <v>-1341.6774</v>
      </c>
      <c r="Y70" s="68">
        <f>IF(D70="","",_xlfn.XLOOKUP(A70,'9'!A:A,'9'!D:D,IF($U$6=0,0,"ERROR")))</f>
        <v>-10.089</v>
      </c>
      <c r="Z70" s="70">
        <f t="shared" si="14"/>
        <v>-1548.7623899999999</v>
      </c>
      <c r="AA70" s="68">
        <f>IF(D70="","",_xlfn.XLOOKUP(A70,'10'!A:A,'10'!D:D,IF($U$6=0,0,"ERROR")))</f>
        <v>-6.048</v>
      </c>
      <c r="AB70" s="70">
        <f t="shared" si="15"/>
        <v>-928.42847999999992</v>
      </c>
      <c r="AC70" s="68">
        <f>IF(D70="","",_xlfn.XLOOKUP(A70,'11'!A:A,'11'!D:D,IF($U$6=0,0,"ERROR")))</f>
        <v>-6.33</v>
      </c>
      <c r="AD70" s="70">
        <f t="shared" si="16"/>
        <v>-971.7183</v>
      </c>
      <c r="AE70" s="68">
        <f>IF(D70="","",_xlfn.XLOOKUP(A70,'12'!A:A,'12'!D:D,IF($U$6=0,0,"ERROR")))</f>
        <v>-3.9359999999999999</v>
      </c>
      <c r="AF70" s="70">
        <f t="shared" si="17"/>
        <v>-604.21535999999992</v>
      </c>
      <c r="AG70" s="68">
        <f>IF(D70="","",_xlfn.XLOOKUP(A70,'13'!A:A,'13'!D:D,IF($U$6=0,0,"ERROR")))</f>
        <v>-6.9</v>
      </c>
      <c r="AH70" s="70">
        <f t="shared" si="18"/>
        <v>-1059.2190000000001</v>
      </c>
      <c r="AI70" s="106">
        <f>IF(D70="","",_xlfn.XLOOKUP(A70,'14'!A:A,'14'!D:D,IF($U$6=0,0,"ERROR")))</f>
        <v>-16.64</v>
      </c>
      <c r="AJ70" s="99">
        <f t="shared" si="19"/>
        <v>-2554.4063999999998</v>
      </c>
      <c r="AK70" s="99"/>
      <c r="AL70" s="99"/>
      <c r="AM70" s="68">
        <f t="shared" si="20"/>
        <v>-142.339</v>
      </c>
      <c r="AN70" s="74">
        <f t="shared" si="21"/>
        <v>-21850.459889999998</v>
      </c>
      <c r="AO70" s="93" t="str">
        <f t="shared" si="22"/>
        <v>הכל טוב</v>
      </c>
      <c r="AP70" s="91"/>
      <c r="AR70" s="93"/>
    </row>
    <row r="71" spans="1:44" ht="14.4" hidden="1" x14ac:dyDescent="0.3">
      <c r="A71" s="45" t="s">
        <v>109</v>
      </c>
      <c r="B71" s="46" t="s">
        <v>110</v>
      </c>
      <c r="C71" s="3" t="s">
        <v>24</v>
      </c>
      <c r="D71" s="41">
        <v>94</v>
      </c>
      <c r="E71" s="10">
        <f t="shared" si="4"/>
        <v>14.1</v>
      </c>
      <c r="F71" s="10">
        <f t="shared" si="5"/>
        <v>4.7</v>
      </c>
      <c r="G71" s="10">
        <f t="shared" si="6"/>
        <v>83.894999999999996</v>
      </c>
      <c r="H71" s="67"/>
      <c r="I71" s="68"/>
      <c r="J71" s="74">
        <f t="shared" si="7"/>
        <v>0</v>
      </c>
      <c r="K71" s="68"/>
      <c r="L71" s="74">
        <f t="shared" si="8"/>
        <v>0</v>
      </c>
      <c r="M71" s="68">
        <f>IF(D71="","",_xlfn.XLOOKUP(A71,'3'!A:A,'3'!D:D,IF($M$6=0,0,"ERROR")))</f>
        <v>0</v>
      </c>
      <c r="N71" s="70">
        <f t="shared" si="9"/>
        <v>0</v>
      </c>
      <c r="O71" s="68">
        <f>IF(D71="","",_xlfn.XLOOKUP(A71,'4'!A:A,'4'!D:D,IF($O$6=0,0,"ERROR")))</f>
        <v>0</v>
      </c>
      <c r="P71" s="69">
        <f t="shared" si="10"/>
        <v>0</v>
      </c>
      <c r="Q71" s="68">
        <f>IF(D71="","",_xlfn.XLOOKUP(A71,'5'!A:A,'5'!D:D,IF($Q$6=0,0,"ERROR")))</f>
        <v>0</v>
      </c>
      <c r="R71" s="70">
        <f t="shared" si="11"/>
        <v>0</v>
      </c>
      <c r="S71" s="68">
        <f>IF(D71="","",_xlfn.XLOOKUP(A71,'6'!A:A,'6'!D:D,IF($Q$6=0,0,"ERROR")))</f>
        <v>0</v>
      </c>
      <c r="T71" s="70">
        <f t="shared" si="12"/>
        <v>0</v>
      </c>
      <c r="U71" s="68">
        <f>IF(D71="","",_xlfn.XLOOKUP(A71,'7'!A:A,'7'!D:D,IF($U$6=0,0,"ERROR")))</f>
        <v>0</v>
      </c>
      <c r="V71" s="70">
        <f t="shared" si="13"/>
        <v>0</v>
      </c>
      <c r="W71" s="68">
        <f>IF(D71="","",_xlfn.XLOOKUP(A71,'8'!A:A,'8'!D:D,IF($U$6=0,0,"ERROR")))</f>
        <v>0</v>
      </c>
      <c r="X71" s="70">
        <f t="shared" si="3"/>
        <v>0</v>
      </c>
      <c r="Y71" s="68">
        <f>IF(D71="","",_xlfn.XLOOKUP(A71,'9'!A:A,'9'!D:D,IF($U$6=0,0,"ERROR")))</f>
        <v>0</v>
      </c>
      <c r="Z71" s="70">
        <f t="shared" si="14"/>
        <v>0</v>
      </c>
      <c r="AA71" s="68">
        <f>IF(D71="","",_xlfn.XLOOKUP(A71,'10'!A:A,'10'!D:D,IF($U$6=0,0,"ERROR")))</f>
        <v>0</v>
      </c>
      <c r="AB71" s="70">
        <f t="shared" si="15"/>
        <v>0</v>
      </c>
      <c r="AC71" s="68">
        <f>IF(D71="","",_xlfn.XLOOKUP(A71,'11'!A:A,'11'!D:D,IF($U$6=0,0,"ERROR")))</f>
        <v>0</v>
      </c>
      <c r="AD71" s="70">
        <f t="shared" si="16"/>
        <v>0</v>
      </c>
      <c r="AE71" s="68">
        <f>IF(D71="","",_xlfn.XLOOKUP(A71,'12'!A:A,'12'!D:D,IF($U$6=0,0,"ERROR")))</f>
        <v>0</v>
      </c>
      <c r="AF71" s="70">
        <f t="shared" si="17"/>
        <v>0</v>
      </c>
      <c r="AG71" s="68">
        <f>IF(D71="","",_xlfn.XLOOKUP(A71,'13'!A:A,'13'!D:D,IF($U$6=0,0,"ERROR")))</f>
        <v>0</v>
      </c>
      <c r="AH71" s="70">
        <f t="shared" si="18"/>
        <v>0</v>
      </c>
      <c r="AI71" s="106">
        <f>IF(D71="","",_xlfn.XLOOKUP(A71,'14'!A:A,'14'!D:D,IF($U$6=0,0,"ERROR")))</f>
        <v>0</v>
      </c>
      <c r="AJ71" s="99">
        <f t="shared" si="19"/>
        <v>0</v>
      </c>
      <c r="AK71" s="99"/>
      <c r="AL71" s="99"/>
      <c r="AM71" s="68">
        <f t="shared" si="20"/>
        <v>0</v>
      </c>
      <c r="AN71" s="74">
        <f t="shared" si="21"/>
        <v>0</v>
      </c>
      <c r="AO71" s="93" t="str">
        <f t="shared" si="22"/>
        <v>הכל טוב</v>
      </c>
      <c r="AP71" s="91"/>
      <c r="AR71" s="93"/>
    </row>
    <row r="72" spans="1:44" ht="14.4" hidden="1" x14ac:dyDescent="0.3">
      <c r="A72" s="45" t="s">
        <v>111</v>
      </c>
      <c r="B72" s="46" t="s">
        <v>112</v>
      </c>
      <c r="C72" s="3" t="s">
        <v>24</v>
      </c>
      <c r="D72" s="41">
        <v>157</v>
      </c>
      <c r="E72" s="10">
        <f t="shared" si="4"/>
        <v>23.55</v>
      </c>
      <c r="F72" s="10">
        <f t="shared" si="5"/>
        <v>7.8500000000000005</v>
      </c>
      <c r="G72" s="10">
        <f t="shared" si="6"/>
        <v>140.1225</v>
      </c>
      <c r="H72" s="67"/>
      <c r="I72" s="68"/>
      <c r="J72" s="74">
        <f t="shared" si="7"/>
        <v>0</v>
      </c>
      <c r="K72" s="68"/>
      <c r="L72" s="74">
        <f t="shared" si="8"/>
        <v>0</v>
      </c>
      <c r="M72" s="68">
        <f>IF(D72="","",_xlfn.XLOOKUP(A72,'3'!A:A,'3'!D:D,IF($M$6=0,0,"ERROR")))</f>
        <v>0</v>
      </c>
      <c r="N72" s="70">
        <f t="shared" si="9"/>
        <v>0</v>
      </c>
      <c r="O72" s="68">
        <f>IF(D72="","",_xlfn.XLOOKUP(A72,'4'!A:A,'4'!D:D,IF($O$6=0,0,"ERROR")))</f>
        <v>0</v>
      </c>
      <c r="P72" s="69">
        <f t="shared" si="10"/>
        <v>0</v>
      </c>
      <c r="Q72" s="68">
        <f>IF(D72="","",_xlfn.XLOOKUP(A72,'5'!A:A,'5'!D:D,IF($Q$6=0,0,"ERROR")))</f>
        <v>0</v>
      </c>
      <c r="R72" s="70">
        <f t="shared" si="11"/>
        <v>0</v>
      </c>
      <c r="S72" s="68">
        <f>IF(D72="","",_xlfn.XLOOKUP(A72,'6'!A:A,'6'!D:D,IF($Q$6=0,0,"ERROR")))</f>
        <v>0</v>
      </c>
      <c r="T72" s="70">
        <f t="shared" si="12"/>
        <v>0</v>
      </c>
      <c r="U72" s="68">
        <f>IF(D72="","",_xlfn.XLOOKUP(A72,'7'!A:A,'7'!D:D,IF($U$6=0,0,"ERROR")))</f>
        <v>0</v>
      </c>
      <c r="V72" s="70">
        <f t="shared" si="13"/>
        <v>0</v>
      </c>
      <c r="W72" s="68">
        <f>IF(D72="","",_xlfn.XLOOKUP(A72,'8'!A:A,'8'!D:D,IF($U$6=0,0,"ERROR")))</f>
        <v>0</v>
      </c>
      <c r="X72" s="70">
        <f t="shared" si="3"/>
        <v>0</v>
      </c>
      <c r="Y72" s="68">
        <f>IF(D72="","",_xlfn.XLOOKUP(A72,'9'!A:A,'9'!D:D,IF($U$6=0,0,"ERROR")))</f>
        <v>0</v>
      </c>
      <c r="Z72" s="70">
        <f t="shared" si="14"/>
        <v>0</v>
      </c>
      <c r="AA72" s="68">
        <f>IF(D72="","",_xlfn.XLOOKUP(A72,'10'!A:A,'10'!D:D,IF($U$6=0,0,"ERROR")))</f>
        <v>0</v>
      </c>
      <c r="AB72" s="70">
        <f t="shared" si="15"/>
        <v>0</v>
      </c>
      <c r="AC72" s="68">
        <f>IF(D72="","",_xlfn.XLOOKUP(A72,'11'!A:A,'11'!D:D,IF($U$6=0,0,"ERROR")))</f>
        <v>0</v>
      </c>
      <c r="AD72" s="70">
        <f t="shared" si="16"/>
        <v>0</v>
      </c>
      <c r="AE72" s="68">
        <f>IF(D72="","",_xlfn.XLOOKUP(A72,'12'!A:A,'12'!D:D,IF($U$6=0,0,"ERROR")))</f>
        <v>0</v>
      </c>
      <c r="AF72" s="70">
        <f t="shared" si="17"/>
        <v>0</v>
      </c>
      <c r="AG72" s="68">
        <f>IF(D72="","",_xlfn.XLOOKUP(A72,'13'!A:A,'13'!D:D,IF($U$6=0,0,"ERROR")))</f>
        <v>0</v>
      </c>
      <c r="AH72" s="70">
        <f t="shared" si="18"/>
        <v>0</v>
      </c>
      <c r="AI72" s="106">
        <f>IF(D72="","",_xlfn.XLOOKUP(A72,'14'!A:A,'14'!D:D,IF($U$6=0,0,"ERROR")))</f>
        <v>0</v>
      </c>
      <c r="AJ72" s="99">
        <f t="shared" si="19"/>
        <v>0</v>
      </c>
      <c r="AK72" s="99"/>
      <c r="AL72" s="99"/>
      <c r="AM72" s="68">
        <f t="shared" si="20"/>
        <v>0</v>
      </c>
      <c r="AN72" s="74">
        <f t="shared" si="21"/>
        <v>0</v>
      </c>
      <c r="AO72" s="93" t="str">
        <f t="shared" si="22"/>
        <v>הכל טוב</v>
      </c>
      <c r="AP72" s="91"/>
      <c r="AR72" s="93"/>
    </row>
    <row r="73" spans="1:44" ht="15.6" hidden="1" x14ac:dyDescent="0.3">
      <c r="A73" s="45" t="s">
        <v>113</v>
      </c>
      <c r="B73" s="46" t="s">
        <v>114</v>
      </c>
      <c r="C73" s="7" t="s">
        <v>3</v>
      </c>
      <c r="D73" s="41" t="s">
        <v>3</v>
      </c>
      <c r="E73" s="10" t="str">
        <f t="shared" si="4"/>
        <v/>
      </c>
      <c r="F73" s="10" t="str">
        <f t="shared" si="5"/>
        <v/>
      </c>
      <c r="G73" s="10" t="str">
        <f t="shared" si="6"/>
        <v/>
      </c>
      <c r="H73" s="67"/>
      <c r="I73" s="68"/>
      <c r="J73" s="74" t="str">
        <f t="shared" si="7"/>
        <v/>
      </c>
      <c r="K73" s="68"/>
      <c r="L73" s="74" t="str">
        <f t="shared" si="8"/>
        <v/>
      </c>
      <c r="M73" s="68" t="str">
        <f>IF(D73="","",_xlfn.XLOOKUP(A73,'3'!A:A,'3'!D:D,IF($M$6=0,0,"ERROR")))</f>
        <v/>
      </c>
      <c r="N73" s="70" t="str">
        <f t="shared" si="9"/>
        <v/>
      </c>
      <c r="O73" s="68" t="str">
        <f>IF(D73="","",_xlfn.XLOOKUP(A73,'4'!A:A,'4'!D:D,IF($O$6=0,0,"ERROR")))</f>
        <v/>
      </c>
      <c r="P73" s="69" t="str">
        <f t="shared" si="10"/>
        <v/>
      </c>
      <c r="Q73" s="68" t="str">
        <f>IF(D73="","",_xlfn.XLOOKUP(A73,'5'!A:A,'5'!D:D,IF($Q$6=0,0,"ERROR")))</f>
        <v/>
      </c>
      <c r="R73" s="70" t="str">
        <f t="shared" si="11"/>
        <v/>
      </c>
      <c r="S73" s="68" t="str">
        <f>IF(D73="","",_xlfn.XLOOKUP(A73,'6'!A:A,'6'!D:D,IF($Q$6=0,0,"ERROR")))</f>
        <v/>
      </c>
      <c r="T73" s="70" t="str">
        <f t="shared" si="12"/>
        <v/>
      </c>
      <c r="U73" s="68" t="str">
        <f>IF(D73="","",_xlfn.XLOOKUP(A73,'7'!A:A,'7'!D:D,IF($U$6=0,0,"ERROR")))</f>
        <v/>
      </c>
      <c r="V73" s="70" t="str">
        <f t="shared" si="13"/>
        <v/>
      </c>
      <c r="W73" s="68" t="str">
        <f>IF(D73="","",_xlfn.XLOOKUP(A73,'8'!A:A,'8'!D:D,IF($U$6=0,0,"ERROR")))</f>
        <v/>
      </c>
      <c r="X73" s="70" t="str">
        <f t="shared" si="3"/>
        <v/>
      </c>
      <c r="Y73" s="68" t="str">
        <f>IF(D73="","",_xlfn.XLOOKUP(A73,'9'!A:A,'9'!D:D,IF($U$6=0,0,"ERROR")))</f>
        <v/>
      </c>
      <c r="Z73" s="70" t="str">
        <f t="shared" si="14"/>
        <v/>
      </c>
      <c r="AA73" s="68" t="str">
        <f>IF(D73="","",_xlfn.XLOOKUP(A73,'10'!A:A,'10'!D:D,IF($U$6=0,0,"ERROR")))</f>
        <v/>
      </c>
      <c r="AB73" s="70" t="str">
        <f t="shared" si="15"/>
        <v/>
      </c>
      <c r="AC73" s="68" t="str">
        <f>IF(D73="","",_xlfn.XLOOKUP(A73,'11'!A:A,'11'!D:D,IF($U$6=0,0,"ERROR")))</f>
        <v/>
      </c>
      <c r="AD73" s="70" t="str">
        <f t="shared" si="16"/>
        <v/>
      </c>
      <c r="AE73" s="68" t="str">
        <f>IF(D73="","",_xlfn.XLOOKUP(A73,'12'!A:A,'12'!D:D,IF($U$6=0,0,"ERROR")))</f>
        <v/>
      </c>
      <c r="AF73" s="70" t="str">
        <f t="shared" si="17"/>
        <v/>
      </c>
      <c r="AG73" s="68" t="str">
        <f>IF(D73="","",_xlfn.XLOOKUP(A73,'13'!A:A,'13'!D:D,IF($U$6=0,0,"ERROR")))</f>
        <v/>
      </c>
      <c r="AH73" s="70" t="str">
        <f t="shared" si="18"/>
        <v/>
      </c>
      <c r="AI73" s="106" t="str">
        <f>IF(D73="","",_xlfn.XLOOKUP(A73,'14'!A:A,'14'!D:D,IF($U$6=0,0,"ERROR")))</f>
        <v/>
      </c>
      <c r="AJ73" s="99" t="str">
        <f t="shared" si="19"/>
        <v/>
      </c>
      <c r="AK73" s="99"/>
      <c r="AL73" s="99"/>
      <c r="AM73" s="68" t="str">
        <f t="shared" si="20"/>
        <v/>
      </c>
      <c r="AN73" s="74" t="str">
        <f t="shared" si="21"/>
        <v/>
      </c>
      <c r="AO73" s="93" t="str">
        <f t="shared" si="22"/>
        <v/>
      </c>
      <c r="AP73" s="91"/>
      <c r="AR73" s="93"/>
    </row>
    <row r="74" spans="1:44" ht="15.6" hidden="1" x14ac:dyDescent="0.3">
      <c r="A74" s="45" t="s">
        <v>115</v>
      </c>
      <c r="B74" s="46" t="s">
        <v>116</v>
      </c>
      <c r="C74" s="7" t="s">
        <v>3</v>
      </c>
      <c r="D74" s="41" t="s">
        <v>3</v>
      </c>
      <c r="E74" s="10" t="str">
        <f t="shared" si="4"/>
        <v/>
      </c>
      <c r="F74" s="10" t="str">
        <f t="shared" si="5"/>
        <v/>
      </c>
      <c r="G74" s="10" t="str">
        <f t="shared" si="6"/>
        <v/>
      </c>
      <c r="H74" s="67"/>
      <c r="I74" s="68"/>
      <c r="J74" s="74" t="str">
        <f t="shared" si="7"/>
        <v/>
      </c>
      <c r="K74" s="68"/>
      <c r="L74" s="74" t="str">
        <f t="shared" si="8"/>
        <v/>
      </c>
      <c r="M74" s="68" t="str">
        <f>IF(D74="","",_xlfn.XLOOKUP(A74,'3'!A:A,'3'!D:D,IF($M$6=0,0,"ERROR")))</f>
        <v/>
      </c>
      <c r="N74" s="70" t="str">
        <f t="shared" si="9"/>
        <v/>
      </c>
      <c r="O74" s="68" t="str">
        <f>IF(D74="","",_xlfn.XLOOKUP(A74,'4'!A:A,'4'!D:D,IF($O$6=0,0,"ERROR")))</f>
        <v/>
      </c>
      <c r="P74" s="69" t="str">
        <f t="shared" si="10"/>
        <v/>
      </c>
      <c r="Q74" s="68" t="str">
        <f>IF(D74="","",_xlfn.XLOOKUP(A74,'5'!A:A,'5'!D:D,IF($Q$6=0,0,"ERROR")))</f>
        <v/>
      </c>
      <c r="R74" s="70" t="str">
        <f t="shared" si="11"/>
        <v/>
      </c>
      <c r="S74" s="68" t="str">
        <f>IF(D74="","",_xlfn.XLOOKUP(A74,'6'!A:A,'6'!D:D,IF($Q$6=0,0,"ERROR")))</f>
        <v/>
      </c>
      <c r="T74" s="70" t="str">
        <f t="shared" si="12"/>
        <v/>
      </c>
      <c r="U74" s="68" t="str">
        <f>IF(D74="","",_xlfn.XLOOKUP(A74,'7'!A:A,'7'!D:D,IF($U$6=0,0,"ERROR")))</f>
        <v/>
      </c>
      <c r="V74" s="70" t="str">
        <f t="shared" si="13"/>
        <v/>
      </c>
      <c r="W74" s="68" t="str">
        <f>IF(D74="","",_xlfn.XLOOKUP(A74,'8'!A:A,'8'!D:D,IF($U$6=0,0,"ERROR")))</f>
        <v/>
      </c>
      <c r="X74" s="70" t="str">
        <f t="shared" ref="X74:X93" si="34">IF(G74="","",W74*G74)</f>
        <v/>
      </c>
      <c r="Y74" s="68" t="str">
        <f>IF(D74="","",_xlfn.XLOOKUP(A74,'9'!A:A,'9'!D:D,IF($U$6=0,0,"ERROR")))</f>
        <v/>
      </c>
      <c r="Z74" s="70" t="str">
        <f t="shared" si="14"/>
        <v/>
      </c>
      <c r="AA74" s="68" t="str">
        <f>IF(D74="","",_xlfn.XLOOKUP(A74,'10'!A:A,'10'!D:D,IF($U$6=0,0,"ERROR")))</f>
        <v/>
      </c>
      <c r="AB74" s="70" t="str">
        <f t="shared" si="15"/>
        <v/>
      </c>
      <c r="AC74" s="68" t="str">
        <f>IF(D74="","",_xlfn.XLOOKUP(A74,'11'!A:A,'11'!D:D,IF($U$6=0,0,"ERROR")))</f>
        <v/>
      </c>
      <c r="AD74" s="70" t="str">
        <f t="shared" si="16"/>
        <v/>
      </c>
      <c r="AE74" s="68" t="str">
        <f>IF(D74="","",_xlfn.XLOOKUP(A74,'12'!A:A,'12'!D:D,IF($U$6=0,0,"ERROR")))</f>
        <v/>
      </c>
      <c r="AF74" s="70" t="str">
        <f t="shared" si="17"/>
        <v/>
      </c>
      <c r="AG74" s="68" t="str">
        <f>IF(D74="","",_xlfn.XLOOKUP(A74,'13'!A:A,'13'!D:D,IF($U$6=0,0,"ERROR")))</f>
        <v/>
      </c>
      <c r="AH74" s="70" t="str">
        <f t="shared" si="18"/>
        <v/>
      </c>
      <c r="AI74" s="106" t="str">
        <f>IF(D74="","",_xlfn.XLOOKUP(A74,'14'!A:A,'14'!D:D,IF($U$6=0,0,"ERROR")))</f>
        <v/>
      </c>
      <c r="AJ74" s="99" t="str">
        <f t="shared" si="19"/>
        <v/>
      </c>
      <c r="AK74" s="99"/>
      <c r="AL74" s="99"/>
      <c r="AM74" s="68" t="str">
        <f t="shared" si="20"/>
        <v/>
      </c>
      <c r="AN74" s="74" t="str">
        <f t="shared" si="21"/>
        <v/>
      </c>
      <c r="AO74" s="93" t="str">
        <f t="shared" si="22"/>
        <v/>
      </c>
      <c r="AP74" s="91"/>
      <c r="AR74" s="93"/>
    </row>
    <row r="75" spans="1:44" ht="43.2" hidden="1" x14ac:dyDescent="0.3">
      <c r="A75" s="45" t="s">
        <v>117</v>
      </c>
      <c r="B75" s="46" t="s">
        <v>118</v>
      </c>
      <c r="C75" s="3" t="s">
        <v>17</v>
      </c>
      <c r="D75" s="41">
        <v>3500</v>
      </c>
      <c r="E75" s="10">
        <f t="shared" si="4"/>
        <v>525</v>
      </c>
      <c r="F75" s="10">
        <f t="shared" si="5"/>
        <v>175</v>
      </c>
      <c r="G75" s="10">
        <f t="shared" si="6"/>
        <v>3123.75</v>
      </c>
      <c r="H75" s="67"/>
      <c r="I75" s="68"/>
      <c r="J75" s="74">
        <f t="shared" si="7"/>
        <v>0</v>
      </c>
      <c r="K75" s="68"/>
      <c r="L75" s="74">
        <f t="shared" si="8"/>
        <v>0</v>
      </c>
      <c r="M75" s="68">
        <f>IF(D75="","",_xlfn.XLOOKUP(A75,'3'!A:A,'3'!D:D,IF($M$6=0,0,"ERROR")))</f>
        <v>0</v>
      </c>
      <c r="N75" s="70">
        <f t="shared" si="9"/>
        <v>0</v>
      </c>
      <c r="O75" s="68">
        <f>IF(D75="","",_xlfn.XLOOKUP(A75,'4'!A:A,'4'!D:D,IF($O$6=0,0,"ERROR")))</f>
        <v>0</v>
      </c>
      <c r="P75" s="69">
        <f t="shared" si="10"/>
        <v>0</v>
      </c>
      <c r="Q75" s="68">
        <f>IF(D75="","",_xlfn.XLOOKUP(A75,'5'!A:A,'5'!D:D,IF($Q$6=0,0,"ERROR")))</f>
        <v>0</v>
      </c>
      <c r="R75" s="70">
        <f t="shared" si="11"/>
        <v>0</v>
      </c>
      <c r="S75" s="68">
        <f>IF(D75="","",_xlfn.XLOOKUP(A75,'6'!A:A,'6'!D:D,IF($Q$6=0,0,"ERROR")))</f>
        <v>0</v>
      </c>
      <c r="T75" s="70">
        <f t="shared" ref="T75:T94" si="35">IF(G75="","",S75*G75)</f>
        <v>0</v>
      </c>
      <c r="U75" s="68">
        <f>IF(D75="","",_xlfn.XLOOKUP(A75,'7'!A:A,'7'!D:D,IF($U$6=0,0,"ERROR")))</f>
        <v>0</v>
      </c>
      <c r="V75" s="70">
        <f t="shared" si="13"/>
        <v>0</v>
      </c>
      <c r="W75" s="68">
        <f>IF(D75="","",_xlfn.XLOOKUP(A75,'8'!A:A,'8'!D:D,IF($U$6=0,0,"ERROR")))</f>
        <v>0</v>
      </c>
      <c r="X75" s="70">
        <f t="shared" si="34"/>
        <v>0</v>
      </c>
      <c r="Y75" s="68">
        <f>IF(D75="","",_xlfn.XLOOKUP(A75,'9'!A:A,'9'!D:D,IF($U$6=0,0,"ERROR")))</f>
        <v>0</v>
      </c>
      <c r="Z75" s="70">
        <f t="shared" ref="Z75:Z94" si="36">IF(G75="","",Y75*G75)</f>
        <v>0</v>
      </c>
      <c r="AA75" s="68">
        <f>IF(D75="","",_xlfn.XLOOKUP(A75,'10'!A:A,'10'!D:D,IF($U$6=0,0,"ERROR")))</f>
        <v>0</v>
      </c>
      <c r="AB75" s="70">
        <f t="shared" ref="AB75:AB94" si="37">IF(G75="","",AA75*G75)</f>
        <v>0</v>
      </c>
      <c r="AC75" s="68">
        <f>IF(D75="","",_xlfn.XLOOKUP(A75,'11'!A:A,'11'!D:D,IF($U$6=0,0,"ERROR")))</f>
        <v>0</v>
      </c>
      <c r="AD75" s="70">
        <f t="shared" ref="AD75:AD94" si="38">IF(G75="","",AC75*G75)</f>
        <v>0</v>
      </c>
      <c r="AE75" s="68">
        <f>IF(D75="","",_xlfn.XLOOKUP(A75,'12'!A:A,'12'!D:D,IF($U$6=0,0,"ERROR")))</f>
        <v>0</v>
      </c>
      <c r="AF75" s="70">
        <f t="shared" ref="AF75:AF94" si="39">IF(G75="","",AE75*G75)</f>
        <v>0</v>
      </c>
      <c r="AG75" s="68">
        <f>IF(D75="","",_xlfn.XLOOKUP(A75,'13'!A:A,'13'!D:D,IF($U$6=0,0,"ERROR")))</f>
        <v>0</v>
      </c>
      <c r="AH75" s="70">
        <f t="shared" ref="AH75:AH94" si="40">IF(G75="","",AG75*G75)</f>
        <v>0</v>
      </c>
      <c r="AI75" s="106">
        <f>IF(D75="","",_xlfn.XLOOKUP(A75,'14'!A:A,'14'!D:D,IF($U$6=0,0,"ERROR")))</f>
        <v>0</v>
      </c>
      <c r="AJ75" s="99">
        <f t="shared" ref="AJ75:AJ94" si="41">IF(G75="","",AI75*G75)</f>
        <v>0</v>
      </c>
      <c r="AK75" s="99"/>
      <c r="AL75" s="99"/>
      <c r="AM75" s="68">
        <f t="shared" ref="AM75:AM94" si="42">IF(D75="","",Q75+O75+M75+K75+I75+S75+U75+W75+Y75+AA75+AC75+AE75+AG75+AI75)</f>
        <v>0</v>
      </c>
      <c r="AN75" s="74">
        <f t="shared" ref="AN75:AN94" si="43">IF(D75="","",R75+P75+N75+L75+J75+T75+V75+X75+Z75+AB75+AD75+AH75+AF75+AJ75)</f>
        <v>0</v>
      </c>
      <c r="AO75" s="93" t="str">
        <f t="shared" si="22"/>
        <v>הכל טוב</v>
      </c>
      <c r="AP75" s="91"/>
      <c r="AR75" s="93"/>
    </row>
    <row r="76" spans="1:44" ht="72" hidden="1" x14ac:dyDescent="0.3">
      <c r="A76" s="45" t="s">
        <v>119</v>
      </c>
      <c r="B76" s="46" t="s">
        <v>120</v>
      </c>
      <c r="C76" s="3" t="s">
        <v>4</v>
      </c>
      <c r="D76" s="41">
        <v>172</v>
      </c>
      <c r="E76" s="10">
        <f t="shared" si="4"/>
        <v>25.8</v>
      </c>
      <c r="F76" s="10">
        <f t="shared" si="5"/>
        <v>8.6</v>
      </c>
      <c r="G76" s="10">
        <f t="shared" si="6"/>
        <v>153.51</v>
      </c>
      <c r="H76" s="67"/>
      <c r="I76" s="68"/>
      <c r="J76" s="74">
        <f t="shared" si="7"/>
        <v>0</v>
      </c>
      <c r="K76" s="68"/>
      <c r="L76" s="74">
        <f t="shared" si="8"/>
        <v>0</v>
      </c>
      <c r="M76" s="68">
        <f>IF(D76="","",_xlfn.XLOOKUP(A76,'3'!A:A,'3'!D:D,IF($M$6=0,0,"ERROR")))</f>
        <v>0</v>
      </c>
      <c r="N76" s="70">
        <f t="shared" si="9"/>
        <v>0</v>
      </c>
      <c r="O76" s="68">
        <f>IF(D76="","",_xlfn.XLOOKUP(A76,'4'!A:A,'4'!D:D,IF($O$6=0,0,"ERROR")))</f>
        <v>0</v>
      </c>
      <c r="P76" s="69">
        <f t="shared" si="10"/>
        <v>0</v>
      </c>
      <c r="Q76" s="68">
        <f>IF(D76="","",_xlfn.XLOOKUP(A76,'5'!A:A,'5'!D:D,IF($Q$6=0,0,"ERROR")))</f>
        <v>0</v>
      </c>
      <c r="R76" s="70">
        <f t="shared" si="11"/>
        <v>0</v>
      </c>
      <c r="S76" s="68">
        <f>IF(D76="","",_xlfn.XLOOKUP(A76,'6'!A:A,'6'!D:D,IF($Q$6=0,0,"ERROR")))</f>
        <v>0</v>
      </c>
      <c r="T76" s="70">
        <f t="shared" si="35"/>
        <v>0</v>
      </c>
      <c r="U76" s="68">
        <f>IF(D76="","",_xlfn.XLOOKUP(A76,'7'!A:A,'7'!D:D,IF($U$6=0,0,"ERROR")))</f>
        <v>0</v>
      </c>
      <c r="V76" s="70">
        <f t="shared" si="13"/>
        <v>0</v>
      </c>
      <c r="W76" s="68">
        <f>IF(D76="","",_xlfn.XLOOKUP(A76,'8'!A:A,'8'!D:D,IF($U$6=0,0,"ERROR")))</f>
        <v>0</v>
      </c>
      <c r="X76" s="70">
        <f t="shared" si="34"/>
        <v>0</v>
      </c>
      <c r="Y76" s="68">
        <f>IF(D76="","",_xlfn.XLOOKUP(A76,'9'!A:A,'9'!D:D,IF($U$6=0,0,"ERROR")))</f>
        <v>0</v>
      </c>
      <c r="Z76" s="70">
        <f t="shared" si="36"/>
        <v>0</v>
      </c>
      <c r="AA76" s="68">
        <f>IF(D76="","",_xlfn.XLOOKUP(A76,'10'!A:A,'10'!D:D,IF($U$6=0,0,"ERROR")))</f>
        <v>0</v>
      </c>
      <c r="AB76" s="70">
        <f t="shared" si="37"/>
        <v>0</v>
      </c>
      <c r="AC76" s="68">
        <f>IF(D76="","",_xlfn.XLOOKUP(A76,'11'!A:A,'11'!D:D,IF($U$6=0,0,"ERROR")))</f>
        <v>0</v>
      </c>
      <c r="AD76" s="70">
        <f t="shared" si="38"/>
        <v>0</v>
      </c>
      <c r="AE76" s="68">
        <f>IF(D76="","",_xlfn.XLOOKUP(A76,'12'!A:A,'12'!D:D,IF($U$6=0,0,"ERROR")))</f>
        <v>0</v>
      </c>
      <c r="AF76" s="70">
        <f t="shared" si="39"/>
        <v>0</v>
      </c>
      <c r="AG76" s="68">
        <f>IF(D76="","",_xlfn.XLOOKUP(A76,'13'!A:A,'13'!D:D,IF($U$6=0,0,"ERROR")))</f>
        <v>0</v>
      </c>
      <c r="AH76" s="70">
        <f t="shared" si="40"/>
        <v>0</v>
      </c>
      <c r="AI76" s="106">
        <f>IF(D76="","",_xlfn.XLOOKUP(A76,'14'!A:A,'14'!D:D,IF($U$6=0,0,"ERROR")))</f>
        <v>0</v>
      </c>
      <c r="AJ76" s="99">
        <f t="shared" si="41"/>
        <v>0</v>
      </c>
      <c r="AK76" s="99"/>
      <c r="AL76" s="99"/>
      <c r="AM76" s="68">
        <f t="shared" si="42"/>
        <v>0</v>
      </c>
      <c r="AN76" s="74">
        <f t="shared" si="43"/>
        <v>0</v>
      </c>
      <c r="AO76" s="93" t="str">
        <f t="shared" si="22"/>
        <v>הכל טוב</v>
      </c>
      <c r="AP76" s="91"/>
      <c r="AR76" s="93"/>
    </row>
    <row r="77" spans="1:44" ht="28.8" x14ac:dyDescent="0.3">
      <c r="A77" s="45" t="s">
        <v>177</v>
      </c>
      <c r="B77" s="46" t="s">
        <v>178</v>
      </c>
      <c r="C77" s="56" t="s">
        <v>24</v>
      </c>
      <c r="D77" s="41">
        <v>48</v>
      </c>
      <c r="E77" s="10">
        <f t="shared" si="4"/>
        <v>7.1999999999999993</v>
      </c>
      <c r="F77" s="10">
        <f t="shared" si="5"/>
        <v>2.4000000000000004</v>
      </c>
      <c r="G77" s="10">
        <f t="shared" si="6"/>
        <v>42.84</v>
      </c>
      <c r="H77" s="67"/>
      <c r="I77" s="68"/>
      <c r="J77" s="74">
        <f t="shared" si="7"/>
        <v>0</v>
      </c>
      <c r="K77" s="68"/>
      <c r="L77" s="74">
        <f t="shared" si="8"/>
        <v>0</v>
      </c>
      <c r="M77" s="68">
        <f>IF(D77="","",_xlfn.XLOOKUP(A77,'3'!A:A,'3'!D:D,IF($M$6=0,0,"ERROR")))</f>
        <v>20.7958</v>
      </c>
      <c r="N77" s="70">
        <f t="shared" si="9"/>
        <v>890.8920720000001</v>
      </c>
      <c r="O77" s="68">
        <f>IF(D77="","",_xlfn.XLOOKUP(A77,'4'!A:A,'4'!D:D,IF($O$6=0,0,"ERROR")))</f>
        <v>0</v>
      </c>
      <c r="P77" s="69">
        <f t="shared" si="10"/>
        <v>0</v>
      </c>
      <c r="Q77" s="68">
        <f>IF(D77="","",_xlfn.XLOOKUP(A77,'5'!A:A,'5'!D:D,IF($Q$6=0,0,"ERROR")))</f>
        <v>38.555</v>
      </c>
      <c r="R77" s="70">
        <f t="shared" si="11"/>
        <v>1651.6962000000001</v>
      </c>
      <c r="S77" s="68">
        <f>IF(D77="","",_xlfn.XLOOKUP(A77,'6'!A:A,'6'!D:D,IF($Q$6=0,0,"ERROR")))</f>
        <v>19.04</v>
      </c>
      <c r="T77" s="70">
        <f t="shared" si="35"/>
        <v>815.67360000000008</v>
      </c>
      <c r="U77" s="68">
        <f>IF(D77="","",_xlfn.XLOOKUP(A77,'7'!A:A,'7'!D:D,IF($U$6=0,0,"ERROR")))</f>
        <v>19.448</v>
      </c>
      <c r="V77" s="70">
        <f t="shared" si="13"/>
        <v>833.15232000000003</v>
      </c>
      <c r="W77" s="68">
        <f>IF(D77="","",_xlfn.XLOOKUP(A77,'8'!A:A,'8'!D:D,IF($U$6=0,0,"ERROR")))</f>
        <v>19.950000000000003</v>
      </c>
      <c r="X77" s="70">
        <f t="shared" si="34"/>
        <v>854.65800000000024</v>
      </c>
      <c r="Y77" s="68">
        <f>IF(D77="","",_xlfn.XLOOKUP(A77,'9'!A:A,'9'!D:D,IF($U$6=0,0,"ERROR")))</f>
        <v>17.009999999999998</v>
      </c>
      <c r="Z77" s="70">
        <f t="shared" si="36"/>
        <v>728.70839999999998</v>
      </c>
      <c r="AA77" s="68">
        <f>IF(D77="","",_xlfn.XLOOKUP(A77,'10'!A:A,'10'!D:D,IF($U$6=0,0,"ERROR")))</f>
        <v>9.1668000000000003</v>
      </c>
      <c r="AB77" s="70">
        <f t="shared" si="37"/>
        <v>392.70571200000006</v>
      </c>
      <c r="AC77" s="68">
        <f>IF(D77="","",_xlfn.XLOOKUP(A77,'11'!A:A,'11'!D:D,IF($U$6=0,0,"ERROR")))</f>
        <v>16.375</v>
      </c>
      <c r="AD77" s="70">
        <f t="shared" si="38"/>
        <v>701.50500000000011</v>
      </c>
      <c r="AE77" s="68">
        <f>IF(D77="","",_xlfn.XLOOKUP(A77,'12'!A:A,'12'!D:D,IF($U$6=0,0,"ERROR")))</f>
        <v>4</v>
      </c>
      <c r="AF77" s="70">
        <f t="shared" si="39"/>
        <v>171.36</v>
      </c>
      <c r="AG77" s="68">
        <f>IF(D77="","",_xlfn.XLOOKUP(A77,'13'!A:A,'13'!D:D,IF($U$6=0,0,"ERROR")))</f>
        <v>15.885</v>
      </c>
      <c r="AH77" s="70">
        <f t="shared" si="40"/>
        <v>680.51340000000005</v>
      </c>
      <c r="AI77" s="106">
        <f>IF(D77="","",_xlfn.XLOOKUP(A77,'14'!A:A,'14'!D:D,IF($U$6=0,0,"ERROR")))</f>
        <v>0</v>
      </c>
      <c r="AJ77" s="99">
        <f t="shared" si="41"/>
        <v>0</v>
      </c>
      <c r="AK77" s="99"/>
      <c r="AL77" s="99"/>
      <c r="AM77" s="68">
        <f t="shared" si="42"/>
        <v>180.22559999999999</v>
      </c>
      <c r="AN77" s="74">
        <f t="shared" si="43"/>
        <v>7720.8647040000005</v>
      </c>
      <c r="AO77" s="93" t="str">
        <f t="shared" si="22"/>
        <v>הכל טוב</v>
      </c>
      <c r="AP77" s="91"/>
      <c r="AR77" s="93"/>
    </row>
    <row r="78" spans="1:44" ht="56.4" x14ac:dyDescent="0.3">
      <c r="A78" s="45" t="s">
        <v>235</v>
      </c>
      <c r="B78" s="46" t="s">
        <v>236</v>
      </c>
      <c r="C78" s="56" t="s">
        <v>2</v>
      </c>
      <c r="D78" s="41">
        <v>2079</v>
      </c>
      <c r="E78" s="10">
        <f t="shared" si="4"/>
        <v>311.84999999999997</v>
      </c>
      <c r="F78" s="10">
        <f t="shared" si="5"/>
        <v>103.95</v>
      </c>
      <c r="G78" s="10">
        <f t="shared" si="6"/>
        <v>1855.5075000000002</v>
      </c>
      <c r="H78" s="67"/>
      <c r="I78" s="68"/>
      <c r="J78" s="74">
        <f t="shared" si="7"/>
        <v>0</v>
      </c>
      <c r="K78" s="68"/>
      <c r="L78" s="74">
        <f t="shared" si="8"/>
        <v>0</v>
      </c>
      <c r="M78" s="68"/>
      <c r="N78" s="70"/>
      <c r="O78" s="68"/>
      <c r="P78" s="69"/>
      <c r="Q78" s="68"/>
      <c r="R78" s="70"/>
      <c r="S78" s="68"/>
      <c r="T78" s="70"/>
      <c r="U78" s="68"/>
      <c r="V78" s="70"/>
      <c r="W78" s="68"/>
      <c r="X78" s="70"/>
      <c r="Y78" s="68"/>
      <c r="Z78" s="70"/>
      <c r="AA78" s="68"/>
      <c r="AB78" s="70"/>
      <c r="AC78" s="68">
        <v>1</v>
      </c>
      <c r="AD78" s="70">
        <f t="shared" si="38"/>
        <v>1855.5075000000002</v>
      </c>
      <c r="AE78" s="68"/>
      <c r="AF78" s="70"/>
      <c r="AG78" s="68"/>
      <c r="AH78" s="70"/>
      <c r="AI78" s="106"/>
      <c r="AJ78" s="99"/>
      <c r="AK78" s="99"/>
      <c r="AL78" s="99"/>
      <c r="AM78" s="68">
        <f t="shared" si="42"/>
        <v>1</v>
      </c>
      <c r="AN78" s="74">
        <f t="shared" si="43"/>
        <v>1855.5075000000002</v>
      </c>
      <c r="AO78" s="93"/>
      <c r="AP78" s="91"/>
      <c r="AR78" s="93"/>
    </row>
    <row r="79" spans="1:44" ht="15.6" x14ac:dyDescent="0.3">
      <c r="A79" s="5" t="s">
        <v>121</v>
      </c>
      <c r="B79" s="6" t="s">
        <v>122</v>
      </c>
      <c r="C79" s="7" t="s">
        <v>3</v>
      </c>
      <c r="D79" s="41" t="s">
        <v>3</v>
      </c>
      <c r="E79" s="10" t="str">
        <f t="shared" si="4"/>
        <v/>
      </c>
      <c r="F79" s="10" t="str">
        <f t="shared" si="5"/>
        <v/>
      </c>
      <c r="G79" s="10" t="str">
        <f t="shared" si="6"/>
        <v/>
      </c>
      <c r="H79" s="67"/>
      <c r="I79" s="68"/>
      <c r="J79" s="74" t="str">
        <f t="shared" si="7"/>
        <v/>
      </c>
      <c r="K79" s="68"/>
      <c r="L79" s="74" t="str">
        <f t="shared" si="8"/>
        <v/>
      </c>
      <c r="M79" s="68" t="str">
        <f>IF(D79="","",_xlfn.XLOOKUP(A79,'3'!A:A,'3'!D:D,IF($M$6=0,0,"ERROR")))</f>
        <v/>
      </c>
      <c r="N79" s="70" t="str">
        <f t="shared" si="9"/>
        <v/>
      </c>
      <c r="O79" s="68" t="str">
        <f>IF(D79="","",_xlfn.XLOOKUP(A79,'4'!A:A,'4'!D:D,IF($O$6=0,0,"ERROR")))</f>
        <v/>
      </c>
      <c r="P79" s="69" t="str">
        <f t="shared" si="10"/>
        <v/>
      </c>
      <c r="Q79" s="68" t="str">
        <f>IF(D79="","",_xlfn.XLOOKUP(A79,'5'!A:A,'5'!D:D,IF($Q$6=0,0,"ERROR")))</f>
        <v/>
      </c>
      <c r="R79" s="70" t="str">
        <f t="shared" si="11"/>
        <v/>
      </c>
      <c r="S79" s="68" t="str">
        <f>IF(D79="","",_xlfn.XLOOKUP(A79,'6'!A:A,'6'!D:D,IF($Q$6=0,0,"ERROR")))</f>
        <v/>
      </c>
      <c r="T79" s="70" t="str">
        <f t="shared" si="35"/>
        <v/>
      </c>
      <c r="U79" s="68" t="str">
        <f>IF(D79="","",_xlfn.XLOOKUP(A79,'7'!A:A,'7'!D:D,IF($U$6=0,0,"ERROR")))</f>
        <v/>
      </c>
      <c r="V79" s="70" t="str">
        <f t="shared" si="13"/>
        <v/>
      </c>
      <c r="W79" s="68" t="str">
        <f>IF(D79="","",_xlfn.XLOOKUP(A79,'8'!A:A,'8'!D:D,IF($U$6=0,0,"ERROR")))</f>
        <v/>
      </c>
      <c r="X79" s="70" t="str">
        <f t="shared" si="34"/>
        <v/>
      </c>
      <c r="Y79" s="68" t="str">
        <f>IF(D79="","",_xlfn.XLOOKUP(A79,'9'!A:A,'9'!D:D,IF($U$6=0,0,"ERROR")))</f>
        <v/>
      </c>
      <c r="Z79" s="70" t="str">
        <f t="shared" si="36"/>
        <v/>
      </c>
      <c r="AA79" s="68" t="str">
        <f>IF(D79="","",_xlfn.XLOOKUP(A79,'10'!A:A,'10'!D:D,IF($U$6=0,0,"ERROR")))</f>
        <v/>
      </c>
      <c r="AB79" s="70" t="str">
        <f t="shared" si="37"/>
        <v/>
      </c>
      <c r="AC79" s="68" t="str">
        <f>IF(D79="","",_xlfn.XLOOKUP(A79,'11'!A:A,'11'!D:D,IF($U$6=0,0,"ERROR")))</f>
        <v/>
      </c>
      <c r="AD79" s="70" t="str">
        <f t="shared" si="38"/>
        <v/>
      </c>
      <c r="AE79" s="68" t="str">
        <f>IF(D79="","",_xlfn.XLOOKUP(A79,'12'!A:A,'12'!D:D,IF($U$6=0,0,"ERROR")))</f>
        <v/>
      </c>
      <c r="AF79" s="70" t="str">
        <f t="shared" si="39"/>
        <v/>
      </c>
      <c r="AG79" s="68" t="str">
        <f>IF(D79="","",_xlfn.XLOOKUP(A79,'13'!A:A,'13'!D:D,IF($U$6=0,0,"ERROR")))</f>
        <v/>
      </c>
      <c r="AH79" s="70" t="str">
        <f t="shared" si="40"/>
        <v/>
      </c>
      <c r="AI79" s="106" t="str">
        <f>IF(D79="","",_xlfn.XLOOKUP(A79,'14'!A:A,'14'!D:D,IF($U$6=0,0,"ERROR")))</f>
        <v/>
      </c>
      <c r="AJ79" s="99" t="str">
        <f t="shared" si="41"/>
        <v/>
      </c>
      <c r="AK79" s="99"/>
      <c r="AL79" s="99"/>
      <c r="AM79" s="68" t="str">
        <f t="shared" si="42"/>
        <v/>
      </c>
      <c r="AN79" s="74" t="str">
        <f t="shared" si="43"/>
        <v/>
      </c>
      <c r="AO79" s="93" t="str">
        <f t="shared" si="22"/>
        <v/>
      </c>
      <c r="AP79" s="91"/>
      <c r="AR79" s="93"/>
    </row>
    <row r="80" spans="1:44" ht="15.6" x14ac:dyDescent="0.3">
      <c r="A80" s="5" t="s">
        <v>123</v>
      </c>
      <c r="B80" s="6" t="s">
        <v>124</v>
      </c>
      <c r="C80" s="7" t="s">
        <v>3</v>
      </c>
      <c r="D80" s="41" t="s">
        <v>3</v>
      </c>
      <c r="E80" s="10" t="str">
        <f t="shared" si="4"/>
        <v/>
      </c>
      <c r="F80" s="10" t="str">
        <f t="shared" si="5"/>
        <v/>
      </c>
      <c r="G80" s="10" t="str">
        <f t="shared" si="6"/>
        <v/>
      </c>
      <c r="H80" s="67"/>
      <c r="I80" s="68"/>
      <c r="J80" s="74" t="str">
        <f t="shared" si="7"/>
        <v/>
      </c>
      <c r="K80" s="68"/>
      <c r="L80" s="74" t="str">
        <f t="shared" si="8"/>
        <v/>
      </c>
      <c r="M80" s="68" t="str">
        <f>IF(D80="","",_xlfn.XLOOKUP(A80,'3'!A:A,'3'!D:D,IF($M$6=0,0,"ERROR")))</f>
        <v/>
      </c>
      <c r="N80" s="70" t="str">
        <f t="shared" si="9"/>
        <v/>
      </c>
      <c r="O80" s="68" t="str">
        <f>IF(D80="","",_xlfn.XLOOKUP(A80,'4'!A:A,'4'!D:D,IF($O$6=0,0,"ERROR")))</f>
        <v/>
      </c>
      <c r="P80" s="69" t="str">
        <f t="shared" si="10"/>
        <v/>
      </c>
      <c r="Q80" s="68" t="str">
        <f>IF(D80="","",_xlfn.XLOOKUP(A80,'5'!A:A,'5'!D:D,IF($Q$6=0,0,"ERROR")))</f>
        <v/>
      </c>
      <c r="R80" s="70" t="str">
        <f t="shared" si="11"/>
        <v/>
      </c>
      <c r="S80" s="68" t="str">
        <f>IF(D80="","",_xlfn.XLOOKUP(A80,'6'!A:A,'6'!D:D,IF($Q$6=0,0,"ERROR")))</f>
        <v/>
      </c>
      <c r="T80" s="70" t="str">
        <f t="shared" si="35"/>
        <v/>
      </c>
      <c r="U80" s="68" t="str">
        <f>IF(D80="","",_xlfn.XLOOKUP(A80,'7'!A:A,'7'!D:D,IF($U$6=0,0,"ERROR")))</f>
        <v/>
      </c>
      <c r="V80" s="70" t="str">
        <f t="shared" si="13"/>
        <v/>
      </c>
      <c r="W80" s="68" t="str">
        <f>IF(D80="","",_xlfn.XLOOKUP(A80,'8'!A:A,'8'!D:D,IF($U$6=0,0,"ERROR")))</f>
        <v/>
      </c>
      <c r="X80" s="70" t="str">
        <f t="shared" si="34"/>
        <v/>
      </c>
      <c r="Y80" s="68" t="str">
        <f>IF(D80="","",_xlfn.XLOOKUP(A80,'9'!A:A,'9'!D:D,IF($U$6=0,0,"ERROR")))</f>
        <v/>
      </c>
      <c r="Z80" s="70" t="str">
        <f t="shared" si="36"/>
        <v/>
      </c>
      <c r="AA80" s="68" t="str">
        <f>IF(D80="","",_xlfn.XLOOKUP(A80,'10'!A:A,'10'!D:D,IF($U$6=0,0,"ERROR")))</f>
        <v/>
      </c>
      <c r="AB80" s="70" t="str">
        <f t="shared" si="37"/>
        <v/>
      </c>
      <c r="AC80" s="68" t="str">
        <f>IF(D80="","",_xlfn.XLOOKUP(A80,'11'!A:A,'11'!D:D,IF($U$6=0,0,"ERROR")))</f>
        <v/>
      </c>
      <c r="AD80" s="70" t="str">
        <f t="shared" si="38"/>
        <v/>
      </c>
      <c r="AE80" s="68" t="str">
        <f>IF(D80="","",_xlfn.XLOOKUP(A80,'12'!A:A,'12'!D:D,IF($U$6=0,0,"ERROR")))</f>
        <v/>
      </c>
      <c r="AF80" s="70" t="str">
        <f t="shared" si="39"/>
        <v/>
      </c>
      <c r="AG80" s="68" t="str">
        <f>IF(D80="","",_xlfn.XLOOKUP(A80,'13'!A:A,'13'!D:D,IF($U$6=0,0,"ERROR")))</f>
        <v/>
      </c>
      <c r="AH80" s="70" t="str">
        <f t="shared" si="40"/>
        <v/>
      </c>
      <c r="AI80" s="106" t="str">
        <f>IF(D80="","",_xlfn.XLOOKUP(A80,'14'!A:A,'14'!D:D,IF($U$6=0,0,"ERROR")))</f>
        <v/>
      </c>
      <c r="AJ80" s="99" t="str">
        <f t="shared" si="41"/>
        <v/>
      </c>
      <c r="AK80" s="99"/>
      <c r="AL80" s="99"/>
      <c r="AM80" s="68" t="str">
        <f t="shared" si="42"/>
        <v/>
      </c>
      <c r="AN80" s="74" t="str">
        <f t="shared" si="43"/>
        <v/>
      </c>
      <c r="AO80" s="93" t="str">
        <f t="shared" si="22"/>
        <v/>
      </c>
      <c r="AP80" s="91"/>
      <c r="AR80" s="93"/>
    </row>
    <row r="81" spans="1:44" ht="14.4" x14ac:dyDescent="0.3">
      <c r="A81" s="63" t="s">
        <v>179</v>
      </c>
      <c r="B81" s="55" t="s">
        <v>180</v>
      </c>
      <c r="C81" s="56" t="s">
        <v>125</v>
      </c>
      <c r="D81" s="41">
        <v>150</v>
      </c>
      <c r="E81" s="10">
        <f t="shared" ref="E81" si="44">IF(D81="","",D81*0.15)</f>
        <v>22.5</v>
      </c>
      <c r="F81" s="10">
        <f t="shared" ref="F81" si="45">IF(D81="","",D81*0.05)</f>
        <v>7.5</v>
      </c>
      <c r="G81" s="10">
        <f t="shared" si="6"/>
        <v>133.875</v>
      </c>
      <c r="H81" s="67"/>
      <c r="I81" s="68"/>
      <c r="J81" s="74"/>
      <c r="K81" s="68"/>
      <c r="L81" s="74"/>
      <c r="M81" s="68">
        <f>IF(D81="","",_xlfn.XLOOKUP(A81,'3'!A:A,'3'!D:D,IF($M$6=0,0,"ERROR")))</f>
        <v>2</v>
      </c>
      <c r="N81" s="70">
        <f t="shared" si="9"/>
        <v>267.75</v>
      </c>
      <c r="O81" s="68">
        <f>IF(D81="","",_xlfn.XLOOKUP(A81,'4'!A:A,'4'!D:D,IF($O$6=0,0,"ERROR")))</f>
        <v>0</v>
      </c>
      <c r="P81" s="69">
        <f t="shared" si="10"/>
        <v>0</v>
      </c>
      <c r="Q81" s="68">
        <f>IF(D81="","",_xlfn.XLOOKUP(A81,'5'!A:A,'5'!D:D,IF($Q$6=0,0,"ERROR")))</f>
        <v>2</v>
      </c>
      <c r="R81" s="70">
        <f t="shared" si="11"/>
        <v>267.75</v>
      </c>
      <c r="S81" s="68">
        <f>IF(D81="","",_xlfn.XLOOKUP(A81,'6'!A:A,'6'!D:D,IF($Q$6=0,0,"ERROR")))</f>
        <v>2</v>
      </c>
      <c r="T81" s="70">
        <f t="shared" si="35"/>
        <v>267.75</v>
      </c>
      <c r="U81" s="68">
        <f>IF(D81="","",_xlfn.XLOOKUP(A81,'7'!A:A,'7'!D:D,IF($U$6=0,0,"ERROR")))</f>
        <v>2</v>
      </c>
      <c r="V81" s="70">
        <f t="shared" si="13"/>
        <v>267.75</v>
      </c>
      <c r="W81" s="68">
        <f>IF(D81="","",_xlfn.XLOOKUP(A81,'8'!A:A,'8'!D:D,IF($U$6=0,0,"ERROR")))</f>
        <v>2</v>
      </c>
      <c r="X81" s="70">
        <f t="shared" si="34"/>
        <v>267.75</v>
      </c>
      <c r="Y81" s="68">
        <f>IF(D81="","",_xlfn.XLOOKUP(A81,'9'!A:A,'9'!D:D,IF($U$6=0,0,"ERROR")))</f>
        <v>2</v>
      </c>
      <c r="Z81" s="70">
        <f t="shared" si="36"/>
        <v>267.75</v>
      </c>
      <c r="AA81" s="68">
        <f>IF(D81="","",_xlfn.XLOOKUP(A81,'10'!A:A,'10'!D:D,IF($U$6=0,0,"ERROR")))</f>
        <v>2</v>
      </c>
      <c r="AB81" s="70">
        <f t="shared" si="37"/>
        <v>267.75</v>
      </c>
      <c r="AC81" s="68">
        <f>IF(D81="","",_xlfn.XLOOKUP(A81,'11'!A:A,'11'!D:D,IF($U$6=0,0,"ERROR")))</f>
        <v>2</v>
      </c>
      <c r="AD81" s="70">
        <f t="shared" si="38"/>
        <v>267.75</v>
      </c>
      <c r="AE81" s="68">
        <f>IF(D81="","",_xlfn.XLOOKUP(A81,'12'!A:A,'12'!D:D,IF($U$6=0,0,"ERROR")))</f>
        <v>2</v>
      </c>
      <c r="AF81" s="70">
        <f t="shared" si="39"/>
        <v>267.75</v>
      </c>
      <c r="AG81" s="68">
        <f>IF(D81="","",_xlfn.XLOOKUP(A81,'13'!A:A,'13'!D:D,IF($U$6=0,0,"ERROR")))</f>
        <v>2</v>
      </c>
      <c r="AH81" s="70">
        <f t="shared" si="40"/>
        <v>267.75</v>
      </c>
      <c r="AI81" s="106">
        <f>IF(D81="","",_xlfn.XLOOKUP(A81,'14'!A:A,'14'!D:D,IF($U$6=0,0,"ERROR")))</f>
        <v>0</v>
      </c>
      <c r="AJ81" s="99">
        <f t="shared" si="41"/>
        <v>0</v>
      </c>
      <c r="AK81" s="99"/>
      <c r="AL81" s="99"/>
      <c r="AM81" s="68">
        <f t="shared" si="42"/>
        <v>20</v>
      </c>
      <c r="AN81" s="74">
        <f t="shared" si="43"/>
        <v>2677.5</v>
      </c>
      <c r="AO81" s="93" t="str">
        <f t="shared" si="22"/>
        <v>הכל טוב</v>
      </c>
      <c r="AP81" s="91"/>
      <c r="AR81" s="93"/>
    </row>
    <row r="82" spans="1:44" x14ac:dyDescent="0.25">
      <c r="A82" s="48" t="s">
        <v>169</v>
      </c>
      <c r="B82" s="2" t="s">
        <v>170</v>
      </c>
      <c r="C82" s="3" t="s">
        <v>125</v>
      </c>
      <c r="D82" s="41">
        <v>145</v>
      </c>
      <c r="E82" s="10">
        <f t="shared" si="4"/>
        <v>21.75</v>
      </c>
      <c r="F82" s="10">
        <f t="shared" si="5"/>
        <v>7.25</v>
      </c>
      <c r="G82" s="10">
        <f t="shared" ref="G82:G94" si="46">IF(D82="","",D82*1.05*0.85)</f>
        <v>129.41249999999999</v>
      </c>
      <c r="H82" s="67"/>
      <c r="I82" s="68"/>
      <c r="J82" s="74">
        <f t="shared" si="7"/>
        <v>0</v>
      </c>
      <c r="K82" s="68"/>
      <c r="L82" s="74">
        <f t="shared" si="8"/>
        <v>0</v>
      </c>
      <c r="M82" s="68">
        <f>IF(D82="","",_xlfn.XLOOKUP(A82,'3'!A:A,'3'!D:D,IF($M$6=0,0,"ERROR")))</f>
        <v>7</v>
      </c>
      <c r="N82" s="70">
        <f t="shared" si="9"/>
        <v>905.88749999999993</v>
      </c>
      <c r="O82" s="68">
        <f>IF(D82="","",_xlfn.XLOOKUP(A82,'4'!A:A,'4'!D:D,IF($O$6=0,0,"ERROR")))</f>
        <v>2</v>
      </c>
      <c r="P82" s="69">
        <f t="shared" ref="P82:P94" si="47">IF(G82="","",O82*G82)</f>
        <v>258.82499999999999</v>
      </c>
      <c r="Q82" s="68">
        <f>IF(D82="","",_xlfn.XLOOKUP(A82,'5'!A:A,'5'!D:D,IF($Q$6=0,0,"ERROR")))</f>
        <v>9</v>
      </c>
      <c r="R82" s="70">
        <f t="shared" ref="R82:R94" si="48">IF(G82="","",Q82*G82)</f>
        <v>1164.7124999999999</v>
      </c>
      <c r="S82" s="68">
        <f>IF(D82="","",_xlfn.XLOOKUP(A82,'6'!A:A,'6'!D:D,IF($Q$6=0,0,"ERROR")))</f>
        <v>8</v>
      </c>
      <c r="T82" s="70">
        <f t="shared" si="35"/>
        <v>1035.3</v>
      </c>
      <c r="U82" s="68">
        <f>IF(D82="","",_xlfn.XLOOKUP(A82,'7'!A:A,'7'!D:D,IF($U$6=0,0,"ERROR")))</f>
        <v>8</v>
      </c>
      <c r="V82" s="70">
        <f t="shared" ref="V82:V94" si="49">IF(G82="","",U82*G82)</f>
        <v>1035.3</v>
      </c>
      <c r="W82" s="68">
        <f>IF(D82="","",_xlfn.XLOOKUP(A82,'8'!A:A,'8'!D:D,IF($U$6=0,0,"ERROR")))</f>
        <v>8</v>
      </c>
      <c r="X82" s="70">
        <f t="shared" si="34"/>
        <v>1035.3</v>
      </c>
      <c r="Y82" s="68">
        <f>IF(D82="","",_xlfn.XLOOKUP(A82,'9'!A:A,'9'!D:D,IF($U$6=0,0,"ERROR")))</f>
        <v>7</v>
      </c>
      <c r="Z82" s="70">
        <f t="shared" si="36"/>
        <v>905.88749999999993</v>
      </c>
      <c r="AA82" s="68">
        <f>IF(D82="","",_xlfn.XLOOKUP(A82,'10'!A:A,'10'!D:D,IF($U$6=0,0,"ERROR")))</f>
        <v>5</v>
      </c>
      <c r="AB82" s="70">
        <f t="shared" si="37"/>
        <v>647.0625</v>
      </c>
      <c r="AC82" s="68">
        <f>IF(D82="","",_xlfn.XLOOKUP(A82,'11'!A:A,'11'!D:D,IF($U$6=0,0,"ERROR")))</f>
        <v>5</v>
      </c>
      <c r="AD82" s="70">
        <f t="shared" si="38"/>
        <v>647.0625</v>
      </c>
      <c r="AE82" s="68">
        <f>IF(D82="","",_xlfn.XLOOKUP(A82,'12'!A:A,'12'!D:D,IF($U$6=0,0,"ERROR")))</f>
        <v>2</v>
      </c>
      <c r="AF82" s="70">
        <f t="shared" si="39"/>
        <v>258.82499999999999</v>
      </c>
      <c r="AG82" s="68">
        <f>IF(D82="","",_xlfn.XLOOKUP(A82,'13'!A:A,'13'!D:D,IF($U$6=0,0,"ERROR")))</f>
        <v>6</v>
      </c>
      <c r="AH82" s="70">
        <f t="shared" si="40"/>
        <v>776.47499999999991</v>
      </c>
      <c r="AI82" s="106">
        <f>IF(D82="","",_xlfn.XLOOKUP(A82,'14'!A:A,'14'!D:D,IF($U$6=0,0,"ERROR")))</f>
        <v>0</v>
      </c>
      <c r="AJ82" s="99">
        <f t="shared" si="41"/>
        <v>0</v>
      </c>
      <c r="AK82" s="99"/>
      <c r="AL82" s="99"/>
      <c r="AM82" s="68">
        <f t="shared" si="42"/>
        <v>67</v>
      </c>
      <c r="AN82" s="74">
        <f t="shared" si="43"/>
        <v>8670.6375000000007</v>
      </c>
      <c r="AO82" s="93" t="str">
        <f t="shared" ref="AO82:AO95" si="50">IF(AN82="","",IF(AM82*G82=AN82,"הכל טוב","לא טוב"))</f>
        <v>הכל טוב</v>
      </c>
      <c r="AP82" s="91"/>
      <c r="AR82" s="93"/>
    </row>
    <row r="83" spans="1:44" x14ac:dyDescent="0.25">
      <c r="A83" s="48" t="s">
        <v>208</v>
      </c>
      <c r="B83" s="2" t="s">
        <v>209</v>
      </c>
      <c r="C83" s="3" t="s">
        <v>125</v>
      </c>
      <c r="D83" s="41">
        <v>130</v>
      </c>
      <c r="E83" s="10">
        <f t="shared" ref="E83" si="51">IF(D83="","",D83*0.15)</f>
        <v>19.5</v>
      </c>
      <c r="F83" s="10">
        <f t="shared" ref="F83" si="52">IF(D83="","",D83*0.05)</f>
        <v>6.5</v>
      </c>
      <c r="G83" s="10">
        <f t="shared" ref="G83" si="53">IF(D83="","",D83*1.05*0.85)</f>
        <v>116.02499999999999</v>
      </c>
      <c r="H83" s="67"/>
      <c r="I83" s="68"/>
      <c r="J83" s="74"/>
      <c r="K83" s="68"/>
      <c r="L83" s="74"/>
      <c r="M83" s="68">
        <f>IF(D83="","",_xlfn.XLOOKUP(A83,'3'!A:A,'3'!D:D,IF($M$6=0,0,"ERROR")))</f>
        <v>3</v>
      </c>
      <c r="N83" s="70">
        <f t="shared" ref="N83" si="54">IF(G83="","",M83*G83)</f>
        <v>348.07499999999999</v>
      </c>
      <c r="O83" s="68">
        <f>IF(D83="","",_xlfn.XLOOKUP(A83,'4'!A:A,'4'!D:D,IF($O$6=0,0,"ERROR")))</f>
        <v>0</v>
      </c>
      <c r="P83" s="69">
        <f t="shared" ref="P83" si="55">IF(G83="","",O83*G83)</f>
        <v>0</v>
      </c>
      <c r="Q83" s="68">
        <f>IF(D83="","",_xlfn.XLOOKUP(A83,'5'!A:A,'5'!D:D,IF($Q$6=0,0,"ERROR")))</f>
        <v>3</v>
      </c>
      <c r="R83" s="70">
        <f t="shared" ref="R83" si="56">IF(G83="","",Q83*G83)</f>
        <v>348.07499999999999</v>
      </c>
      <c r="S83" s="68">
        <f>IF(D83="","",_xlfn.XLOOKUP(A83,'6'!A:A,'6'!D:D,IF($Q$6=0,0,"ERROR")))</f>
        <v>3</v>
      </c>
      <c r="T83" s="70">
        <f t="shared" si="35"/>
        <v>348.07499999999999</v>
      </c>
      <c r="U83" s="68">
        <f>IF(D83="","",_xlfn.XLOOKUP(A83,'7'!A:A,'7'!D:D,IF($U$6=0,0,"ERROR")))</f>
        <v>3</v>
      </c>
      <c r="V83" s="70">
        <f t="shared" ref="V83" si="57">IF(G83="","",U83*G83)</f>
        <v>348.07499999999999</v>
      </c>
      <c r="W83" s="68">
        <f>IF(D83="","",_xlfn.XLOOKUP(A83,'8'!A:A,'8'!D:D,IF($U$6=0,0,"ERROR")))</f>
        <v>3</v>
      </c>
      <c r="X83" s="70">
        <f t="shared" ref="X83" si="58">IF(G83="","",W83*G83)</f>
        <v>348.07499999999999</v>
      </c>
      <c r="Y83" s="68">
        <f>IF(D83="","",_xlfn.XLOOKUP(A83,'9'!A:A,'9'!D:D,IF($U$6=0,0,"ERROR")))</f>
        <v>3</v>
      </c>
      <c r="Z83" s="70">
        <f t="shared" ref="Z83" si="59">IF(G83="","",Y83*G83)</f>
        <v>348.07499999999999</v>
      </c>
      <c r="AA83" s="68">
        <f>IF(D83="","",_xlfn.XLOOKUP(A83,'10'!A:A,'10'!D:D,IF($U$6=0,0,"ERROR")))</f>
        <v>3</v>
      </c>
      <c r="AB83" s="70">
        <f t="shared" si="37"/>
        <v>348.07499999999999</v>
      </c>
      <c r="AC83" s="68">
        <f>IF(D83="","",_xlfn.XLOOKUP(A83,'11'!A:A,'11'!D:D,IF($U$6=0,0,"ERROR")))</f>
        <v>3</v>
      </c>
      <c r="AD83" s="70">
        <f t="shared" ref="AD83" si="60">IF(G83="","",AC83*G83)</f>
        <v>348.07499999999999</v>
      </c>
      <c r="AE83" s="68">
        <f>IF(D83="","",_xlfn.XLOOKUP(A83,'12'!A:A,'12'!D:D,IF($U$6=0,0,"ERROR")))</f>
        <v>3</v>
      </c>
      <c r="AF83" s="70">
        <f t="shared" ref="AF83" si="61">IF(G83="","",AE83*G83)</f>
        <v>348.07499999999999</v>
      </c>
      <c r="AG83" s="68">
        <f>IF(D83="","",_xlfn.XLOOKUP(A83,'13'!A:A,'13'!D:D,IF($U$6=0,0,"ERROR")))</f>
        <v>3</v>
      </c>
      <c r="AH83" s="70">
        <f t="shared" ref="AH83" si="62">IF(G83="","",AG83*G83)</f>
        <v>348.07499999999999</v>
      </c>
      <c r="AI83" s="106">
        <f>IF(D83="","",_xlfn.XLOOKUP(A83,'14'!A:A,'14'!D:D,IF($U$6=0,0,"ERROR")))</f>
        <v>0</v>
      </c>
      <c r="AJ83" s="99">
        <f t="shared" si="41"/>
        <v>0</v>
      </c>
      <c r="AK83" s="99"/>
      <c r="AL83" s="99"/>
      <c r="AM83" s="68">
        <f t="shared" si="42"/>
        <v>30</v>
      </c>
      <c r="AN83" s="74">
        <f t="shared" si="43"/>
        <v>3480.7499999999991</v>
      </c>
      <c r="AO83" s="93" t="str">
        <f t="shared" si="50"/>
        <v>הכל טוב</v>
      </c>
      <c r="AP83" s="91"/>
      <c r="AR83" s="93"/>
    </row>
    <row r="84" spans="1:44" ht="82.8" hidden="1" x14ac:dyDescent="0.25">
      <c r="A84" s="48" t="s">
        <v>162</v>
      </c>
      <c r="B84" s="2" t="s">
        <v>163</v>
      </c>
      <c r="C84" s="3" t="s">
        <v>164</v>
      </c>
      <c r="D84" s="41">
        <v>3200</v>
      </c>
      <c r="E84" s="10">
        <f t="shared" si="4"/>
        <v>480</v>
      </c>
      <c r="F84" s="10">
        <f t="shared" ref="F84" si="63">IF(D84="","",D84*0.05)</f>
        <v>160</v>
      </c>
      <c r="G84" s="10">
        <f t="shared" si="46"/>
        <v>2856</v>
      </c>
      <c r="H84" s="67"/>
      <c r="I84" s="68"/>
      <c r="J84" s="74">
        <f t="shared" si="7"/>
        <v>0</v>
      </c>
      <c r="K84" s="68">
        <v>0</v>
      </c>
      <c r="L84" s="74">
        <f t="shared" si="8"/>
        <v>0</v>
      </c>
      <c r="M84" s="68">
        <f>IF(D84="","",_xlfn.XLOOKUP(A84,'3'!A:A,'3'!D:D,IF($M$6=0,0,"ERROR")))</f>
        <v>0</v>
      </c>
      <c r="N84" s="70">
        <f t="shared" si="9"/>
        <v>0</v>
      </c>
      <c r="O84" s="68">
        <f>IF(D84="","",_xlfn.XLOOKUP(A84,'4'!A:A,'4'!D:D,IF($O$6=0,0,"ERROR")))</f>
        <v>0</v>
      </c>
      <c r="P84" s="69">
        <f t="shared" si="47"/>
        <v>0</v>
      </c>
      <c r="Q84" s="68">
        <f>IF(D84="","",_xlfn.XLOOKUP(A84,'5'!A:A,'5'!D:D,IF($Q$6=0,0,"ERROR")))</f>
        <v>0</v>
      </c>
      <c r="R84" s="70">
        <f t="shared" si="48"/>
        <v>0</v>
      </c>
      <c r="S84" s="68">
        <f>IF(D84="","",_xlfn.XLOOKUP(A84,'6'!A:A,'6'!D:D,IF($Q$6=0,0,"ERROR")))</f>
        <v>0</v>
      </c>
      <c r="T84" s="70">
        <f t="shared" si="35"/>
        <v>0</v>
      </c>
      <c r="U84" s="68">
        <f>IF(D84="","",_xlfn.XLOOKUP(A84,'7'!A:A,'7'!D:D,IF($U$6=0,0,"ERROR")))</f>
        <v>0</v>
      </c>
      <c r="V84" s="70">
        <f t="shared" si="49"/>
        <v>0</v>
      </c>
      <c r="W84" s="68">
        <f>IF(D84="","",_xlfn.XLOOKUP(A84,'8'!A:A,'8'!D:D,IF($U$6=0,0,"ERROR")))</f>
        <v>0</v>
      </c>
      <c r="X84" s="70">
        <f t="shared" si="34"/>
        <v>0</v>
      </c>
      <c r="Y84" s="68">
        <f>IF(D84="","",_xlfn.XLOOKUP(A84,'9'!A:A,'9'!D:D,IF($U$6=0,0,"ERROR")))</f>
        <v>0</v>
      </c>
      <c r="Z84" s="70">
        <f t="shared" si="36"/>
        <v>0</v>
      </c>
      <c r="AA84" s="68">
        <f>IF(D84="","",_xlfn.XLOOKUP(A84,'10'!A:A,'10'!D:D,IF($U$6=0,0,"ERROR")))</f>
        <v>0</v>
      </c>
      <c r="AB84" s="70">
        <f t="shared" si="37"/>
        <v>0</v>
      </c>
      <c r="AC84" s="68">
        <f>IF(D84="","",_xlfn.XLOOKUP(A84,'11'!A:A,'11'!D:D,IF($U$6=0,0,"ERROR")))</f>
        <v>0</v>
      </c>
      <c r="AD84" s="70">
        <f t="shared" si="38"/>
        <v>0</v>
      </c>
      <c r="AE84" s="68">
        <f>IF(D84="","",_xlfn.XLOOKUP(A84,'12'!A:A,'12'!D:D,IF($U$6=0,0,"ERROR")))</f>
        <v>0</v>
      </c>
      <c r="AF84" s="70">
        <f t="shared" si="39"/>
        <v>0</v>
      </c>
      <c r="AG84" s="68">
        <f>IF(D84="","",_xlfn.XLOOKUP(A84,'13'!A:A,'13'!D:D,IF($U$6=0,0,"ERROR")))</f>
        <v>0</v>
      </c>
      <c r="AH84" s="70">
        <f t="shared" si="40"/>
        <v>0</v>
      </c>
      <c r="AI84" s="106">
        <f>IF(D84="","",_xlfn.XLOOKUP(A84,'14'!A:A,'14'!D:D,IF($U$6=0,0,"ERROR")))</f>
        <v>0</v>
      </c>
      <c r="AJ84" s="99">
        <f t="shared" si="41"/>
        <v>0</v>
      </c>
      <c r="AK84" s="99"/>
      <c r="AL84" s="99"/>
      <c r="AM84" s="68">
        <f t="shared" si="42"/>
        <v>0</v>
      </c>
      <c r="AN84" s="74">
        <f t="shared" si="43"/>
        <v>0</v>
      </c>
      <c r="AO84" s="93" t="str">
        <f t="shared" si="50"/>
        <v>הכל טוב</v>
      </c>
      <c r="AP84" s="91"/>
      <c r="AR84" s="93"/>
    </row>
    <row r="85" spans="1:44" ht="15.6" x14ac:dyDescent="0.3">
      <c r="A85" s="5" t="s">
        <v>126</v>
      </c>
      <c r="B85" s="6" t="s">
        <v>127</v>
      </c>
      <c r="C85" s="7" t="s">
        <v>3</v>
      </c>
      <c r="D85" s="41" t="s">
        <v>3</v>
      </c>
      <c r="E85" s="10" t="str">
        <f t="shared" si="4"/>
        <v/>
      </c>
      <c r="F85" s="10" t="str">
        <f t="shared" si="5"/>
        <v/>
      </c>
      <c r="G85" s="10" t="str">
        <f t="shared" si="46"/>
        <v/>
      </c>
      <c r="H85" s="67"/>
      <c r="I85" s="68"/>
      <c r="J85" s="74" t="str">
        <f t="shared" si="7"/>
        <v/>
      </c>
      <c r="K85" s="68"/>
      <c r="L85" s="74" t="str">
        <f t="shared" si="8"/>
        <v/>
      </c>
      <c r="M85" s="68" t="str">
        <f>IF(D85="","",_xlfn.XLOOKUP(A85,'3'!A:A,'3'!D:D,IF($M$6=0,0,"ERROR")))</f>
        <v/>
      </c>
      <c r="N85" s="70" t="str">
        <f t="shared" si="9"/>
        <v/>
      </c>
      <c r="O85" s="68" t="str">
        <f>IF(D85="","",_xlfn.XLOOKUP(A85,'4'!A:A,'4'!D:D,IF($O$6=0,0,"ERROR")))</f>
        <v/>
      </c>
      <c r="P85" s="69" t="str">
        <f t="shared" si="47"/>
        <v/>
      </c>
      <c r="Q85" s="68" t="str">
        <f>IF(D85="","",_xlfn.XLOOKUP(A85,'5'!A:A,'5'!D:D,IF($Q$6=0,0,"ERROR")))</f>
        <v/>
      </c>
      <c r="R85" s="70" t="str">
        <f t="shared" si="48"/>
        <v/>
      </c>
      <c r="S85" s="68" t="str">
        <f>IF(D85="","",_xlfn.XLOOKUP(A85,'6'!A:A,'6'!D:D,IF($Q$6=0,0,"ERROR")))</f>
        <v/>
      </c>
      <c r="T85" s="70" t="str">
        <f t="shared" si="35"/>
        <v/>
      </c>
      <c r="U85" s="68" t="str">
        <f>IF(D85="","",_xlfn.XLOOKUP(A85,'7'!A:A,'7'!D:D,IF($U$6=0,0,"ERROR")))</f>
        <v/>
      </c>
      <c r="V85" s="70" t="str">
        <f t="shared" si="49"/>
        <v/>
      </c>
      <c r="W85" s="68" t="str">
        <f>IF(D85="","",_xlfn.XLOOKUP(A85,'8'!A:A,'8'!D:D,IF($U$6=0,0,"ERROR")))</f>
        <v/>
      </c>
      <c r="X85" s="70" t="str">
        <f t="shared" si="34"/>
        <v/>
      </c>
      <c r="Y85" s="68" t="str">
        <f>IF(D85="","",_xlfn.XLOOKUP(A85,'9'!A:A,'9'!D:D,IF($U$6=0,0,"ERROR")))</f>
        <v/>
      </c>
      <c r="Z85" s="70" t="str">
        <f t="shared" si="36"/>
        <v/>
      </c>
      <c r="AA85" s="68" t="str">
        <f>IF(D85="","",_xlfn.XLOOKUP(A85,'10'!A:A,'10'!D:D,IF($U$6=0,0,"ERROR")))</f>
        <v/>
      </c>
      <c r="AB85" s="70" t="str">
        <f t="shared" si="37"/>
        <v/>
      </c>
      <c r="AC85" s="68" t="str">
        <f>IF(D85="","",_xlfn.XLOOKUP(A85,'11'!A:A,'11'!D:D,IF($U$6=0,0,"ERROR")))</f>
        <v/>
      </c>
      <c r="AD85" s="70" t="str">
        <f t="shared" si="38"/>
        <v/>
      </c>
      <c r="AE85" s="68" t="str">
        <f>IF(D85="","",_xlfn.XLOOKUP(A85,'12'!A:A,'12'!D:D,IF($U$6=0,0,"ERROR")))</f>
        <v/>
      </c>
      <c r="AF85" s="70" t="str">
        <f t="shared" si="39"/>
        <v/>
      </c>
      <c r="AG85" s="68" t="str">
        <f>IF(D85="","",_xlfn.XLOOKUP(A85,'13'!A:A,'13'!D:D,IF($U$6=0,0,"ERROR")))</f>
        <v/>
      </c>
      <c r="AH85" s="70" t="str">
        <f t="shared" si="40"/>
        <v/>
      </c>
      <c r="AI85" s="106" t="str">
        <f>IF(D85="","",_xlfn.XLOOKUP(A85,'14'!A:A,'14'!D:D,IF($U$6=0,0,"ERROR")))</f>
        <v/>
      </c>
      <c r="AJ85" s="99" t="str">
        <f t="shared" si="41"/>
        <v/>
      </c>
      <c r="AK85" s="99"/>
      <c r="AL85" s="99"/>
      <c r="AM85" s="68" t="str">
        <f t="shared" si="42"/>
        <v/>
      </c>
      <c r="AN85" s="74" t="str">
        <f t="shared" si="43"/>
        <v/>
      </c>
      <c r="AO85" s="93" t="str">
        <f t="shared" si="50"/>
        <v/>
      </c>
      <c r="AP85" s="91"/>
      <c r="AR85" s="93"/>
    </row>
    <row r="86" spans="1:44" ht="27.6" x14ac:dyDescent="0.25">
      <c r="A86" s="9" t="s">
        <v>128</v>
      </c>
      <c r="B86" s="2" t="s">
        <v>129</v>
      </c>
      <c r="C86" s="3" t="s">
        <v>2</v>
      </c>
      <c r="D86" s="41">
        <v>1460</v>
      </c>
      <c r="E86" s="10">
        <f t="shared" si="4"/>
        <v>219</v>
      </c>
      <c r="F86" s="10">
        <f t="shared" si="5"/>
        <v>73</v>
      </c>
      <c r="G86" s="10">
        <f t="shared" si="46"/>
        <v>1303.05</v>
      </c>
      <c r="H86" s="67"/>
      <c r="I86" s="68"/>
      <c r="J86" s="74">
        <f t="shared" si="7"/>
        <v>0</v>
      </c>
      <c r="K86" s="68"/>
      <c r="L86" s="74">
        <f t="shared" si="8"/>
        <v>0</v>
      </c>
      <c r="M86" s="68">
        <f>IF(D86="","",_xlfn.XLOOKUP(A86,'3'!A:A,'3'!D:D,IF($M$6=0,0,"ERROR")))</f>
        <v>0</v>
      </c>
      <c r="N86" s="70">
        <f t="shared" si="9"/>
        <v>0</v>
      </c>
      <c r="O86" s="68">
        <f>IF(D86="","",_xlfn.XLOOKUP(A86,'4'!A:A,'4'!D:D,IF($O$6=0,0,"ERROR")))</f>
        <v>0</v>
      </c>
      <c r="P86" s="69">
        <f t="shared" si="47"/>
        <v>0</v>
      </c>
      <c r="Q86" s="68">
        <f>IF(D86="","",_xlfn.XLOOKUP(A86,'5'!A:A,'5'!D:D,IF($Q$6=0,0,"ERROR")))</f>
        <v>2</v>
      </c>
      <c r="R86" s="70">
        <f t="shared" si="48"/>
        <v>2606.1</v>
      </c>
      <c r="S86" s="68">
        <f>IF(D86="","",_xlfn.XLOOKUP(A86,'6'!A:A,'6'!D:D,IF($Q$6=0,0,"ERROR")))</f>
        <v>0</v>
      </c>
      <c r="T86" s="70">
        <f t="shared" si="35"/>
        <v>0</v>
      </c>
      <c r="U86" s="68">
        <f>IF(D86="","",_xlfn.XLOOKUP(A86,'7'!A:A,'7'!D:D,IF($U$6=0,0,"ERROR")))</f>
        <v>0</v>
      </c>
      <c r="V86" s="70">
        <f t="shared" si="49"/>
        <v>0</v>
      </c>
      <c r="W86" s="68">
        <f>IF(D86="","",_xlfn.XLOOKUP(A86,'8'!A:A,'8'!D:D,IF($U$6=0,0,"ERROR")))</f>
        <v>0</v>
      </c>
      <c r="X86" s="70">
        <f t="shared" si="34"/>
        <v>0</v>
      </c>
      <c r="Y86" s="68">
        <f>IF(D86="","",_xlfn.XLOOKUP(A86,'9'!A:A,'9'!D:D,IF($U$6=0,0,"ERROR")))</f>
        <v>0</v>
      </c>
      <c r="Z86" s="70">
        <f t="shared" si="36"/>
        <v>0</v>
      </c>
      <c r="AA86" s="68">
        <f>IF(D86="","",_xlfn.XLOOKUP(A86,'10'!A:A,'10'!D:D,IF($U$6=0,0,"ERROR")))</f>
        <v>1</v>
      </c>
      <c r="AB86" s="70">
        <f t="shared" si="37"/>
        <v>1303.05</v>
      </c>
      <c r="AC86" s="68">
        <f>IF(D86="","",_xlfn.XLOOKUP(A86,'11'!A:A,'11'!D:D,IF($U$6=0,0,"ERROR")))</f>
        <v>1</v>
      </c>
      <c r="AD86" s="70">
        <f t="shared" si="38"/>
        <v>1303.05</v>
      </c>
      <c r="AE86" s="68">
        <f>IF(D86="","",_xlfn.XLOOKUP(A86,'12'!A:A,'12'!D:D,IF($U$6=0,0,"ERROR")))</f>
        <v>0</v>
      </c>
      <c r="AF86" s="70">
        <f t="shared" si="39"/>
        <v>0</v>
      </c>
      <c r="AG86" s="68">
        <f>IF(D86="","",_xlfn.XLOOKUP(A86,'13'!A:A,'13'!D:D,IF($U$6=0,0,"ERROR")))</f>
        <v>0</v>
      </c>
      <c r="AH86" s="70">
        <f t="shared" si="40"/>
        <v>0</v>
      </c>
      <c r="AI86" s="106">
        <f>IF(D86="","",_xlfn.XLOOKUP(A86,'14'!A:A,'14'!D:D,IF($U$6=0,0,"ERROR")))</f>
        <v>0</v>
      </c>
      <c r="AJ86" s="99">
        <f t="shared" si="41"/>
        <v>0</v>
      </c>
      <c r="AK86" s="99"/>
      <c r="AL86" s="99"/>
      <c r="AM86" s="68">
        <f t="shared" si="42"/>
        <v>4</v>
      </c>
      <c r="AN86" s="74">
        <f t="shared" si="43"/>
        <v>5212.2</v>
      </c>
      <c r="AO86" s="93" t="str">
        <f t="shared" si="50"/>
        <v>הכל טוב</v>
      </c>
      <c r="AP86" s="91"/>
      <c r="AR86" s="93"/>
    </row>
    <row r="87" spans="1:44" ht="27.6" x14ac:dyDescent="0.25">
      <c r="A87" s="9" t="s">
        <v>130</v>
      </c>
      <c r="B87" s="2" t="s">
        <v>131</v>
      </c>
      <c r="C87" s="3" t="s">
        <v>2</v>
      </c>
      <c r="D87" s="41">
        <v>1810</v>
      </c>
      <c r="E87" s="10">
        <f t="shared" si="4"/>
        <v>271.5</v>
      </c>
      <c r="F87" s="10">
        <f t="shared" si="5"/>
        <v>90.5</v>
      </c>
      <c r="G87" s="10">
        <f t="shared" si="46"/>
        <v>1615.425</v>
      </c>
      <c r="H87" s="67"/>
      <c r="I87" s="68"/>
      <c r="J87" s="74">
        <f t="shared" si="7"/>
        <v>0</v>
      </c>
      <c r="K87" s="68"/>
      <c r="L87" s="74">
        <f t="shared" si="8"/>
        <v>0</v>
      </c>
      <c r="M87" s="68">
        <f>IF(D87="","",_xlfn.XLOOKUP(A87,'3'!A:A,'3'!D:D,IF($M$6=0,0,"ERROR")))</f>
        <v>2</v>
      </c>
      <c r="N87" s="70">
        <f t="shared" si="9"/>
        <v>3230.85</v>
      </c>
      <c r="O87" s="68">
        <f>IF(D87="","",_xlfn.XLOOKUP(A87,'4'!A:A,'4'!D:D,IF($O$6=0,0,"ERROR")))</f>
        <v>0</v>
      </c>
      <c r="P87" s="69">
        <f t="shared" si="47"/>
        <v>0</v>
      </c>
      <c r="Q87" s="68">
        <f>IF(D87="","",_xlfn.XLOOKUP(A87,'5'!A:A,'5'!D:D,IF($Q$6=0,0,"ERROR")))</f>
        <v>0</v>
      </c>
      <c r="R87" s="70">
        <f t="shared" si="48"/>
        <v>0</v>
      </c>
      <c r="S87" s="68">
        <f>IF(D87="","",_xlfn.XLOOKUP(A87,'6'!A:A,'6'!D:D,IF($Q$6=0,0,"ERROR")))</f>
        <v>0</v>
      </c>
      <c r="T87" s="70">
        <f t="shared" si="35"/>
        <v>0</v>
      </c>
      <c r="U87" s="68">
        <f>IF(D87="","",_xlfn.XLOOKUP(A87,'7'!A:A,'7'!D:D,IF($U$6=0,0,"ERROR")))</f>
        <v>2</v>
      </c>
      <c r="V87" s="70">
        <f t="shared" si="49"/>
        <v>3230.85</v>
      </c>
      <c r="W87" s="68">
        <f>IF(D87="","",_xlfn.XLOOKUP(A87,'8'!A:A,'8'!D:D,IF($U$6=0,0,"ERROR")))</f>
        <v>2</v>
      </c>
      <c r="X87" s="70">
        <f t="shared" si="34"/>
        <v>3230.85</v>
      </c>
      <c r="Y87" s="68">
        <f>IF(D87="","",_xlfn.XLOOKUP(A87,'9'!A:A,'9'!D:D,IF($U$6=0,0,"ERROR")))</f>
        <v>2</v>
      </c>
      <c r="Z87" s="70">
        <f t="shared" si="36"/>
        <v>3230.85</v>
      </c>
      <c r="AA87" s="68">
        <f>IF(D87="","",_xlfn.XLOOKUP(A87,'10'!A:A,'10'!D:D,IF($U$6=0,0,"ERROR")))</f>
        <v>0</v>
      </c>
      <c r="AB87" s="70">
        <f t="shared" si="37"/>
        <v>0</v>
      </c>
      <c r="AC87" s="68">
        <f>IF(D87="","",_xlfn.XLOOKUP(A87,'11'!A:A,'11'!D:D,IF($U$6=0,0,"ERROR")))</f>
        <v>0</v>
      </c>
      <c r="AD87" s="70">
        <f t="shared" si="38"/>
        <v>0</v>
      </c>
      <c r="AE87" s="68">
        <f>IF(D87="","",_xlfn.XLOOKUP(A87,'12'!A:A,'12'!D:D,IF($U$6=0,0,"ERROR")))</f>
        <v>1</v>
      </c>
      <c r="AF87" s="70">
        <f t="shared" si="39"/>
        <v>1615.425</v>
      </c>
      <c r="AG87" s="68">
        <f>IF(D87="","",_xlfn.XLOOKUP(A87,'13'!A:A,'13'!D:D,IF($U$6=0,0,"ERROR")))</f>
        <v>2</v>
      </c>
      <c r="AH87" s="70">
        <f t="shared" si="40"/>
        <v>3230.85</v>
      </c>
      <c r="AI87" s="106">
        <f>IF(D87="","",_xlfn.XLOOKUP(A87,'14'!A:A,'14'!D:D,IF($U$6=0,0,"ERROR")))</f>
        <v>0</v>
      </c>
      <c r="AJ87" s="99">
        <f t="shared" si="41"/>
        <v>0</v>
      </c>
      <c r="AK87" s="99"/>
      <c r="AL87" s="99"/>
      <c r="AM87" s="68">
        <f t="shared" si="42"/>
        <v>11</v>
      </c>
      <c r="AN87" s="74">
        <f t="shared" si="43"/>
        <v>17769.674999999999</v>
      </c>
      <c r="AO87" s="93" t="str">
        <f t="shared" si="50"/>
        <v>הכל טוב</v>
      </c>
      <c r="AP87" s="91"/>
      <c r="AR87" s="93"/>
    </row>
    <row r="88" spans="1:44" ht="27.6" x14ac:dyDescent="0.25">
      <c r="A88" s="9" t="s">
        <v>204</v>
      </c>
      <c r="B88" s="2" t="s">
        <v>205</v>
      </c>
      <c r="C88" s="3" t="s">
        <v>2</v>
      </c>
      <c r="D88" s="41">
        <v>2200</v>
      </c>
      <c r="E88" s="10">
        <f t="shared" si="4"/>
        <v>330</v>
      </c>
      <c r="F88" s="10">
        <f t="shared" si="5"/>
        <v>110</v>
      </c>
      <c r="G88" s="10">
        <f t="shared" si="46"/>
        <v>1963.5</v>
      </c>
      <c r="H88" s="67"/>
      <c r="I88" s="68"/>
      <c r="J88" s="74">
        <f t="shared" si="7"/>
        <v>0</v>
      </c>
      <c r="K88" s="68"/>
      <c r="L88" s="74">
        <f t="shared" si="8"/>
        <v>0</v>
      </c>
      <c r="M88" s="68">
        <f>IF(D88="","",_xlfn.XLOOKUP(A88,'3'!A:A,'3'!D:D,IF($M$6=0,0,"ERROR")))</f>
        <v>0</v>
      </c>
      <c r="N88" s="70"/>
      <c r="O88" s="68"/>
      <c r="P88" s="69"/>
      <c r="Q88" s="68"/>
      <c r="R88" s="70"/>
      <c r="S88" s="68">
        <f>IF(D88="","",_xlfn.XLOOKUP(A88,'6'!A:A,'6'!D:D,IF($Q$6=0,0,"ERROR")))</f>
        <v>1</v>
      </c>
      <c r="T88" s="70">
        <f t="shared" si="35"/>
        <v>1963.5</v>
      </c>
      <c r="U88" s="68"/>
      <c r="V88" s="70"/>
      <c r="W88" s="68"/>
      <c r="X88" s="70"/>
      <c r="Y88" s="68"/>
      <c r="Z88" s="70"/>
      <c r="AA88" s="68">
        <f>IF(D88="","",_xlfn.XLOOKUP(A88,'10'!A:A,'10'!D:D,IF($U$6=0,0,"ERROR")))</f>
        <v>0</v>
      </c>
      <c r="AB88" s="70">
        <f t="shared" si="37"/>
        <v>0</v>
      </c>
      <c r="AC88" s="68"/>
      <c r="AD88" s="70"/>
      <c r="AE88" s="68">
        <f>IF(D88="","",_xlfn.XLOOKUP(A88,'12'!A:A,'12'!D:D,IF($U$6=0,0,"ERROR")))</f>
        <v>0</v>
      </c>
      <c r="AF88" s="70">
        <f t="shared" si="39"/>
        <v>0</v>
      </c>
      <c r="AG88" s="68">
        <f>IF(D88="","",_xlfn.XLOOKUP(A88,'13'!A:A,'13'!D:D,IF($U$6=0,0,"ERROR")))</f>
        <v>0</v>
      </c>
      <c r="AH88" s="70">
        <f t="shared" si="40"/>
        <v>0</v>
      </c>
      <c r="AI88" s="106">
        <v>0</v>
      </c>
      <c r="AJ88" s="99">
        <f t="shared" si="41"/>
        <v>0</v>
      </c>
      <c r="AK88" s="99"/>
      <c r="AL88" s="99"/>
      <c r="AM88" s="68">
        <f t="shared" si="42"/>
        <v>1</v>
      </c>
      <c r="AN88" s="74">
        <f t="shared" si="43"/>
        <v>1963.5</v>
      </c>
      <c r="AO88" s="93"/>
      <c r="AP88" s="91"/>
      <c r="AR88" s="93"/>
    </row>
    <row r="89" spans="1:44" ht="15.6" x14ac:dyDescent="0.3">
      <c r="A89" s="5" t="s">
        <v>132</v>
      </c>
      <c r="B89" s="6" t="s">
        <v>133</v>
      </c>
      <c r="C89" s="7" t="s">
        <v>3</v>
      </c>
      <c r="D89" s="41" t="s">
        <v>3</v>
      </c>
      <c r="E89" s="10" t="str">
        <f t="shared" ref="E89:E94" si="64">IF(D89="","",D89*0.15)</f>
        <v/>
      </c>
      <c r="F89" s="10" t="str">
        <f t="shared" ref="F89:F94" si="65">IF(D89="","",D89*0.05)</f>
        <v/>
      </c>
      <c r="G89" s="10" t="str">
        <f t="shared" si="46"/>
        <v/>
      </c>
      <c r="H89" s="67"/>
      <c r="I89" s="68"/>
      <c r="J89" s="74" t="str">
        <f t="shared" ref="J89:J93" si="66">IF(D89="","",I89*G89)</f>
        <v/>
      </c>
      <c r="K89" s="68"/>
      <c r="L89" s="74" t="str">
        <f t="shared" ref="L89:L94" si="67">IF(G89="","",K89*G89)</f>
        <v/>
      </c>
      <c r="M89" s="68" t="str">
        <f>IF(D89="","",_xlfn.XLOOKUP(A89,'3'!A:A,'3'!D:D,IF($M$6=0,0,"ERROR")))</f>
        <v/>
      </c>
      <c r="N89" s="70" t="str">
        <f t="shared" si="9"/>
        <v/>
      </c>
      <c r="O89" s="68" t="str">
        <f>IF(D89="","",_xlfn.XLOOKUP(A89,'4'!A:A,'4'!D:D,IF($O$6=0,0,"ERROR")))</f>
        <v/>
      </c>
      <c r="P89" s="69" t="str">
        <f t="shared" si="47"/>
        <v/>
      </c>
      <c r="Q89" s="68" t="str">
        <f>IF(D89="","",_xlfn.XLOOKUP(A89,'5'!A:A,'5'!D:D,IF($Q$6=0,0,"ERROR")))</f>
        <v/>
      </c>
      <c r="R89" s="70" t="str">
        <f t="shared" si="48"/>
        <v/>
      </c>
      <c r="S89" s="68" t="str">
        <f>IF(D89="","",_xlfn.XLOOKUP(A89,'6'!A:A,'6'!D:D,IF($Q$6=0,0,"ERROR")))</f>
        <v/>
      </c>
      <c r="T89" s="70" t="str">
        <f t="shared" si="35"/>
        <v/>
      </c>
      <c r="U89" s="68" t="str">
        <f>IF(D89="","",_xlfn.XLOOKUP(A89,'7'!A:A,'7'!D:D,IF($U$6=0,0,"ERROR")))</f>
        <v/>
      </c>
      <c r="V89" s="70" t="str">
        <f t="shared" si="49"/>
        <v/>
      </c>
      <c r="W89" s="68" t="str">
        <f>IF(D89="","",_xlfn.XLOOKUP(A89,'8'!A:A,'8'!D:D,IF($U$6=0,0,"ERROR")))</f>
        <v/>
      </c>
      <c r="X89" s="70" t="str">
        <f t="shared" si="34"/>
        <v/>
      </c>
      <c r="Y89" s="68" t="str">
        <f>IF(D89="","",_xlfn.XLOOKUP(A89,'9'!A:A,'9'!D:D,IF($U$6=0,0,"ERROR")))</f>
        <v/>
      </c>
      <c r="Z89" s="70" t="str">
        <f t="shared" si="36"/>
        <v/>
      </c>
      <c r="AA89" s="68" t="str">
        <f>IF(D89="","",_xlfn.XLOOKUP(A89,'10'!A:A,'10'!D:D,IF($U$6=0,0,"ERROR")))</f>
        <v/>
      </c>
      <c r="AB89" s="70" t="str">
        <f t="shared" si="37"/>
        <v/>
      </c>
      <c r="AC89" s="68" t="str">
        <f>IF(D89="","",_xlfn.XLOOKUP(A89,'11'!A:A,'11'!D:D,IF($U$6=0,0,"ERROR")))</f>
        <v/>
      </c>
      <c r="AD89" s="70" t="str">
        <f t="shared" si="38"/>
        <v/>
      </c>
      <c r="AE89" s="68" t="str">
        <f>IF(D89="","",_xlfn.XLOOKUP(A89,'12'!A:A,'12'!D:D,IF($U$6=0,0,"ERROR")))</f>
        <v/>
      </c>
      <c r="AF89" s="70" t="str">
        <f t="shared" si="39"/>
        <v/>
      </c>
      <c r="AG89" s="68" t="str">
        <f>IF(D89="","",_xlfn.XLOOKUP(A89,'13'!A:A,'13'!D:D,IF($U$6=0,0,"ERROR")))</f>
        <v/>
      </c>
      <c r="AH89" s="70" t="str">
        <f t="shared" si="40"/>
        <v/>
      </c>
      <c r="AI89" s="106" t="str">
        <f>IF(D89="","",_xlfn.XLOOKUP(A89,'14'!A:A,'14'!D:D,IF($U$6=0,0,"ERROR")))</f>
        <v/>
      </c>
      <c r="AJ89" s="99" t="str">
        <f t="shared" si="41"/>
        <v/>
      </c>
      <c r="AK89" s="99"/>
      <c r="AL89" s="99"/>
      <c r="AM89" s="68" t="str">
        <f t="shared" si="42"/>
        <v/>
      </c>
      <c r="AN89" s="74" t="str">
        <f t="shared" si="43"/>
        <v/>
      </c>
      <c r="AO89" s="93" t="str">
        <f t="shared" si="50"/>
        <v/>
      </c>
      <c r="AP89" s="91"/>
      <c r="AR89" s="93"/>
    </row>
    <row r="90" spans="1:44" ht="15.6" x14ac:dyDescent="0.3">
      <c r="A90" s="5" t="s">
        <v>134</v>
      </c>
      <c r="B90" s="6" t="s">
        <v>135</v>
      </c>
      <c r="C90" s="7" t="s">
        <v>3</v>
      </c>
      <c r="D90" s="41" t="s">
        <v>3</v>
      </c>
      <c r="E90" s="10" t="str">
        <f t="shared" si="64"/>
        <v/>
      </c>
      <c r="F90" s="10" t="str">
        <f t="shared" si="65"/>
        <v/>
      </c>
      <c r="G90" s="10" t="str">
        <f t="shared" si="46"/>
        <v/>
      </c>
      <c r="H90" s="67"/>
      <c r="I90" s="68"/>
      <c r="J90" s="74" t="str">
        <f t="shared" si="66"/>
        <v/>
      </c>
      <c r="K90" s="68"/>
      <c r="L90" s="74" t="str">
        <f t="shared" si="67"/>
        <v/>
      </c>
      <c r="M90" s="68" t="str">
        <f>IF(D90="","",_xlfn.XLOOKUP(A90,'3'!A:A,'3'!D:D,IF($M$6=0,0,"ERROR")))</f>
        <v/>
      </c>
      <c r="N90" s="70" t="str">
        <f t="shared" ref="N90:N93" si="68">IF(G90="","",M90*G90)</f>
        <v/>
      </c>
      <c r="O90" s="68" t="str">
        <f>IF(D90="","",_xlfn.XLOOKUP(A90,'4'!A:A,'4'!D:D,IF($O$6=0,0,"ERROR")))</f>
        <v/>
      </c>
      <c r="P90" s="69" t="str">
        <f t="shared" si="47"/>
        <v/>
      </c>
      <c r="Q90" s="68" t="str">
        <f>IF(D90="","",_xlfn.XLOOKUP(A90,'5'!A:A,'5'!D:D,IF($Q$6=0,0,"ERROR")))</f>
        <v/>
      </c>
      <c r="R90" s="70" t="str">
        <f t="shared" si="48"/>
        <v/>
      </c>
      <c r="S90" s="68" t="str">
        <f>IF(D90="","",_xlfn.XLOOKUP(A90,'6'!A:A,'6'!D:D,IF($Q$6=0,0,"ERROR")))</f>
        <v/>
      </c>
      <c r="T90" s="70" t="str">
        <f t="shared" si="35"/>
        <v/>
      </c>
      <c r="U90" s="68" t="str">
        <f>IF(D90="","",_xlfn.XLOOKUP(A90,'7'!A:A,'7'!D:D,IF($U$6=0,0,"ERROR")))</f>
        <v/>
      </c>
      <c r="V90" s="70" t="str">
        <f t="shared" si="49"/>
        <v/>
      </c>
      <c r="W90" s="68" t="str">
        <f>IF(D90="","",_xlfn.XLOOKUP(A90,'8'!A:A,'8'!D:D,IF($U$6=0,0,"ERROR")))</f>
        <v/>
      </c>
      <c r="X90" s="70" t="str">
        <f t="shared" si="34"/>
        <v/>
      </c>
      <c r="Y90" s="68" t="str">
        <f>IF(D90="","",_xlfn.XLOOKUP(A90,'9'!A:A,'9'!D:D,IF($U$6=0,0,"ERROR")))</f>
        <v/>
      </c>
      <c r="Z90" s="70" t="str">
        <f t="shared" si="36"/>
        <v/>
      </c>
      <c r="AA90" s="68" t="str">
        <f>IF(D90="","",_xlfn.XLOOKUP(A90,'10'!A:A,'10'!D:D,IF($U$6=0,0,"ERROR")))</f>
        <v/>
      </c>
      <c r="AB90" s="70" t="str">
        <f t="shared" si="37"/>
        <v/>
      </c>
      <c r="AC90" s="68" t="str">
        <f>IF(D90="","",_xlfn.XLOOKUP(A90,'11'!A:A,'11'!D:D,IF($U$6=0,0,"ERROR")))</f>
        <v/>
      </c>
      <c r="AD90" s="70" t="str">
        <f t="shared" si="38"/>
        <v/>
      </c>
      <c r="AE90" s="68" t="str">
        <f>IF(D90="","",_xlfn.XLOOKUP(A90,'12'!A:A,'12'!D:D,IF($U$6=0,0,"ERROR")))</f>
        <v/>
      </c>
      <c r="AF90" s="70" t="str">
        <f t="shared" si="39"/>
        <v/>
      </c>
      <c r="AG90" s="68" t="str">
        <f>IF(D90="","",_xlfn.XLOOKUP(A90,'13'!A:A,'13'!D:D,IF($U$6=0,0,"ERROR")))</f>
        <v/>
      </c>
      <c r="AH90" s="70" t="str">
        <f t="shared" si="40"/>
        <v/>
      </c>
      <c r="AI90" s="106" t="str">
        <f>IF(D90="","",_xlfn.XLOOKUP(A90,'14'!A:A,'14'!D:D,IF($U$6=0,0,"ERROR")))</f>
        <v/>
      </c>
      <c r="AJ90" s="99" t="str">
        <f t="shared" si="41"/>
        <v/>
      </c>
      <c r="AK90" s="99"/>
      <c r="AL90" s="99"/>
      <c r="AM90" s="68" t="str">
        <f t="shared" si="42"/>
        <v/>
      </c>
      <c r="AN90" s="74" t="str">
        <f t="shared" si="43"/>
        <v/>
      </c>
      <c r="AO90" s="93" t="str">
        <f t="shared" si="50"/>
        <v/>
      </c>
      <c r="AP90" s="91"/>
      <c r="AR90" s="93"/>
    </row>
    <row r="91" spans="1:44" ht="55.2" x14ac:dyDescent="0.25">
      <c r="A91" s="9" t="s">
        <v>136</v>
      </c>
      <c r="B91" s="2" t="s">
        <v>137</v>
      </c>
      <c r="C91" s="3" t="s">
        <v>24</v>
      </c>
      <c r="D91" s="41">
        <v>129.78142076502732</v>
      </c>
      <c r="E91" s="10">
        <f t="shared" si="64"/>
        <v>19.467213114754099</v>
      </c>
      <c r="F91" s="10">
        <f t="shared" si="65"/>
        <v>6.4890710382513666</v>
      </c>
      <c r="G91" s="10">
        <f t="shared" si="46"/>
        <v>115.82991803278689</v>
      </c>
      <c r="H91" s="67"/>
      <c r="I91" s="68"/>
      <c r="J91" s="74">
        <f t="shared" si="66"/>
        <v>0</v>
      </c>
      <c r="K91" s="68"/>
      <c r="L91" s="74">
        <f t="shared" si="67"/>
        <v>0</v>
      </c>
      <c r="M91" s="68">
        <f>IF(D91="","",_xlfn.XLOOKUP(A91,'3'!A:A,'3'!D:D,IF($M$6=0,0,"ERROR")))</f>
        <v>8.48</v>
      </c>
      <c r="N91" s="70">
        <f t="shared" si="68"/>
        <v>982.23770491803293</v>
      </c>
      <c r="O91" s="68">
        <f>IF(D91="","",_xlfn.XLOOKUP(A91,'4'!A:A,'4'!D:D,IF($O$6=0,0,"ERROR")))</f>
        <v>0.42599999999999999</v>
      </c>
      <c r="P91" s="69">
        <f t="shared" si="47"/>
        <v>49.343545081967214</v>
      </c>
      <c r="Q91" s="68">
        <f>IF(D91="","",_xlfn.XLOOKUP(A91,'5'!A:A,'5'!D:D,IF($Q$6=0,0,"ERROR")))</f>
        <v>12.05</v>
      </c>
      <c r="R91" s="70">
        <f t="shared" si="48"/>
        <v>1395.7505122950822</v>
      </c>
      <c r="S91" s="68">
        <f>IF(D91="","",_xlfn.XLOOKUP(A91,'6'!A:A,'6'!D:D,IF($Q$6=0,0,"ERROR")))</f>
        <v>5.46</v>
      </c>
      <c r="T91" s="70">
        <f t="shared" si="35"/>
        <v>632.43135245901647</v>
      </c>
      <c r="U91" s="68">
        <f>IF(D91="","",_xlfn.XLOOKUP(A91,'7'!A:A,'7'!D:D,IF($U$6=0,0,"ERROR")))</f>
        <v>4.47</v>
      </c>
      <c r="V91" s="70">
        <f t="shared" si="49"/>
        <v>517.75973360655735</v>
      </c>
      <c r="W91" s="68">
        <f>IF(D91="","",_xlfn.XLOOKUP(A91,'8'!A:A,'8'!D:D,IF($U$6=0,0,"ERROR")))</f>
        <v>8.24</v>
      </c>
      <c r="X91" s="70">
        <f t="shared" si="34"/>
        <v>954.43852459016398</v>
      </c>
      <c r="Y91" s="68">
        <f>IF(D91="","",_xlfn.XLOOKUP(A91,'9'!A:A,'9'!D:D,IF($U$6=0,0,"ERROR")))</f>
        <v>7.25</v>
      </c>
      <c r="Z91" s="70">
        <f t="shared" si="36"/>
        <v>839.76690573770497</v>
      </c>
      <c r="AA91" s="68">
        <f>IF(D91="","",_xlfn.XLOOKUP(A91,'10'!A:A,'10'!D:D,IF($U$6=0,0,"ERROR")))</f>
        <v>4.6100000000000003</v>
      </c>
      <c r="AB91" s="70">
        <f t="shared" si="37"/>
        <v>533.97592213114763</v>
      </c>
      <c r="AC91" s="68">
        <f>IF(D91="","",_xlfn.XLOOKUP(A91,'11'!A:A,'11'!D:D,IF($U$6=0,0,"ERROR")))</f>
        <v>6.07</v>
      </c>
      <c r="AD91" s="70">
        <f t="shared" si="38"/>
        <v>703.08760245901647</v>
      </c>
      <c r="AE91" s="68">
        <f>IF(D91="","",_xlfn.XLOOKUP(A91,'12'!A:A,'12'!D:D,IF($U$6=0,0,"ERROR")))</f>
        <v>1.75</v>
      </c>
      <c r="AF91" s="70">
        <f t="shared" si="39"/>
        <v>202.70235655737707</v>
      </c>
      <c r="AG91" s="68">
        <f>IF(D91="","",_xlfn.XLOOKUP(A91,'13'!A:A,'13'!D:D,IF($U$6=0,0,"ERROR")))</f>
        <v>6.44</v>
      </c>
      <c r="AH91" s="70">
        <f t="shared" si="40"/>
        <v>745.94467213114763</v>
      </c>
      <c r="AI91" s="106">
        <f>IF(D91="","",_xlfn.XLOOKUP(A91,'14'!A:A,'14'!D:D,IF($U$6=0,0,"ERROR")))</f>
        <v>3.0569999999999999</v>
      </c>
      <c r="AJ91" s="99">
        <f t="shared" si="41"/>
        <v>354.09205942622953</v>
      </c>
      <c r="AK91" s="99"/>
      <c r="AL91" s="99"/>
      <c r="AM91" s="68">
        <f t="shared" si="42"/>
        <v>68.303000000000011</v>
      </c>
      <c r="AN91" s="74">
        <f t="shared" si="43"/>
        <v>7911.5308913934441</v>
      </c>
      <c r="AO91" s="93" t="str">
        <f t="shared" si="50"/>
        <v>הכל טוב</v>
      </c>
      <c r="AP91" s="91"/>
      <c r="AR91" s="93"/>
    </row>
    <row r="92" spans="1:44" x14ac:dyDescent="0.25">
      <c r="A92" s="45" t="s">
        <v>138</v>
      </c>
      <c r="B92" s="2" t="s">
        <v>139</v>
      </c>
      <c r="C92" s="3" t="s">
        <v>2</v>
      </c>
      <c r="D92" s="41">
        <v>2375.3501400560222</v>
      </c>
      <c r="E92" s="10">
        <f t="shared" si="64"/>
        <v>356.30252100840329</v>
      </c>
      <c r="F92" s="10">
        <f t="shared" si="65"/>
        <v>118.76750700280111</v>
      </c>
      <c r="G92" s="10">
        <f t="shared" si="46"/>
        <v>2120</v>
      </c>
      <c r="H92" s="67"/>
      <c r="I92" s="68"/>
      <c r="J92" s="74">
        <f t="shared" si="66"/>
        <v>0</v>
      </c>
      <c r="K92" s="68"/>
      <c r="L92" s="74">
        <f t="shared" si="67"/>
        <v>0</v>
      </c>
      <c r="M92" s="68">
        <f>IF(D92="","",_xlfn.XLOOKUP(A92,'3'!A:A,'3'!D:D,IF($M$6=0,0,"ERROR")))</f>
        <v>1</v>
      </c>
      <c r="N92" s="70">
        <f t="shared" si="68"/>
        <v>2120</v>
      </c>
      <c r="O92" s="68">
        <f>IF(D92="","",_xlfn.XLOOKUP(A92,'4'!A:A,'4'!D:D,IF($O$6=0,0,"ERROR")))</f>
        <v>0</v>
      </c>
      <c r="P92" s="69">
        <f t="shared" si="47"/>
        <v>0</v>
      </c>
      <c r="Q92" s="68">
        <f>IF(D92="","",_xlfn.XLOOKUP(A92,'5'!A:A,'5'!D:D,IF($Q$6=0,0,"ERROR")))</f>
        <v>1</v>
      </c>
      <c r="R92" s="70">
        <f t="shared" si="48"/>
        <v>2120</v>
      </c>
      <c r="S92" s="68">
        <f>IF(D92="","",_xlfn.XLOOKUP(A92,'6'!A:A,'6'!D:D,IF($Q$6=0,0,"ERROR")))</f>
        <v>1</v>
      </c>
      <c r="T92" s="70">
        <f t="shared" si="35"/>
        <v>2120</v>
      </c>
      <c r="U92" s="68">
        <f>IF(D92="","",_xlfn.XLOOKUP(A92,'7'!A:A,'7'!D:D,IF($U$6=0,0,"ERROR")))</f>
        <v>0</v>
      </c>
      <c r="V92" s="70">
        <f t="shared" si="49"/>
        <v>0</v>
      </c>
      <c r="W92" s="68">
        <f>IF(D92="","",_xlfn.XLOOKUP(A92,'8'!A:A,'8'!D:D,IF($U$6=0,0,"ERROR")))</f>
        <v>0</v>
      </c>
      <c r="X92" s="70">
        <f t="shared" si="34"/>
        <v>0</v>
      </c>
      <c r="Y92" s="68">
        <f>IF(D92="","",_xlfn.XLOOKUP(A92,'9'!A:A,'9'!D:D,IF($U$6=0,0,"ERROR")))</f>
        <v>0</v>
      </c>
      <c r="Z92" s="70">
        <f t="shared" si="36"/>
        <v>0</v>
      </c>
      <c r="AA92" s="68">
        <f>IF(D92="","",_xlfn.XLOOKUP(A92,'10'!A:A,'10'!D:D,IF($U$6=0,0,"ERROR")))</f>
        <v>0</v>
      </c>
      <c r="AB92" s="70">
        <f t="shared" si="37"/>
        <v>0</v>
      </c>
      <c r="AC92" s="68">
        <f>IF(D92="","",_xlfn.XLOOKUP(A92,'11'!A:A,'11'!D:D,IF($U$6=0,0,"ERROR")))</f>
        <v>0</v>
      </c>
      <c r="AD92" s="70">
        <f t="shared" si="38"/>
        <v>0</v>
      </c>
      <c r="AE92" s="68">
        <f>IF(D92="","",_xlfn.XLOOKUP(A92,'12'!A:A,'12'!D:D,IF($U$6=0,0,"ERROR")))</f>
        <v>0</v>
      </c>
      <c r="AF92" s="70">
        <f t="shared" si="39"/>
        <v>0</v>
      </c>
      <c r="AG92" s="68">
        <f>IF(D92="","",_xlfn.XLOOKUP(A92,'13'!A:A,'13'!D:D,IF($U$6=0,0,"ERROR")))</f>
        <v>0</v>
      </c>
      <c r="AH92" s="70">
        <f t="shared" si="40"/>
        <v>0</v>
      </c>
      <c r="AI92" s="106">
        <f>IF(D92="","",_xlfn.XLOOKUP(A92,'14'!A:A,'14'!D:D,IF($U$6=0,0,"ERROR")))</f>
        <v>0</v>
      </c>
      <c r="AJ92" s="99">
        <f t="shared" si="41"/>
        <v>0</v>
      </c>
      <c r="AK92" s="99">
        <v>0</v>
      </c>
      <c r="AL92" s="99">
        <f>IF(G92="","",AK92*G92)</f>
        <v>0</v>
      </c>
      <c r="AM92" s="68">
        <f>IF(D92="","",Q92+O92+M92+K92+I92+S92+U92+W92+Y92+AA92+AC92+AE92+AG92+AI92+AK92)</f>
        <v>3</v>
      </c>
      <c r="AN92" s="74">
        <f>IF(D92="","",R92+P92+N92+L92+J92+T92+V92+X92+Z92+AB92+AD92+AH92+AF92+AJ92+AL92)</f>
        <v>6360</v>
      </c>
      <c r="AO92" s="93" t="str">
        <f t="shared" si="50"/>
        <v>הכל טוב</v>
      </c>
      <c r="AP92" s="91"/>
      <c r="AR92" s="93"/>
    </row>
    <row r="93" spans="1:44" x14ac:dyDescent="0.25">
      <c r="A93" s="45" t="s">
        <v>140</v>
      </c>
      <c r="B93" s="2" t="s">
        <v>141</v>
      </c>
      <c r="C93" s="3" t="s">
        <v>2</v>
      </c>
      <c r="D93" s="41">
        <v>950.14005602240888</v>
      </c>
      <c r="E93" s="10">
        <f t="shared" si="64"/>
        <v>142.52100840336132</v>
      </c>
      <c r="F93" s="10">
        <f t="shared" si="65"/>
        <v>47.50700280112045</v>
      </c>
      <c r="G93" s="10">
        <f t="shared" si="46"/>
        <v>848</v>
      </c>
      <c r="H93" s="67"/>
      <c r="I93" s="68"/>
      <c r="J93" s="74">
        <f t="shared" si="66"/>
        <v>0</v>
      </c>
      <c r="K93" s="68"/>
      <c r="L93" s="74">
        <f t="shared" si="67"/>
        <v>0</v>
      </c>
      <c r="M93" s="68">
        <f>IF(D93="","",_xlfn.XLOOKUP(A93,'3'!A:A,'3'!D:D,IF($M$6=0,0,"ERROR")))</f>
        <v>5</v>
      </c>
      <c r="N93" s="70">
        <f t="shared" si="68"/>
        <v>4240</v>
      </c>
      <c r="O93" s="68">
        <f>IF(D93="","",_xlfn.XLOOKUP(A93,'4'!A:A,'4'!D:D,IF($O$6=0,0,"ERROR")))</f>
        <v>0</v>
      </c>
      <c r="P93" s="69">
        <f t="shared" si="47"/>
        <v>0</v>
      </c>
      <c r="Q93" s="68">
        <f>IF(D93="","",_xlfn.XLOOKUP(A93,'5'!A:A,'5'!D:D,IF($Q$6=0,0,"ERROR")))</f>
        <v>6</v>
      </c>
      <c r="R93" s="70">
        <f t="shared" si="48"/>
        <v>5088</v>
      </c>
      <c r="S93" s="68">
        <f>IF(D93="","",_xlfn.XLOOKUP(A93,'6'!A:A,'6'!D:D,IF($Q$6=0,0,"ERROR")))</f>
        <v>3</v>
      </c>
      <c r="T93" s="70">
        <f t="shared" si="35"/>
        <v>2544</v>
      </c>
      <c r="U93" s="68">
        <f>IF(D93="","",_xlfn.XLOOKUP(A93,'7'!A:A,'7'!D:D,IF($U$6=0,0,"ERROR")))</f>
        <v>0</v>
      </c>
      <c r="V93" s="70">
        <f t="shared" si="49"/>
        <v>0</v>
      </c>
      <c r="W93" s="68">
        <f>IF(D93="","",_xlfn.XLOOKUP(A93,'8'!A:A,'8'!D:D,IF($U$6=0,0,"ERROR")))</f>
        <v>0</v>
      </c>
      <c r="X93" s="70">
        <f t="shared" si="34"/>
        <v>0</v>
      </c>
      <c r="Y93" s="68">
        <f>IF(D93="","",_xlfn.XLOOKUP(A93,'9'!A:A,'9'!D:D,IF($U$6=0,0,"ERROR")))</f>
        <v>0</v>
      </c>
      <c r="Z93" s="70">
        <f t="shared" si="36"/>
        <v>0</v>
      </c>
      <c r="AA93" s="68">
        <f>IF(D93="","",_xlfn.XLOOKUP(A93,'10'!A:A,'10'!D:D,IF($U$6=0,0,"ERROR")))</f>
        <v>0</v>
      </c>
      <c r="AB93" s="70">
        <f t="shared" si="37"/>
        <v>0</v>
      </c>
      <c r="AC93" s="68">
        <f>IF(D93="","",_xlfn.XLOOKUP(A93,'11'!A:A,'11'!D:D,IF($U$6=0,0,"ERROR")))</f>
        <v>0</v>
      </c>
      <c r="AD93" s="70">
        <f t="shared" si="38"/>
        <v>0</v>
      </c>
      <c r="AE93" s="68">
        <f>IF(D93="","",_xlfn.XLOOKUP(A93,'12'!A:A,'12'!D:D,IF($U$6=0,0,"ERROR")))</f>
        <v>0</v>
      </c>
      <c r="AF93" s="70">
        <f t="shared" si="39"/>
        <v>0</v>
      </c>
      <c r="AG93" s="68">
        <f>IF(D93="","",_xlfn.XLOOKUP(A93,'13'!A:A,'13'!D:D,IF($U$6=0,0,"ERROR")))</f>
        <v>0</v>
      </c>
      <c r="AH93" s="70">
        <f t="shared" si="40"/>
        <v>0</v>
      </c>
      <c r="AI93" s="106">
        <f>IF(D93="","",_xlfn.XLOOKUP(A93,'14'!A:A,'14'!D:D,IF($U$6=0,0,"ERROR")))</f>
        <v>0</v>
      </c>
      <c r="AJ93" s="99">
        <f t="shared" si="41"/>
        <v>0</v>
      </c>
      <c r="AK93" s="99">
        <v>0</v>
      </c>
      <c r="AL93" s="99">
        <f>IF(G93="","",AK93*G93)</f>
        <v>0</v>
      </c>
      <c r="AM93" s="68">
        <f>IF(D93="","",Q93+O93+M93+K93+I93+S93+U93+W93+Y93+AA93+AC93+AE93+AG93+AI93+AK93)</f>
        <v>14</v>
      </c>
      <c r="AN93" s="74">
        <f>IF(D93="","",R93+P93+N93+L93+J93+T93+V93+X93+Z93+AB93+AD93+AH93+AF93+AJ93+AL93)</f>
        <v>11872</v>
      </c>
      <c r="AO93" s="93" t="str">
        <f t="shared" si="50"/>
        <v>הכל טוב</v>
      </c>
      <c r="AP93" s="91"/>
      <c r="AR93" s="93"/>
    </row>
    <row r="94" spans="1:44" ht="27.6" x14ac:dyDescent="0.25">
      <c r="A94" s="45" t="s">
        <v>165</v>
      </c>
      <c r="B94" s="2" t="s">
        <v>166</v>
      </c>
      <c r="C94" s="3" t="s">
        <v>167</v>
      </c>
      <c r="D94" s="42">
        <v>0.06</v>
      </c>
      <c r="E94" s="88">
        <f t="shared" si="64"/>
        <v>8.9999999999999993E-3</v>
      </c>
      <c r="F94" s="88">
        <f t="shared" si="65"/>
        <v>3.0000000000000001E-3</v>
      </c>
      <c r="G94" s="10">
        <f t="shared" si="46"/>
        <v>5.355E-2</v>
      </c>
      <c r="H94" s="67"/>
      <c r="I94" s="68"/>
      <c r="J94" s="74">
        <f t="shared" ref="J94" si="69">IF(D94="","",I94*G94)</f>
        <v>0</v>
      </c>
      <c r="K94" s="68"/>
      <c r="L94" s="74">
        <f t="shared" si="67"/>
        <v>0</v>
      </c>
      <c r="M94" s="68">
        <f>IF(D94="","",_xlfn.XLOOKUP(A94,'3'!A:A,'3'!D:D,IF($M$6=0,0,"ERROR")))</f>
        <v>68504.025020168061</v>
      </c>
      <c r="N94" s="70">
        <f t="shared" ref="N94" si="70">IF(G94="","",M94*G94)</f>
        <v>3668.3905398299999</v>
      </c>
      <c r="O94" s="68">
        <f>IF(D94="","",_xlfn.XLOOKUP(A94,'4'!A:A,'4'!D:D,IF($O$6=0,0,"ERROR")))</f>
        <v>7986.3449999999993</v>
      </c>
      <c r="P94" s="69">
        <f t="shared" si="47"/>
        <v>427.66877474999995</v>
      </c>
      <c r="Q94" s="68">
        <f>IF(D94="","",_xlfn.XLOOKUP(A94,'5'!A:A,'5'!D:D,IF($Q$6=0,0,"ERROR")))</f>
        <v>134242.33214285714</v>
      </c>
      <c r="R94" s="70">
        <f t="shared" si="48"/>
        <v>7188.6768862499994</v>
      </c>
      <c r="S94" s="68">
        <f>IF(D94="","",_xlfn.XLOOKUP(A94,'6'!A:A,'6'!D:D,IF($Q$6=0,0,"ERROR")))</f>
        <v>56296.370308123245</v>
      </c>
      <c r="T94" s="70">
        <f t="shared" si="35"/>
        <v>3014.6706299999996</v>
      </c>
      <c r="U94" s="68">
        <f>IF(D94="","",_xlfn.XLOOKUP(A94,'7'!A:A,'7'!D:D,IF($U$6=0,0,"ERROR")))</f>
        <v>61149.18</v>
      </c>
      <c r="V94" s="70">
        <f t="shared" si="49"/>
        <v>3274.5385890000002</v>
      </c>
      <c r="W94" s="68">
        <f>IF(D94="","",_xlfn.XLOOKUP(A94,'8'!A:A,'8'!D:D,IF($U$6=0,0,"ERROR")))</f>
        <v>59918.400000000001</v>
      </c>
      <c r="X94" s="70">
        <f>IF(G94="","",W94*G94)</f>
        <v>3208.6303200000002</v>
      </c>
      <c r="Y94" s="68">
        <f>IF(D94="","",_xlfn.XLOOKUP(A94,'9'!A:A,'9'!D:D,IF($U$6=0,0,"ERROR")))</f>
        <v>59132.263999999988</v>
      </c>
      <c r="Z94" s="70">
        <f t="shared" si="36"/>
        <v>3166.5327371999992</v>
      </c>
      <c r="AA94" s="68">
        <f>IF(D94="","",_xlfn.XLOOKUP(A94,'10'!A:A,'10'!D:D,IF($U$6=0,0,"ERROR")))</f>
        <v>25483.704000000002</v>
      </c>
      <c r="AB94" s="70">
        <f t="shared" si="37"/>
        <v>1364.6523492000001</v>
      </c>
      <c r="AC94" s="68">
        <f>IF(D94="","",_xlfn.XLOOKUP(A94,'11'!A:A,'11'!D:D,IF($U$6=0,0,"ERROR")))</f>
        <v>57262.98</v>
      </c>
      <c r="AD94" s="70">
        <f t="shared" si="38"/>
        <v>3066.4325790000003</v>
      </c>
      <c r="AE94" s="68">
        <f>IF(D94="","",_xlfn.XLOOKUP(A94,'12'!A:A,'12'!D:D,IF($U$6=0,0,"ERROR")))</f>
        <v>13580.039999999999</v>
      </c>
      <c r="AF94" s="70">
        <f t="shared" si="39"/>
        <v>727.211142</v>
      </c>
      <c r="AG94" s="68">
        <f>IF(D94="","",_xlfn.XLOOKUP(A94,'13'!A:A,'13'!D:D,IF($U$6=0,0,"ERROR")))</f>
        <v>49575.402000000002</v>
      </c>
      <c r="AH94" s="70">
        <f t="shared" si="40"/>
        <v>2654.7627771000002</v>
      </c>
      <c r="AI94" s="106">
        <f>IF(D94="","",_xlfn.XLOOKUP(A94,'14'!A:A,'14'!D:D,IF($U$6=0,0,"ERROR")))</f>
        <v>63944.360000000008</v>
      </c>
      <c r="AJ94" s="99">
        <f t="shared" si="41"/>
        <v>3424.2204780000006</v>
      </c>
      <c r="AK94" s="99"/>
      <c r="AL94" s="99"/>
      <c r="AM94" s="68">
        <f t="shared" si="42"/>
        <v>657075.40247114853</v>
      </c>
      <c r="AN94" s="74">
        <f t="shared" si="43"/>
        <v>35186.387802329999</v>
      </c>
      <c r="AO94" s="93" t="str">
        <f>IF(AN94="","",IF(AM94*G94=AN94,"הכל טוב","לא טוב"))</f>
        <v>הכל טוב</v>
      </c>
      <c r="AP94" s="91"/>
      <c r="AR94" s="93"/>
    </row>
    <row r="95" spans="1:44" x14ac:dyDescent="0.25">
      <c r="A95" s="45"/>
      <c r="B95" s="2"/>
      <c r="C95" s="3"/>
      <c r="D95" s="41"/>
      <c r="E95" s="10"/>
      <c r="F95" s="10"/>
      <c r="G95" s="10" t="str">
        <f t="shared" ref="G95:G105" si="71">IF(D95="","",D95*1.05*0.85)</f>
        <v/>
      </c>
      <c r="H95" s="67"/>
      <c r="I95" s="68"/>
      <c r="K95" s="68"/>
      <c r="L95" s="74"/>
      <c r="M95" s="68"/>
      <c r="N95" s="70"/>
      <c r="O95" s="68"/>
      <c r="P95" s="69"/>
      <c r="Q95" s="68"/>
      <c r="R95" s="69"/>
      <c r="S95" s="68"/>
      <c r="T95" s="69"/>
      <c r="U95" s="68"/>
      <c r="V95" s="69"/>
      <c r="W95" s="68"/>
      <c r="X95" s="69"/>
      <c r="Y95" s="68"/>
      <c r="Z95" s="69"/>
      <c r="AA95" s="68"/>
      <c r="AB95" s="69"/>
      <c r="AC95" s="68"/>
      <c r="AD95" s="69"/>
      <c r="AE95" s="68"/>
      <c r="AF95" s="69"/>
      <c r="AG95" s="68"/>
      <c r="AH95" s="69"/>
      <c r="AN95" s="74" t="str">
        <f>IF(D95="","",#REF!+R95+P95+N95+L95+AM95)</f>
        <v/>
      </c>
      <c r="AO95" s="93" t="str">
        <f t="shared" si="50"/>
        <v/>
      </c>
      <c r="AP95" t="str">
        <f>IF(C95="","",_xlfn.XLOOKUP(A95,'[3]12 - אלומיניום'!$A:$A,'[3]12 - אלומיניום'!$A:$A,"אין סעיף כזה"))</f>
        <v/>
      </c>
      <c r="AR95" s="93"/>
    </row>
    <row r="96" spans="1:44" hidden="1" x14ac:dyDescent="0.25">
      <c r="A96" s="4"/>
      <c r="B96" s="47" t="s">
        <v>152</v>
      </c>
      <c r="C96" s="4"/>
      <c r="D96" s="4"/>
      <c r="E96" s="4"/>
      <c r="F96" s="4"/>
      <c r="G96" s="10" t="str">
        <f t="shared" si="71"/>
        <v/>
      </c>
      <c r="H96" s="67"/>
      <c r="I96" s="68"/>
      <c r="J96" s="71">
        <f>SUMIF($A:$A,"01.*",J:J)</f>
        <v>0</v>
      </c>
      <c r="K96" s="68"/>
      <c r="L96" s="71">
        <f>SUMIF($A:$A,"01.*",L:L)</f>
        <v>0</v>
      </c>
      <c r="M96" s="68"/>
      <c r="N96" s="71">
        <f>SUMIF($A:$A,"01.*",N:N)</f>
        <v>0</v>
      </c>
      <c r="O96" s="68"/>
      <c r="P96" s="71">
        <f>SUMIF($A:$A,"01.*",P:P)</f>
        <v>0</v>
      </c>
      <c r="Q96" s="68"/>
      <c r="R96" s="71">
        <f>SUMIF($A:$A,"01.*",R:R)</f>
        <v>0</v>
      </c>
      <c r="S96" s="68"/>
      <c r="T96" s="71">
        <f>SUMIF($A:$A,"01.*",T:T)</f>
        <v>0</v>
      </c>
      <c r="U96" s="68"/>
      <c r="V96" s="71">
        <f>SUMIF($A:$A,"01.*",V:V)</f>
        <v>0</v>
      </c>
      <c r="W96" s="68"/>
      <c r="X96" s="71">
        <f>SUMIF($A:$A,"01.*",X:X)</f>
        <v>0</v>
      </c>
      <c r="Y96" s="68"/>
      <c r="Z96" s="71">
        <f>SUMIF($A:$A,"01.*",Z:Z)</f>
        <v>0</v>
      </c>
      <c r="AA96" s="68"/>
      <c r="AB96" s="71">
        <f>SUMIF($A:$A,"01.*",AB:AB)</f>
        <v>0</v>
      </c>
      <c r="AC96" s="68"/>
      <c r="AD96" s="71">
        <f>SUMIF($A:$A,"01.*",AD:AD)</f>
        <v>0</v>
      </c>
      <c r="AE96" s="68"/>
      <c r="AF96" s="71">
        <f>SUMIF($A:$A,"01.*",AF:AF)</f>
        <v>0</v>
      </c>
      <c r="AG96" s="68"/>
      <c r="AH96" s="71">
        <f>SUMIF($A:$A,"01.*",AH:AH)</f>
        <v>0</v>
      </c>
      <c r="AI96" s="107"/>
      <c r="AJ96" s="71">
        <f>SUMIF($A:$A,"01.*",AJ:AJ)</f>
        <v>0</v>
      </c>
      <c r="AK96" s="100"/>
      <c r="AL96" s="71">
        <f>SUMIF($A:$A,"01.*",AL:AL)</f>
        <v>0</v>
      </c>
      <c r="AM96" s="68" t="str">
        <f>IF(D96="","",#REF!+Q96+O96+M96+K96+I96)</f>
        <v/>
      </c>
      <c r="AN96" s="71">
        <f t="shared" ref="AN96:AN104" si="72">SUM(I96:AM96)</f>
        <v>0</v>
      </c>
      <c r="AO96" s="93"/>
      <c r="AP96" t="str">
        <f>IF(C96="","",_xlfn.XLOOKUP(A96,'[3]12 - אלומיניום'!$A:$A,'[3]12 - אלומיניום'!$A:$A,"אין סעיף כזה"))</f>
        <v/>
      </c>
      <c r="AR96" s="93"/>
    </row>
    <row r="97" spans="1:44" hidden="1" x14ac:dyDescent="0.25">
      <c r="A97" s="4"/>
      <c r="B97" s="47" t="s">
        <v>153</v>
      </c>
      <c r="C97" s="4"/>
      <c r="D97" s="4"/>
      <c r="E97" s="4"/>
      <c r="F97" s="4"/>
      <c r="G97" s="10" t="str">
        <f t="shared" si="71"/>
        <v/>
      </c>
      <c r="H97" s="67"/>
      <c r="I97" s="68"/>
      <c r="J97" s="71">
        <f>SUMIF($A:$A,"05.*",J:J)</f>
        <v>0</v>
      </c>
      <c r="K97" s="68"/>
      <c r="L97" s="71">
        <f>SUMIF($A:$A,"05.*",L:L)</f>
        <v>0</v>
      </c>
      <c r="M97" s="68"/>
      <c r="N97" s="71">
        <f>SUMIF($A:$A,"05.*",N:N)</f>
        <v>0</v>
      </c>
      <c r="O97" s="68"/>
      <c r="P97" s="71">
        <f>SUMIF($A:$A,"05.*",P:P)</f>
        <v>0</v>
      </c>
      <c r="Q97" s="68"/>
      <c r="R97" s="71">
        <f>SUMIF($A:$A,"05.*",R:R)</f>
        <v>0</v>
      </c>
      <c r="S97" s="68"/>
      <c r="T97" s="71">
        <f>SUMIF($A:$A,"05.*",T:T)</f>
        <v>0</v>
      </c>
      <c r="U97" s="68"/>
      <c r="V97" s="71">
        <f>SUMIF($A:$A,"05.*",V:V)</f>
        <v>0</v>
      </c>
      <c r="W97" s="68"/>
      <c r="X97" s="71">
        <f>SUMIF($A:$A,"05.*",X:X)</f>
        <v>0</v>
      </c>
      <c r="Y97" s="68"/>
      <c r="Z97" s="71">
        <f>SUMIF($A:$A,"05.*",Z:Z)</f>
        <v>0</v>
      </c>
      <c r="AA97" s="68"/>
      <c r="AB97" s="71">
        <f>SUMIF($A:$A,"05.*",AB:AB)</f>
        <v>0</v>
      </c>
      <c r="AC97" s="68"/>
      <c r="AD97" s="71">
        <f>SUMIF($A:$A,"05.*",AD:AD)</f>
        <v>0</v>
      </c>
      <c r="AE97" s="68"/>
      <c r="AF97" s="71">
        <f>SUMIF($A:$A,"05.*",AF:AF)</f>
        <v>0</v>
      </c>
      <c r="AG97" s="68"/>
      <c r="AH97" s="71">
        <f>SUMIF($A:$A,"05.*",AH:AH)</f>
        <v>0</v>
      </c>
      <c r="AI97" s="107"/>
      <c r="AJ97" s="71">
        <f>SUMIF($A:$A,"05.*",AJ:AJ)</f>
        <v>0</v>
      </c>
      <c r="AK97" s="100"/>
      <c r="AL97" s="71">
        <f>SUMIF($A:$A,"05.*",AL:AL)</f>
        <v>0</v>
      </c>
      <c r="AM97" s="68" t="str">
        <f>IF(D97="","",#REF!+Q97+O97+M97+K97+I97)</f>
        <v/>
      </c>
      <c r="AN97" s="71">
        <f t="shared" si="72"/>
        <v>0</v>
      </c>
      <c r="AO97" s="93"/>
      <c r="AP97" t="str">
        <f>IF(C97="","",_xlfn.XLOOKUP(A97,'[3]12 - אלומיניום'!$A:$A,'[3]12 - אלומיניום'!$A:$A,"אין סעיף כזה"))</f>
        <v/>
      </c>
      <c r="AR97" s="93"/>
    </row>
    <row r="98" spans="1:44" x14ac:dyDescent="0.25">
      <c r="A98" s="4"/>
      <c r="B98" s="47" t="s">
        <v>154</v>
      </c>
      <c r="C98" s="4"/>
      <c r="D98" s="4"/>
      <c r="E98" s="4"/>
      <c r="F98" s="4"/>
      <c r="G98" s="10" t="str">
        <f t="shared" si="71"/>
        <v/>
      </c>
      <c r="H98" s="67"/>
      <c r="I98" s="68"/>
      <c r="J98" s="71">
        <f>SUMIF($A:$A,"09.*",J:J)</f>
        <v>0</v>
      </c>
      <c r="K98" s="68"/>
      <c r="L98" s="71">
        <f>SUMIF($A:$A,"09.*",L:L)</f>
        <v>0</v>
      </c>
      <c r="M98" s="68"/>
      <c r="N98" s="71">
        <f>SUMIF($A:$A,"09.*",N:N)</f>
        <v>2479.0079999999998</v>
      </c>
      <c r="O98" s="68"/>
      <c r="P98" s="71">
        <f>SUMIF($A:$A,"09.*",P:P)</f>
        <v>0</v>
      </c>
      <c r="Q98" s="68"/>
      <c r="R98" s="71">
        <f>SUMIF($A:$A,"09.*",R:R)</f>
        <v>3396.9263999999998</v>
      </c>
      <c r="S98" s="68"/>
      <c r="T98" s="71">
        <f>SUMIF($A:$A,"09.*",T:T)</f>
        <v>1956.36</v>
      </c>
      <c r="U98" s="68"/>
      <c r="V98" s="71">
        <f>SUMIF($A:$A,"09.*",V:V)</f>
        <v>2355.6288</v>
      </c>
      <c r="W98" s="68"/>
      <c r="X98" s="71">
        <f>SUMIF($A:$A,"09.*",X:X)</f>
        <v>2355.6288</v>
      </c>
      <c r="Y98" s="68"/>
      <c r="Z98" s="71">
        <f>SUMIF($A:$A,"09.*",Z:Z)</f>
        <v>2030.6159999999998</v>
      </c>
      <c r="AA98" s="68"/>
      <c r="AB98" s="71">
        <f>SUMIF($A:$A,"09.*",AB:AB)</f>
        <v>1718.1695999999999</v>
      </c>
      <c r="AC98" s="68"/>
      <c r="AD98" s="71">
        <f>SUMIF($A:$A,"09.*",AD:AD)</f>
        <v>1765.5791999999999</v>
      </c>
      <c r="AE98" s="68"/>
      <c r="AF98" s="71">
        <f>SUMIF($A:$A,"09.*",AF:AF)</f>
        <v>646.59839999999997</v>
      </c>
      <c r="AG98" s="68"/>
      <c r="AH98" s="71">
        <f>SUMIF($A:$A,"09.*",AH:AH)</f>
        <v>1791.2831999999999</v>
      </c>
      <c r="AI98" s="107"/>
      <c r="AJ98" s="71">
        <f>SUMIF($A:$A,"09.*",AJ:AJ)</f>
        <v>0</v>
      </c>
      <c r="AK98" s="100"/>
      <c r="AL98" s="71">
        <f>SUMIF($A:$A,"09.*",AL:AL)</f>
        <v>0</v>
      </c>
      <c r="AM98" s="68" t="str">
        <f>IF(D98="","",#REF!+Q98+O98+M98+K98+I98)</f>
        <v/>
      </c>
      <c r="AN98" s="71">
        <f t="shared" si="72"/>
        <v>20495.7984</v>
      </c>
      <c r="AO98" s="93"/>
      <c r="AP98" t="str">
        <f>IF(C98="","",_xlfn.XLOOKUP(A98,'[3]12 - אלומיניום'!$A:$A,'[3]12 - אלומיניום'!$A:$A,"אין סעיף כזה"))</f>
        <v/>
      </c>
      <c r="AR98" s="93"/>
    </row>
    <row r="99" spans="1:44" x14ac:dyDescent="0.25">
      <c r="A99" s="4"/>
      <c r="B99" s="47" t="s">
        <v>155</v>
      </c>
      <c r="C99" s="4"/>
      <c r="D99" s="4"/>
      <c r="E99" s="4"/>
      <c r="F99" s="4"/>
      <c r="G99" s="10" t="str">
        <f t="shared" si="71"/>
        <v/>
      </c>
      <c r="H99" s="67"/>
      <c r="I99" s="68"/>
      <c r="J99" s="71">
        <f>SUMIF($A:$A,"11.*",J:J)</f>
        <v>0</v>
      </c>
      <c r="K99" s="68"/>
      <c r="L99" s="71">
        <f>SUMIF($A:$A,"11.*",L:L)</f>
        <v>0</v>
      </c>
      <c r="M99" s="68"/>
      <c r="N99" s="71">
        <f>SUMIF($A:$A,"11.*",N:N)</f>
        <v>7898.625</v>
      </c>
      <c r="O99" s="68"/>
      <c r="P99" s="71">
        <f>SUMIF($A:$A,"11.*",P:P)</f>
        <v>0</v>
      </c>
      <c r="Q99" s="68"/>
      <c r="R99" s="71">
        <f>SUMIF($A:$A,"11.*",R:R)</f>
        <v>7898.625</v>
      </c>
      <c r="S99" s="68"/>
      <c r="T99" s="71">
        <f>SUMIF($A:$A,"11.*",T:T)</f>
        <v>6318.9</v>
      </c>
      <c r="U99" s="68"/>
      <c r="V99" s="71">
        <f>SUMIF($A:$A,"11.*",V:V)</f>
        <v>6318.9</v>
      </c>
      <c r="W99" s="68"/>
      <c r="X99" s="71">
        <f>SUMIF($A:$A,"11.*",X:X)</f>
        <v>6318.9</v>
      </c>
      <c r="Y99" s="68"/>
      <c r="Z99" s="71">
        <f>SUMIF($A:$A,"11.*",Z:Z)</f>
        <v>4739.1749999999993</v>
      </c>
      <c r="AA99" s="68"/>
      <c r="AB99" s="71">
        <f>SUMIF($A:$A,"11.*",AB:AB)</f>
        <v>6318.9</v>
      </c>
      <c r="AC99" s="68"/>
      <c r="AD99" s="71">
        <f>SUMIF($A:$A,"11.*",AD:AD)</f>
        <v>4739.1749999999993</v>
      </c>
      <c r="AE99" s="68"/>
      <c r="AF99" s="71">
        <f>SUMIF($A:$A,"11.*",AF:AF)</f>
        <v>3159.45</v>
      </c>
      <c r="AG99" s="68"/>
      <c r="AH99" s="71">
        <f>SUMIF($A:$A,"11.*",AH:AH)</f>
        <v>4739.1749999999993</v>
      </c>
      <c r="AI99" s="107"/>
      <c r="AJ99" s="71">
        <f>SUMIF($A:$A,"11.*",AJ:AJ)</f>
        <v>0</v>
      </c>
      <c r="AK99" s="100"/>
      <c r="AL99" s="71">
        <f>SUMIF($A:$A,"11.*",AL:AL)</f>
        <v>0</v>
      </c>
      <c r="AM99" s="68" t="str">
        <f>IF(D99="","",#REF!+Q99+O99+M99+K99+I99)</f>
        <v/>
      </c>
      <c r="AN99" s="71">
        <f t="shared" si="72"/>
        <v>58449.824999999997</v>
      </c>
      <c r="AO99" s="93"/>
      <c r="AP99" t="str">
        <f>IF(C99="","",_xlfn.XLOOKUP(A99,'[3]12 - אלומיניום'!$A:$A,'[3]12 - אלומיניום'!$A:$A,"אין סעיף כזה"))</f>
        <v/>
      </c>
      <c r="AR99" s="93"/>
    </row>
    <row r="100" spans="1:44" x14ac:dyDescent="0.25">
      <c r="A100" s="4"/>
      <c r="B100" s="47" t="s">
        <v>156</v>
      </c>
      <c r="C100" s="4"/>
      <c r="D100" s="4"/>
      <c r="E100" s="4"/>
      <c r="F100" s="4"/>
      <c r="G100" s="10" t="str">
        <f t="shared" si="71"/>
        <v/>
      </c>
      <c r="H100" s="67"/>
      <c r="I100" s="68"/>
      <c r="J100" s="71">
        <f>SUMIF($A:$A,"12.*",J:J)</f>
        <v>0</v>
      </c>
      <c r="K100" s="68"/>
      <c r="L100" s="71">
        <f>SUMIF($A:$A,"12.*",L:L)</f>
        <v>0</v>
      </c>
      <c r="M100" s="68"/>
      <c r="N100" s="71">
        <f>SUMIF($A:$A,"12.*",N:N)</f>
        <v>78708.29151482998</v>
      </c>
      <c r="O100" s="68"/>
      <c r="P100" s="71">
        <f>SUMIF($A:$A,"12.*",P:P)</f>
        <v>9442.63277475</v>
      </c>
      <c r="Q100" s="68"/>
      <c r="R100" s="71">
        <f>SUMIF($A:$A,"12.*",R:R)</f>
        <v>144690.73468750005</v>
      </c>
      <c r="S100" s="68"/>
      <c r="T100" s="71">
        <f>SUMIF($A:$A,"12.*",T:T)</f>
        <v>64943.742042499995</v>
      </c>
      <c r="U100" s="68"/>
      <c r="V100" s="71">
        <f>SUMIF($A:$A,"12.*",V:V)</f>
        <v>72759.188964000015</v>
      </c>
      <c r="W100" s="68"/>
      <c r="X100" s="71">
        <f>SUMIF($A:$A,"12.*",X:X)</f>
        <v>71120.508269999991</v>
      </c>
      <c r="Y100" s="68"/>
      <c r="Z100" s="71">
        <f>SUMIF($A:$A,"12.*",Z:Z)</f>
        <v>69189.471029699984</v>
      </c>
      <c r="AA100" s="68"/>
      <c r="AB100" s="71">
        <f>SUMIF($A:$A,"12.*",AB:AB)</f>
        <v>34459.710814199992</v>
      </c>
      <c r="AC100" s="68"/>
      <c r="AD100" s="71">
        <f>SUMIF($A:$A,"12.*",AD:AD)</f>
        <v>64063.443654000002</v>
      </c>
      <c r="AE100" s="68"/>
      <c r="AF100" s="71">
        <f>SUMIF($A:$A,"12.*",AF:AF)</f>
        <v>16939.787801999999</v>
      </c>
      <c r="AG100" s="68"/>
      <c r="AH100" s="71">
        <f>SUMIF($A:$A,"12.*",AH:AH)</f>
        <v>58027.920722100003</v>
      </c>
      <c r="AI100" s="107"/>
      <c r="AJ100" s="71">
        <f>SUMIF($A:$A,"12.*",AJ:AJ)</f>
        <v>69491.693628000008</v>
      </c>
      <c r="AK100" s="100"/>
      <c r="AL100" s="71">
        <f>SUMIF($A:$A,"12.*",AL:AL)</f>
        <v>0</v>
      </c>
      <c r="AM100" s="68" t="str">
        <f>IF(D100="","",#REF!+Q100+O100+M100+K100+I100)</f>
        <v/>
      </c>
      <c r="AN100" s="71">
        <f t="shared" si="72"/>
        <v>753837.12590357987</v>
      </c>
      <c r="AO100" s="93"/>
      <c r="AP100" t="str">
        <f>IF(C100="","",_xlfn.XLOOKUP(A100,'[3]12 - אלומיניום'!$A:$A,'[3]12 - אלומיניום'!$A:$A,"אין סעיף כזה"))</f>
        <v/>
      </c>
      <c r="AR100" s="93"/>
    </row>
    <row r="101" spans="1:44" hidden="1" x14ac:dyDescent="0.25">
      <c r="A101" s="4"/>
      <c r="B101" s="47" t="s">
        <v>157</v>
      </c>
      <c r="C101" s="4"/>
      <c r="D101" s="4"/>
      <c r="E101" s="4"/>
      <c r="F101" s="4"/>
      <c r="G101" s="10" t="str">
        <f t="shared" si="71"/>
        <v/>
      </c>
      <c r="H101" s="67"/>
      <c r="I101" s="68"/>
      <c r="J101" s="71">
        <f>SUMIF($A:$A,"15.*",J:J)</f>
        <v>0</v>
      </c>
      <c r="K101" s="68"/>
      <c r="L101" s="71">
        <f>SUMIF($A:$A,"15.*",L:L)</f>
        <v>0</v>
      </c>
      <c r="M101" s="68"/>
      <c r="N101" s="71">
        <f>SUMIF($A:$A,"15.*",N:N)</f>
        <v>0</v>
      </c>
      <c r="O101" s="68"/>
      <c r="P101" s="71">
        <f>SUMIF($A:$A,"15.*",P:P)</f>
        <v>0</v>
      </c>
      <c r="Q101" s="68"/>
      <c r="R101" s="71">
        <f>SUMIF($A:$A,"15.*",R:R)</f>
        <v>0</v>
      </c>
      <c r="S101" s="68"/>
      <c r="T101" s="71">
        <f>SUMIF($A:$A,"15.*",T:T)</f>
        <v>0</v>
      </c>
      <c r="U101" s="68"/>
      <c r="V101" s="71">
        <f>SUMIF($A:$A,"15.*",V:V)</f>
        <v>0</v>
      </c>
      <c r="W101" s="68"/>
      <c r="X101" s="71">
        <f>SUMIF($A:$A,"15.*",X:X)</f>
        <v>0</v>
      </c>
      <c r="Y101" s="68"/>
      <c r="Z101" s="71">
        <f>SUMIF($A:$A,"15.*",Z:Z)</f>
        <v>0</v>
      </c>
      <c r="AA101" s="68"/>
      <c r="AB101" s="71">
        <f>SUMIF($A:$A,"15.*",AB:AB)</f>
        <v>0</v>
      </c>
      <c r="AC101" s="68"/>
      <c r="AD101" s="71">
        <f>SUMIF($A:$A,"15.*",AD:AD)</f>
        <v>0</v>
      </c>
      <c r="AE101" s="68"/>
      <c r="AF101" s="71">
        <f>SUMIF($A:$A,"15.*",AF:AF)</f>
        <v>0</v>
      </c>
      <c r="AG101" s="68"/>
      <c r="AH101" s="71">
        <f>SUMIF($A:$A,"15.*",AH:AH)</f>
        <v>0</v>
      </c>
      <c r="AI101" s="107"/>
      <c r="AJ101" s="71">
        <f>SUMIF($A:$A,"15.*",AJ:AJ)</f>
        <v>0</v>
      </c>
      <c r="AK101" s="100"/>
      <c r="AL101" s="71">
        <f>SUMIF($A:$A,"15.*",AL:AL)</f>
        <v>0</v>
      </c>
      <c r="AM101" s="68" t="str">
        <f>IF(D101="","",#REF!+Q101+O101+M101+K101+I101)</f>
        <v/>
      </c>
      <c r="AN101" s="71">
        <f t="shared" si="72"/>
        <v>0</v>
      </c>
      <c r="AO101" s="93"/>
      <c r="AP101" t="str">
        <f>IF(C101="","",_xlfn.XLOOKUP(A101,'[3]12 - אלומיניום'!$A:$A,'[3]12 - אלומיניום'!$A:$A,"אין סעיף כזה"))</f>
        <v/>
      </c>
      <c r="AR101" s="93"/>
    </row>
    <row r="102" spans="1:44" x14ac:dyDescent="0.25">
      <c r="A102" s="4"/>
      <c r="B102" s="47" t="s">
        <v>181</v>
      </c>
      <c r="C102" s="4"/>
      <c r="D102" s="4"/>
      <c r="E102" s="4"/>
      <c r="F102" s="4"/>
      <c r="G102" s="10"/>
      <c r="H102" s="67"/>
      <c r="I102" s="68"/>
      <c r="J102" s="71">
        <f>SUMIF($A:$A,"30.*",J:J)</f>
        <v>0</v>
      </c>
      <c r="K102" s="68"/>
      <c r="L102" s="71">
        <f>SUMIF($A:$A,"30.*",L:L)</f>
        <v>0</v>
      </c>
      <c r="M102" s="68"/>
      <c r="N102" s="71">
        <f>SUMIF($A:$A,"30.*",N:N)</f>
        <v>890.8920720000001</v>
      </c>
      <c r="O102" s="68"/>
      <c r="P102" s="71">
        <f>SUMIF($A:$A,"30.*",P:P)</f>
        <v>0</v>
      </c>
      <c r="Q102" s="68"/>
      <c r="R102" s="71">
        <f>SUMIF($A:$A,"30.*",R:R)</f>
        <v>1651.6962000000001</v>
      </c>
      <c r="S102" s="68"/>
      <c r="T102" s="71">
        <f>SUMIF($A:$A,"30.*",T:T)</f>
        <v>815.67360000000008</v>
      </c>
      <c r="U102" s="68"/>
      <c r="V102" s="71">
        <f>SUMIF($A:$A,"30.*",V:V)</f>
        <v>833.15232000000003</v>
      </c>
      <c r="W102" s="68"/>
      <c r="X102" s="71">
        <f>SUMIF($A:$A,"30.*",X:X)</f>
        <v>854.65800000000024</v>
      </c>
      <c r="Y102" s="68"/>
      <c r="Z102" s="71">
        <f>SUMIF($A:$A,"30.*",Z:Z)</f>
        <v>728.70839999999998</v>
      </c>
      <c r="AA102" s="68"/>
      <c r="AB102" s="71">
        <f>SUMIF($A:$A,"30.*",AB:AB)</f>
        <v>392.70571200000006</v>
      </c>
      <c r="AC102" s="68"/>
      <c r="AD102" s="71">
        <f>SUMIF($A:$A,"30.*",AD:AD)</f>
        <v>2557.0125000000003</v>
      </c>
      <c r="AE102" s="68"/>
      <c r="AF102" s="71">
        <f>SUMIF($A:$A,"30.*",AF:AF)</f>
        <v>171.36</v>
      </c>
      <c r="AG102" s="68"/>
      <c r="AH102" s="71">
        <f>SUMIF($A:$A,"30.*",AH:AH)</f>
        <v>680.51340000000005</v>
      </c>
      <c r="AI102" s="107"/>
      <c r="AJ102" s="71">
        <f>SUMIF($A:$A,"30.*",AJ:AJ)</f>
        <v>0</v>
      </c>
      <c r="AK102" s="100"/>
      <c r="AL102" s="71">
        <f>SUMIF($A:$A,"30.*",AL:AL)</f>
        <v>0</v>
      </c>
      <c r="AM102" s="68"/>
      <c r="AN102" s="71">
        <f t="shared" si="72"/>
        <v>9576.3722040000011</v>
      </c>
      <c r="AO102" s="93"/>
      <c r="AR102" s="93"/>
    </row>
    <row r="103" spans="1:44" x14ac:dyDescent="0.25">
      <c r="A103" s="4"/>
      <c r="B103" s="47" t="s">
        <v>158</v>
      </c>
      <c r="C103" s="4"/>
      <c r="D103" s="4"/>
      <c r="E103" s="4"/>
      <c r="F103" s="4"/>
      <c r="G103" s="10" t="str">
        <f t="shared" si="71"/>
        <v/>
      </c>
      <c r="H103" s="67"/>
      <c r="I103" s="68"/>
      <c r="J103" s="71">
        <f>SUMIF($A:$A,"60.*",J:J)</f>
        <v>0</v>
      </c>
      <c r="K103" s="68"/>
      <c r="L103" s="71">
        <f>SUMIF($A:$A,"60.*",L:L)</f>
        <v>0</v>
      </c>
      <c r="M103" s="68"/>
      <c r="N103" s="71">
        <f>SUMIF($A:$A,"60.*",N:N)</f>
        <v>4752.5625</v>
      </c>
      <c r="O103" s="68"/>
      <c r="P103" s="71">
        <f>SUMIF($A:$A,"60.*",P:P)</f>
        <v>258.82499999999999</v>
      </c>
      <c r="Q103" s="68"/>
      <c r="R103" s="71">
        <f>SUMIF($A:$A,"60.*",R:R)</f>
        <v>4386.6374999999998</v>
      </c>
      <c r="S103" s="68"/>
      <c r="T103" s="71">
        <f>SUMIF($A:$A,"60.*",T:T)</f>
        <v>3614.625</v>
      </c>
      <c r="U103" s="68"/>
      <c r="V103" s="71">
        <f>SUMIF($A:$A,"60.*",V:V)</f>
        <v>4881.9750000000004</v>
      </c>
      <c r="W103" s="68"/>
      <c r="X103" s="71">
        <f>SUMIF($A:$A,"60.*",X:X)</f>
        <v>4881.9750000000004</v>
      </c>
      <c r="Y103" s="68"/>
      <c r="Z103" s="71">
        <f>SUMIF($A:$A,"60.*",Z:Z)</f>
        <v>4752.5625</v>
      </c>
      <c r="AA103" s="68"/>
      <c r="AB103" s="71">
        <f>SUMIF($A:$A,"60.*",AB:AB)</f>
        <v>2565.9375</v>
      </c>
      <c r="AC103" s="68"/>
      <c r="AD103" s="71">
        <f>SUMIF($A:$A,"60.*",AD:AD)</f>
        <v>2565.9375</v>
      </c>
      <c r="AE103" s="68"/>
      <c r="AF103" s="71">
        <f>SUMIF($A:$A,"60.*",AF:AF)</f>
        <v>2490.0749999999998</v>
      </c>
      <c r="AG103" s="68"/>
      <c r="AH103" s="71">
        <f>SUMIF($A:$A,"60.*",AH:AH)</f>
        <v>4623.1499999999996</v>
      </c>
      <c r="AI103" s="107"/>
      <c r="AJ103" s="71">
        <f>SUMIF($A:$A,"60.*",AJ:AJ)</f>
        <v>0</v>
      </c>
      <c r="AK103" s="100"/>
      <c r="AL103" s="71">
        <f>SUMIF($A:$A,"60.*",AL:AL)</f>
        <v>0</v>
      </c>
      <c r="AM103" s="68" t="str">
        <f>IF(D103="","",#REF!+Q103+O103+M103+K103+I103)</f>
        <v/>
      </c>
      <c r="AN103" s="71">
        <f t="shared" si="72"/>
        <v>39774.262499999997</v>
      </c>
      <c r="AO103" s="93"/>
      <c r="AP103" t="str">
        <f>IF(C103="","",_xlfn.XLOOKUP(A103,'[3]12 - אלומיניום'!$A:$A,'[3]12 - אלומיניום'!$A:$A,"אין סעיף כזה"))</f>
        <v/>
      </c>
      <c r="AR103" s="93"/>
    </row>
    <row r="104" spans="1:44" x14ac:dyDescent="0.25">
      <c r="A104" s="4"/>
      <c r="B104" s="47" t="s">
        <v>159</v>
      </c>
      <c r="C104" s="4"/>
      <c r="D104" s="4"/>
      <c r="E104" s="4"/>
      <c r="F104" s="4"/>
      <c r="G104" s="10" t="str">
        <f t="shared" si="71"/>
        <v/>
      </c>
      <c r="H104" s="67"/>
      <c r="I104" s="68"/>
      <c r="J104" s="71">
        <f>SUMIF($A:$A,"85.*",J:J)</f>
        <v>0</v>
      </c>
      <c r="K104" s="68"/>
      <c r="L104" s="71">
        <f>SUMIF($A:$A,"85.*",L:L)</f>
        <v>0</v>
      </c>
      <c r="M104" s="68"/>
      <c r="N104" s="71">
        <f>SUMIF($A:$A,"85.*",N:N)</f>
        <v>982.23770491803293</v>
      </c>
      <c r="O104" s="68"/>
      <c r="P104" s="71">
        <f>SUMIF($A:$A,"85.*",P:P)</f>
        <v>49.343545081967214</v>
      </c>
      <c r="Q104" s="68"/>
      <c r="R104" s="71">
        <f>SUMIF($A:$A,"85.*",R:R)</f>
        <v>1395.7505122950822</v>
      </c>
      <c r="S104" s="68"/>
      <c r="T104" s="71">
        <f>SUMIF($A:$A,"85.*",T:T)</f>
        <v>632.43135245901647</v>
      </c>
      <c r="U104" s="68"/>
      <c r="V104" s="71">
        <f>SUMIF($A:$A,"85.*",V:V)</f>
        <v>517.75973360655735</v>
      </c>
      <c r="W104" s="68"/>
      <c r="X104" s="71">
        <f>SUMIF($A:$A,"85.*",X:X)</f>
        <v>954.43852459016398</v>
      </c>
      <c r="Y104" s="68"/>
      <c r="Z104" s="71">
        <f>SUMIF($A:$A,"85.*",Z:Z)</f>
        <v>839.76690573770497</v>
      </c>
      <c r="AA104" s="68"/>
      <c r="AB104" s="71">
        <f>SUMIF($A:$A,"85.*",AB:AB)</f>
        <v>533.97592213114763</v>
      </c>
      <c r="AC104" s="68"/>
      <c r="AD104" s="71">
        <f>SUMIF($A:$A,"85.*",AD:AD)</f>
        <v>703.08760245901647</v>
      </c>
      <c r="AE104" s="68"/>
      <c r="AF104" s="71">
        <f>SUMIF($A:$A,"85.*",AF:AF)</f>
        <v>202.70235655737707</v>
      </c>
      <c r="AG104" s="68"/>
      <c r="AH104" s="71">
        <f>SUMIF($A:$A,"85.*",AH:AH)</f>
        <v>745.94467213114763</v>
      </c>
      <c r="AI104" s="107"/>
      <c r="AJ104" s="71">
        <f>SUMIF($A:$A,"85.*",AJ:AJ)</f>
        <v>354.09205942622953</v>
      </c>
      <c r="AK104" s="100"/>
      <c r="AL104" s="71">
        <f>SUMIF($A:$A,"85.*",AL:AL)</f>
        <v>0</v>
      </c>
      <c r="AM104" s="68" t="str">
        <f>IF(D104="","",#REF!+Q104+O104+M104+K104+I104)</f>
        <v/>
      </c>
      <c r="AN104" s="71">
        <f t="shared" si="72"/>
        <v>7911.5308913934441</v>
      </c>
      <c r="AO104" s="93" t="s">
        <v>206</v>
      </c>
      <c r="AP104" t="s">
        <v>207</v>
      </c>
      <c r="AR104" s="93"/>
    </row>
    <row r="105" spans="1:44" ht="42.6" thickBot="1" x14ac:dyDescent="0.35">
      <c r="A105" s="4"/>
      <c r="B105" s="47" t="s">
        <v>150</v>
      </c>
      <c r="C105" s="4"/>
      <c r="D105" s="4"/>
      <c r="E105" s="4"/>
      <c r="F105" s="4"/>
      <c r="G105" s="10" t="str">
        <f t="shared" si="71"/>
        <v/>
      </c>
      <c r="H105" s="67"/>
      <c r="I105" s="72"/>
      <c r="J105" s="73">
        <v>0</v>
      </c>
      <c r="K105" s="72"/>
      <c r="L105" s="73">
        <v>0</v>
      </c>
      <c r="M105" s="72"/>
      <c r="N105" s="73">
        <f>SUM(N96:N104)</f>
        <v>95711.61679174802</v>
      </c>
      <c r="O105" s="114" t="s">
        <v>237</v>
      </c>
      <c r="P105" s="73">
        <f>SUM(P96:P104)*0.9</f>
        <v>8775.7211878487706</v>
      </c>
      <c r="Q105" s="72"/>
      <c r="R105" s="73">
        <f>SUM(R96:R104)</f>
        <v>163420.37029979515</v>
      </c>
      <c r="S105" s="72"/>
      <c r="T105" s="73">
        <f>SUM(T96:T104)</f>
        <v>78281.731994959002</v>
      </c>
      <c r="U105" s="72"/>
      <c r="V105" s="73">
        <f>SUM(V96:V104)</f>
        <v>87666.604817606567</v>
      </c>
      <c r="W105" s="72"/>
      <c r="X105" s="73">
        <f>SUM(X96:X104)</f>
        <v>86486.108594590158</v>
      </c>
      <c r="Y105" s="72"/>
      <c r="Z105" s="73">
        <f>SUM(Z96:Z104)</f>
        <v>82280.29983543769</v>
      </c>
      <c r="AA105" s="72"/>
      <c r="AB105" s="73">
        <f>SUM(AB96:AB104)</f>
        <v>45989.399548331145</v>
      </c>
      <c r="AC105" s="72"/>
      <c r="AD105" s="73">
        <f>SUM(AD96:AD104)</f>
        <v>76394.235456459006</v>
      </c>
      <c r="AE105" s="72"/>
      <c r="AF105" s="73">
        <f>SUM(AF96:AF104)</f>
        <v>23609.973558557376</v>
      </c>
      <c r="AG105" s="72"/>
      <c r="AH105" s="73">
        <f>SUM(AH96:AH104)</f>
        <v>70607.986994231163</v>
      </c>
      <c r="AI105" s="114" t="s">
        <v>237</v>
      </c>
      <c r="AJ105" s="73">
        <f>SUM(AJ96:AJ104)*0.9</f>
        <v>62861.207118683611</v>
      </c>
      <c r="AK105" s="101"/>
      <c r="AL105" s="73">
        <v>0</v>
      </c>
      <c r="AM105" s="72" t="str">
        <f>IF(D105="","",#REF!+Q105+O105+M105+K105+I105)</f>
        <v/>
      </c>
      <c r="AN105" s="87">
        <f>SUM(AN96:AN104)</f>
        <v>890044.91489897331</v>
      </c>
      <c r="AO105" s="93" t="str">
        <f>IF(AN105="","",IF(SUM(J105:AL105)/AN105=1,"הכל טוב","לא טוב"))</f>
        <v>לא טוב</v>
      </c>
      <c r="AP105" t="str">
        <f>IF(SUM(AN10:AN94)=AN105,"הכל טוב","לא טוב")</f>
        <v>הכל טוב</v>
      </c>
      <c r="AR105" s="93"/>
    </row>
    <row r="106" spans="1:44" hidden="1" x14ac:dyDescent="0.25">
      <c r="I106" t="s">
        <v>168</v>
      </c>
      <c r="J106" t="str">
        <f>IF(J105=SUM('1'!I:I)/2,"הכל טוב","פספסת משהו")</f>
        <v>פספסת משהו</v>
      </c>
      <c r="K106" t="s">
        <v>168</v>
      </c>
      <c r="L106" t="str">
        <f>IF(L105=SUM('2'!I:I)/2,"הכל טוב","פספסת משהו")</f>
        <v>פספסת משהו</v>
      </c>
      <c r="M106" t="s">
        <v>168</v>
      </c>
      <c r="N106" t="str">
        <f>IF(N105='3'!I102,"הכל טוב","פספסת משהו")</f>
        <v>פספסת משהו</v>
      </c>
      <c r="O106" t="s">
        <v>168</v>
      </c>
      <c r="P106" t="str">
        <f>IF(P105='4'!I102,"הכל טוב","פספסת משהו")</f>
        <v>פספסת משהו</v>
      </c>
      <c r="Q106" t="s">
        <v>168</v>
      </c>
      <c r="R106" t="str">
        <f>IF(R105='5'!I102,"הכל טוב","פספסת משהו")</f>
        <v>הכל טוב</v>
      </c>
      <c r="S106" t="s">
        <v>168</v>
      </c>
      <c r="T106" t="str">
        <f>IF(T105='6'!I102,"הכל טוב","פספסת משהו")</f>
        <v>הכל טוב</v>
      </c>
      <c r="U106" t="s">
        <v>168</v>
      </c>
      <c r="V106" t="str">
        <f>IF(V105='7'!I102,"הכל טוב","פספסת משהו")</f>
        <v>הכל טוב</v>
      </c>
      <c r="W106" t="s">
        <v>168</v>
      </c>
      <c r="X106" t="str">
        <f>IF(X105='8'!I102,"הכל טוב","פספסת משהו")</f>
        <v>הכל טוב</v>
      </c>
      <c r="Z106" t="str">
        <f>IF(Z105='9'!I102,"הכל טוב","פספסת משהו")</f>
        <v>הכל טוב</v>
      </c>
      <c r="AB106" t="str">
        <f>IF(AB105='10'!I102,"הכל טוב","פספסת משהו")</f>
        <v>הכל טוב</v>
      </c>
      <c r="AD106" t="str">
        <f>IF(AD105='11'!I103,"הכל טוב","פספסת משהו")</f>
        <v>הכל טוב</v>
      </c>
      <c r="AE106" t="s">
        <v>168</v>
      </c>
      <c r="AF106" t="str">
        <f>IF(AF105='12'!I102,"הכל טוב","פספסת משהו")</f>
        <v>הכל טוב</v>
      </c>
      <c r="AG106" t="s">
        <v>168</v>
      </c>
      <c r="AH106" t="str">
        <f>IF(AH105='13'!I102,"הכל טוב","פספסת משהו")</f>
        <v>הכל טוב</v>
      </c>
      <c r="AI106" t="s">
        <v>168</v>
      </c>
      <c r="AJ106" t="str">
        <f>IF(AJ105='14'!H102,"הכל טוב","פספסת משהו")</f>
        <v>הכל טוב</v>
      </c>
      <c r="AO106" s="93">
        <f>SUM(I105:AL105)-SUM(AN96:AN104)</f>
        <v>-7959.6587007257622</v>
      </c>
      <c r="AP106" s="93">
        <f>SUM(AN10:AN94)-AN105</f>
        <v>0</v>
      </c>
      <c r="AR106" s="93"/>
    </row>
    <row r="107" spans="1:44" hidden="1" x14ac:dyDescent="0.25"/>
    <row r="108" spans="1:44" ht="15.6" hidden="1" x14ac:dyDescent="0.25">
      <c r="B108" s="94" t="s">
        <v>189</v>
      </c>
      <c r="C108" s="4"/>
      <c r="D108" s="4"/>
      <c r="E108" s="4"/>
      <c r="F108" s="4"/>
      <c r="G108" s="4"/>
      <c r="H108" s="4"/>
      <c r="I108" s="4"/>
      <c r="J108" s="4"/>
      <c r="K108" s="4"/>
      <c r="L108" s="4"/>
      <c r="M108" s="4" t="s">
        <v>201</v>
      </c>
      <c r="N108" s="95"/>
      <c r="O108" s="4" t="s">
        <v>201</v>
      </c>
      <c r="P108" s="4"/>
      <c r="Q108" s="4" t="s">
        <v>201</v>
      </c>
      <c r="R108" s="4"/>
      <c r="S108" s="4" t="s">
        <v>201</v>
      </c>
      <c r="T108" s="4"/>
      <c r="U108" s="4" t="s">
        <v>201</v>
      </c>
      <c r="V108" s="4"/>
      <c r="W108" s="4"/>
      <c r="X108" s="4"/>
      <c r="Y108" s="4"/>
      <c r="Z108" s="4"/>
    </row>
    <row r="109" spans="1:44" ht="15.6" hidden="1" x14ac:dyDescent="0.25">
      <c r="B109" s="94" t="s">
        <v>190</v>
      </c>
      <c r="C109" s="4"/>
      <c r="D109" s="4"/>
      <c r="E109" s="4"/>
      <c r="F109" s="4"/>
      <c r="G109" s="4"/>
      <c r="H109" s="4"/>
      <c r="I109" s="4"/>
      <c r="J109" s="4"/>
      <c r="K109" s="4"/>
      <c r="L109" s="4"/>
      <c r="M109" s="4" t="s">
        <v>201</v>
      </c>
      <c r="N109" s="95"/>
      <c r="O109" s="4" t="s">
        <v>201</v>
      </c>
      <c r="P109" s="4"/>
      <c r="Q109" s="4" t="s">
        <v>201</v>
      </c>
      <c r="R109" s="4"/>
      <c r="S109" s="4" t="s">
        <v>201</v>
      </c>
      <c r="T109" s="4"/>
      <c r="U109" s="4" t="s">
        <v>201</v>
      </c>
      <c r="V109" s="4"/>
      <c r="W109" s="4"/>
      <c r="X109" s="4"/>
      <c r="Y109" s="4"/>
      <c r="Z109" s="4"/>
    </row>
    <row r="110" spans="1:44" ht="15.6" hidden="1" x14ac:dyDescent="0.25">
      <c r="B110" s="94" t="s">
        <v>191</v>
      </c>
      <c r="C110" s="4"/>
      <c r="D110" s="4"/>
      <c r="E110" s="4"/>
      <c r="F110" s="4"/>
      <c r="G110" s="4"/>
      <c r="H110" s="4"/>
      <c r="I110" s="4"/>
      <c r="J110" s="4"/>
      <c r="K110" s="4"/>
      <c r="L110" s="4"/>
      <c r="M110" s="4" t="s">
        <v>201</v>
      </c>
      <c r="N110" s="95"/>
      <c r="O110" s="4" t="s">
        <v>201</v>
      </c>
      <c r="P110" s="4"/>
      <c r="Q110" s="4" t="s">
        <v>201</v>
      </c>
      <c r="R110" s="4"/>
      <c r="S110" s="4" t="s">
        <v>201</v>
      </c>
      <c r="T110" s="4"/>
      <c r="U110" s="4" t="s">
        <v>201</v>
      </c>
      <c r="V110" s="4"/>
      <c r="W110" s="4"/>
      <c r="X110" s="4"/>
      <c r="Y110" s="4"/>
      <c r="Z110" s="4"/>
    </row>
    <row r="111" spans="1:44" ht="55.2" hidden="1" x14ac:dyDescent="0.25">
      <c r="B111" s="94" t="s">
        <v>192</v>
      </c>
      <c r="C111" s="4"/>
      <c r="D111" s="4"/>
      <c r="E111" s="4"/>
      <c r="F111" s="4"/>
      <c r="G111" s="4"/>
      <c r="H111" s="4"/>
      <c r="I111" s="4"/>
      <c r="J111" s="4"/>
      <c r="K111" s="4"/>
      <c r="L111" s="4"/>
      <c r="M111" s="2" t="s">
        <v>226</v>
      </c>
      <c r="N111" s="95"/>
      <c r="O111" s="4" t="s">
        <v>221</v>
      </c>
      <c r="P111" s="4"/>
      <c r="Q111" s="4" t="s">
        <v>201</v>
      </c>
      <c r="R111" s="4"/>
      <c r="S111" s="4" t="s">
        <v>224</v>
      </c>
      <c r="T111" s="4"/>
      <c r="U111" s="4" t="s">
        <v>224</v>
      </c>
      <c r="V111" s="4"/>
      <c r="W111" s="4"/>
      <c r="X111" s="4"/>
      <c r="Y111" s="4"/>
      <c r="Z111" s="4"/>
    </row>
    <row r="112" spans="1:44" ht="15.6" hidden="1" x14ac:dyDescent="0.25">
      <c r="B112" s="94" t="s">
        <v>193</v>
      </c>
      <c r="C112" s="4"/>
      <c r="D112" s="4"/>
      <c r="E112" s="4"/>
      <c r="F112" s="4"/>
      <c r="G112" s="4"/>
      <c r="H112" s="4"/>
      <c r="I112" s="4"/>
      <c r="J112" s="4"/>
      <c r="K112" s="4"/>
      <c r="L112" s="4"/>
      <c r="M112" s="4" t="s">
        <v>201</v>
      </c>
      <c r="N112" s="95"/>
      <c r="O112" s="4" t="s">
        <v>221</v>
      </c>
      <c r="P112" s="10"/>
      <c r="Q112" s="4" t="s">
        <v>225</v>
      </c>
      <c r="R112" s="4"/>
      <c r="S112" s="4" t="s">
        <v>225</v>
      </c>
      <c r="T112" s="4"/>
      <c r="U112" s="4" t="s">
        <v>225</v>
      </c>
      <c r="V112" s="4"/>
      <c r="W112" s="4"/>
      <c r="X112" s="4"/>
      <c r="Y112" s="4"/>
      <c r="Z112" s="4"/>
    </row>
    <row r="113" spans="2:40" ht="15.6" hidden="1" x14ac:dyDescent="0.25">
      <c r="B113" s="94" t="s">
        <v>194</v>
      </c>
      <c r="C113" s="4"/>
      <c r="D113" s="4"/>
      <c r="E113" s="4"/>
      <c r="F113" s="4"/>
      <c r="G113" s="4"/>
      <c r="H113" s="4"/>
      <c r="I113" s="4"/>
      <c r="J113" s="4"/>
      <c r="K113" s="4"/>
      <c r="L113" s="4"/>
      <c r="M113" s="4" t="s">
        <v>201</v>
      </c>
      <c r="N113" s="95"/>
      <c r="O113" s="4" t="s">
        <v>221</v>
      </c>
      <c r="P113" s="10"/>
      <c r="Q113" s="4" t="s">
        <v>201</v>
      </c>
      <c r="R113" s="4"/>
      <c r="S113" s="4" t="s">
        <v>201</v>
      </c>
      <c r="T113" s="4"/>
      <c r="U113" s="4" t="s">
        <v>201</v>
      </c>
      <c r="V113" s="4"/>
      <c r="W113" s="4"/>
      <c r="X113" s="4"/>
      <c r="Y113" s="4"/>
      <c r="Z113" s="4"/>
    </row>
    <row r="115" spans="2:40" x14ac:dyDescent="0.25">
      <c r="P115" s="93"/>
      <c r="AN115" s="93"/>
    </row>
  </sheetData>
  <mergeCells count="56">
    <mergeCell ref="AI4:AJ4"/>
    <mergeCell ref="AI5:AJ5"/>
    <mergeCell ref="AI6:AJ6"/>
    <mergeCell ref="AK4:AL4"/>
    <mergeCell ref="AK5:AL5"/>
    <mergeCell ref="AK6:AL6"/>
    <mergeCell ref="AC4:AD4"/>
    <mergeCell ref="AC5:AD5"/>
    <mergeCell ref="AC6:AD6"/>
    <mergeCell ref="AN4:AN7"/>
    <mergeCell ref="B1:AN1"/>
    <mergeCell ref="AM4:AM7"/>
    <mergeCell ref="O4:P4"/>
    <mergeCell ref="O5:P5"/>
    <mergeCell ref="O6:P6"/>
    <mergeCell ref="Q4:R4"/>
    <mergeCell ref="Q5:R5"/>
    <mergeCell ref="Q6:R6"/>
    <mergeCell ref="F4:F7"/>
    <mergeCell ref="G4:G7"/>
    <mergeCell ref="K4:L4"/>
    <mergeCell ref="K5:L5"/>
    <mergeCell ref="AA4:AB4"/>
    <mergeCell ref="AA5:AB5"/>
    <mergeCell ref="AA6:AB6"/>
    <mergeCell ref="S4:T4"/>
    <mergeCell ref="S5:T5"/>
    <mergeCell ref="S6:T6"/>
    <mergeCell ref="Y4:Z4"/>
    <mergeCell ref="Y5:Z5"/>
    <mergeCell ref="Y6:Z6"/>
    <mergeCell ref="U4:V4"/>
    <mergeCell ref="U5:V5"/>
    <mergeCell ref="U6:V6"/>
    <mergeCell ref="W4:X4"/>
    <mergeCell ref="W5:X5"/>
    <mergeCell ref="W6:X6"/>
    <mergeCell ref="H4:H7"/>
    <mergeCell ref="A4:A7"/>
    <mergeCell ref="B4:B7"/>
    <mergeCell ref="C4:C7"/>
    <mergeCell ref="D4:D7"/>
    <mergeCell ref="E4:E7"/>
    <mergeCell ref="K6:L6"/>
    <mergeCell ref="M4:N4"/>
    <mergeCell ref="M5:N5"/>
    <mergeCell ref="M6:N6"/>
    <mergeCell ref="I4:J4"/>
    <mergeCell ref="I5:J5"/>
    <mergeCell ref="I6:J6"/>
    <mergeCell ref="AE4:AF4"/>
    <mergeCell ref="AE5:AF5"/>
    <mergeCell ref="AE6:AF6"/>
    <mergeCell ref="AG4:AH4"/>
    <mergeCell ref="AG5:AH5"/>
    <mergeCell ref="AG6:AH6"/>
  </mergeCells>
  <conditionalFormatting sqref="A25:C25">
    <cfRule type="expression" dxfId="53" priority="6">
      <formula>$K25="אין"</formula>
    </cfRule>
  </conditionalFormatting>
  <conditionalFormatting sqref="A81:C81">
    <cfRule type="expression" dxfId="52" priority="11">
      <formula>$K81="אין"</formula>
    </cfRule>
  </conditionalFormatting>
  <conditionalFormatting sqref="C77:C78 E77:F78">
    <cfRule type="expression" dxfId="51" priority="12">
      <formula>$K77="אין"</formula>
    </cfRule>
  </conditionalFormatting>
  <conditionalFormatting sqref="E36:F36">
    <cfRule type="expression" dxfId="50" priority="16">
      <formula>$K36="אין"</formula>
    </cfRule>
  </conditionalFormatting>
  <conditionalFormatting sqref="E53:F53">
    <cfRule type="expression" dxfId="49" priority="14">
      <formula>$K53="אין"</formula>
    </cfRule>
  </conditionalFormatting>
  <conditionalFormatting sqref="E56:G61">
    <cfRule type="expression" dxfId="48" priority="7">
      <formula>$K56="אין"</formula>
    </cfRule>
  </conditionalFormatting>
  <conditionalFormatting sqref="H44:H45 E45:F45 A56:B61">
    <cfRule type="expression" dxfId="47" priority="8">
      <formula>$K44="אין"</formula>
    </cfRule>
  </conditionalFormatting>
  <conditionalFormatting sqref="J106">
    <cfRule type="containsText" dxfId="46" priority="22" operator="containsText" text="הכל טוב">
      <formula>NOT(ISERROR(SEARCH("הכל טוב",J106)))</formula>
    </cfRule>
  </conditionalFormatting>
  <conditionalFormatting sqref="L106">
    <cfRule type="containsText" dxfId="45" priority="21" operator="containsText" text="הכל טוב">
      <formula>NOT(ISERROR(SEARCH("הכל טוב",L106)))</formula>
    </cfRule>
  </conditionalFormatting>
  <conditionalFormatting sqref="N106">
    <cfRule type="containsText" dxfId="44" priority="20" operator="containsText" text="הכל טוב">
      <formula>NOT(ISERROR(SEARCH("הכל טוב",N106)))</formula>
    </cfRule>
  </conditionalFormatting>
  <conditionalFormatting sqref="P106">
    <cfRule type="containsText" dxfId="43" priority="19" operator="containsText" text="הכל טוב">
      <formula>NOT(ISERROR(SEARCH("הכל טוב",P106)))</formula>
    </cfRule>
  </conditionalFormatting>
  <conditionalFormatting sqref="R106 T106 V106">
    <cfRule type="containsText" dxfId="42" priority="18" operator="containsText" text="הכל טוב">
      <formula>NOT(ISERROR(SEARCH("הכל טוב",R106)))</formula>
    </cfRule>
  </conditionalFormatting>
  <conditionalFormatting sqref="X106:AL106">
    <cfRule type="containsText" dxfId="41" priority="1" operator="containsText" text="הכל טוב">
      <formula>NOT(ISERROR(SEARCH("הכל טוב",X106)))</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F4560-C8ED-42D7-A983-9A911B1E3ED1}">
  <dimension ref="A1:I10"/>
  <sheetViews>
    <sheetView rightToLeft="1" zoomScaleNormal="100" workbookViewId="0">
      <selection activeCell="D9" sqref="D9"/>
    </sheetView>
  </sheetViews>
  <sheetFormatPr defaultRowHeight="13.8" x14ac:dyDescent="0.25"/>
  <cols>
    <col min="1" max="1" width="11.69921875" customWidth="1"/>
    <col min="2" max="2" width="63" customWidth="1"/>
    <col min="3" max="3" width="10.3984375" bestFit="1" customWidth="1"/>
    <col min="4" max="4" width="10.09765625" customWidth="1"/>
    <col min="5" max="5" width="10.19921875" bestFit="1" customWidth="1"/>
    <col min="6" max="6" width="10.19921875" customWidth="1"/>
    <col min="7" max="7" width="12.19921875" customWidth="1"/>
    <col min="8" max="8" width="14" bestFit="1" customWidth="1"/>
    <col min="9" max="9" width="13.3984375" bestFit="1" customWidth="1"/>
  </cols>
  <sheetData>
    <row r="1" spans="1:9" ht="17.399999999999999" x14ac:dyDescent="0.3">
      <c r="A1" s="12"/>
      <c r="B1" s="13"/>
      <c r="C1" s="12" t="s">
        <v>202</v>
      </c>
      <c r="D1" s="40">
        <v>1570</v>
      </c>
      <c r="E1" s="15"/>
      <c r="F1" s="14"/>
      <c r="G1" s="14"/>
      <c r="H1" s="13"/>
      <c r="I1" s="13"/>
    </row>
    <row r="2" spans="1:9" ht="14.4" x14ac:dyDescent="0.3">
      <c r="A2" s="38"/>
      <c r="B2" s="13"/>
      <c r="C2" s="39"/>
      <c r="D2" s="14"/>
      <c r="E2" s="15"/>
      <c r="F2" s="14"/>
      <c r="G2" s="14"/>
      <c r="H2" s="13"/>
      <c r="I2" s="13"/>
    </row>
    <row r="3" spans="1:9" ht="21" x14ac:dyDescent="0.4">
      <c r="A3" s="16"/>
      <c r="B3" s="17"/>
      <c r="C3" s="18"/>
      <c r="D3" s="19"/>
      <c r="E3" s="20"/>
      <c r="F3" s="19"/>
      <c r="G3" s="19"/>
      <c r="H3" s="19"/>
      <c r="I3" s="19"/>
    </row>
    <row r="4" spans="1:9" ht="14.4" x14ac:dyDescent="0.3">
      <c r="A4" s="21"/>
      <c r="B4" s="22"/>
      <c r="C4" s="23"/>
      <c r="D4" s="24"/>
      <c r="E4" s="25"/>
      <c r="F4" s="24"/>
      <c r="G4" s="24"/>
      <c r="H4" s="24"/>
      <c r="I4" s="24"/>
    </row>
    <row r="5" spans="1:9" ht="15" thickBot="1" x14ac:dyDescent="0.35">
      <c r="A5" s="21"/>
      <c r="B5" s="22"/>
      <c r="C5" s="23"/>
      <c r="D5" s="24"/>
      <c r="E5" s="25"/>
      <c r="F5" s="24"/>
      <c r="G5" s="26"/>
      <c r="H5" s="26"/>
      <c r="I5" s="24"/>
    </row>
    <row r="6" spans="1:9" ht="29.4" thickTop="1" x14ac:dyDescent="0.3">
      <c r="A6" s="50" t="s">
        <v>0</v>
      </c>
      <c r="B6" s="51" t="s">
        <v>1</v>
      </c>
      <c r="C6" s="52" t="s">
        <v>2</v>
      </c>
      <c r="D6" s="53" t="s">
        <v>147</v>
      </c>
      <c r="E6" s="66" t="s">
        <v>142</v>
      </c>
      <c r="F6" s="66" t="s">
        <v>143</v>
      </c>
      <c r="G6" s="66" t="s">
        <v>144</v>
      </c>
      <c r="H6" s="66" t="s">
        <v>145</v>
      </c>
      <c r="I6" s="53" t="s">
        <v>151</v>
      </c>
    </row>
    <row r="7" spans="1:9" ht="55.8" x14ac:dyDescent="0.3">
      <c r="A7" s="48" t="s">
        <v>162</v>
      </c>
      <c r="B7" s="2" t="s">
        <v>163</v>
      </c>
      <c r="C7" s="3" t="s">
        <v>164</v>
      </c>
      <c r="D7" s="3">
        <v>1</v>
      </c>
      <c r="E7" s="41">
        <v>3500</v>
      </c>
      <c r="F7" s="10">
        <f t="shared" ref="F7:F8" si="0">IF(E7="","",E7*0.15)</f>
        <v>525</v>
      </c>
      <c r="G7" s="10">
        <f t="shared" ref="G7:G8" si="1">IF(E7="","",E7*0.05)</f>
        <v>175</v>
      </c>
      <c r="H7" s="10">
        <f>E7*1.05*0.85</f>
        <v>3123.75</v>
      </c>
      <c r="I7" s="57">
        <f>H7*D7</f>
        <v>3123.75</v>
      </c>
    </row>
    <row r="8" spans="1:9" ht="42" x14ac:dyDescent="0.3">
      <c r="A8" s="9" t="s">
        <v>136</v>
      </c>
      <c r="B8" s="2" t="s">
        <v>137</v>
      </c>
      <c r="C8" s="3" t="s">
        <v>24</v>
      </c>
      <c r="D8" s="3">
        <v>8.5489999999999995</v>
      </c>
      <c r="E8" s="41">
        <v>129.78</v>
      </c>
      <c r="F8" s="10">
        <f t="shared" si="0"/>
        <v>19.466999999999999</v>
      </c>
      <c r="G8" s="10">
        <f t="shared" si="1"/>
        <v>6.4890000000000008</v>
      </c>
      <c r="H8" s="10">
        <f>E8*1.05*0.85</f>
        <v>115.82865</v>
      </c>
      <c r="I8" s="57">
        <f>H8*D8</f>
        <v>990.21912884999995</v>
      </c>
    </row>
    <row r="10" spans="1:9" x14ac:dyDescent="0.25">
      <c r="H10" t="s">
        <v>150</v>
      </c>
      <c r="I10" s="11">
        <f>SUM(I7:I9)</f>
        <v>4113.9691288499998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3999-45C9-4AB8-92A6-5A2769F13565}">
  <dimension ref="A1:I10"/>
  <sheetViews>
    <sheetView rightToLeft="1" zoomScaleNormal="100" workbookViewId="0">
      <selection sqref="A1:I10"/>
    </sheetView>
  </sheetViews>
  <sheetFormatPr defaultRowHeight="13.8" x14ac:dyDescent="0.25"/>
  <cols>
    <col min="1" max="1" width="11.69921875" customWidth="1"/>
    <col min="2" max="2" width="63" customWidth="1"/>
    <col min="3" max="3" width="8.19921875" customWidth="1"/>
    <col min="4" max="4" width="10.09765625" customWidth="1"/>
    <col min="5" max="5" width="10.19921875" bestFit="1" customWidth="1"/>
    <col min="6" max="6" width="10.19921875" customWidth="1"/>
    <col min="7" max="7" width="12.19921875" customWidth="1"/>
    <col min="8" max="8" width="14" bestFit="1" customWidth="1"/>
    <col min="9" max="9" width="13.3984375" bestFit="1" customWidth="1"/>
  </cols>
  <sheetData>
    <row r="1" spans="1:9" ht="17.399999999999999" x14ac:dyDescent="0.3">
      <c r="A1" s="12"/>
      <c r="B1" s="13"/>
      <c r="C1" s="12" t="s">
        <v>203</v>
      </c>
      <c r="D1" s="40">
        <v>1781</v>
      </c>
      <c r="E1" s="15"/>
      <c r="F1" s="14"/>
      <c r="G1" s="14"/>
      <c r="H1" s="13"/>
      <c r="I1" s="13"/>
    </row>
    <row r="2" spans="1:9" ht="14.4" x14ac:dyDescent="0.3">
      <c r="A2" s="38"/>
      <c r="B2" s="13"/>
      <c r="C2" s="39"/>
      <c r="D2" s="14"/>
      <c r="E2" s="15"/>
      <c r="F2" s="14"/>
      <c r="G2" s="14"/>
      <c r="H2" s="13"/>
      <c r="I2" s="13"/>
    </row>
    <row r="3" spans="1:9" ht="21" x14ac:dyDescent="0.4">
      <c r="A3" s="16"/>
      <c r="B3" s="17"/>
      <c r="C3" s="18"/>
      <c r="D3" s="19"/>
      <c r="E3" s="20"/>
      <c r="F3" s="19"/>
      <c r="G3" s="19"/>
      <c r="H3" s="19"/>
      <c r="I3" s="19"/>
    </row>
    <row r="4" spans="1:9" ht="14.4" x14ac:dyDescent="0.3">
      <c r="A4" s="21"/>
      <c r="B4" s="22"/>
      <c r="C4" s="23"/>
      <c r="D4" s="24"/>
      <c r="E4" s="25"/>
      <c r="F4" s="24"/>
      <c r="G4" s="24"/>
      <c r="H4" s="24"/>
      <c r="I4" s="24"/>
    </row>
    <row r="5" spans="1:9" ht="15" thickBot="1" x14ac:dyDescent="0.35">
      <c r="A5" s="21"/>
      <c r="B5" s="22"/>
      <c r="C5" s="23"/>
      <c r="D5" s="24"/>
      <c r="E5" s="25"/>
      <c r="F5" s="24"/>
      <c r="G5" s="26"/>
      <c r="H5" s="26"/>
      <c r="I5" s="24"/>
    </row>
    <row r="6" spans="1:9" ht="29.4" thickTop="1" x14ac:dyDescent="0.3">
      <c r="A6" s="50" t="s">
        <v>0</v>
      </c>
      <c r="B6" s="51" t="s">
        <v>1</v>
      </c>
      <c r="C6" s="52" t="s">
        <v>2</v>
      </c>
      <c r="D6" s="53" t="s">
        <v>147</v>
      </c>
      <c r="E6" s="66" t="s">
        <v>142</v>
      </c>
      <c r="F6" s="66" t="s">
        <v>143</v>
      </c>
      <c r="G6" s="66" t="s">
        <v>144</v>
      </c>
      <c r="H6" s="66" t="s">
        <v>145</v>
      </c>
      <c r="I6" s="53" t="s">
        <v>151</v>
      </c>
    </row>
    <row r="7" spans="1:9" ht="55.8" x14ac:dyDescent="0.3">
      <c r="A7" s="48" t="s">
        <v>162</v>
      </c>
      <c r="B7" s="2" t="s">
        <v>163</v>
      </c>
      <c r="C7" s="3" t="s">
        <v>164</v>
      </c>
      <c r="D7" s="3">
        <v>1</v>
      </c>
      <c r="E7" s="41">
        <v>3500</v>
      </c>
      <c r="F7" s="10">
        <f t="shared" ref="F7" si="0">IF(E7="","",E7*0.15)</f>
        <v>525</v>
      </c>
      <c r="G7" s="10">
        <f t="shared" ref="G7" si="1">IF(E7="","",E7*0.05)</f>
        <v>175</v>
      </c>
      <c r="H7" s="10">
        <f>IF(E7="","",E7*1.05*0.85)</f>
        <v>3123.75</v>
      </c>
      <c r="I7" s="57">
        <f>H7*D7</f>
        <v>3123.75</v>
      </c>
    </row>
    <row r="8" spans="1:9" ht="42" x14ac:dyDescent="0.3">
      <c r="A8" s="9" t="s">
        <v>136</v>
      </c>
      <c r="B8" s="2" t="s">
        <v>137</v>
      </c>
      <c r="C8" s="3" t="s">
        <v>24</v>
      </c>
      <c r="D8" s="3">
        <v>1.05</v>
      </c>
      <c r="E8" s="41">
        <v>129.78</v>
      </c>
      <c r="F8" s="10">
        <f t="shared" ref="F8" si="2">IF(E8="","",E8*0.15)</f>
        <v>19.466999999999999</v>
      </c>
      <c r="G8" s="10">
        <f t="shared" ref="G8" si="3">IF(E8="","",E8*0.05)</f>
        <v>6.4890000000000008</v>
      </c>
      <c r="H8" s="10">
        <f>IF(E8="","",E8*1.05*0.85)</f>
        <v>115.82865</v>
      </c>
      <c r="I8" s="57">
        <f>H8*D8</f>
        <v>121.6200825</v>
      </c>
    </row>
    <row r="10" spans="1:9" x14ac:dyDescent="0.25">
      <c r="H10" t="s">
        <v>150</v>
      </c>
      <c r="I10" s="11">
        <f>SUM(I7:I9)</f>
        <v>3245.3700825000001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23075-3F58-4830-A857-97FEE4A8845B}">
  <sheetPr>
    <tabColor rgb="FFFFFF00"/>
    <pageSetUpPr fitToPage="1"/>
  </sheetPr>
  <dimension ref="A1:O104"/>
  <sheetViews>
    <sheetView rightToLeft="1" topLeftCell="A12" zoomScale="85" zoomScaleNormal="85" workbookViewId="0">
      <selection activeCell="B15" sqref="B15"/>
    </sheetView>
  </sheetViews>
  <sheetFormatPr defaultColWidth="8.69921875" defaultRowHeight="14.4" x14ac:dyDescent="0.3"/>
  <cols>
    <col min="1" max="1" width="11.69921875" style="38" customWidth="1"/>
    <col min="2" max="2" width="63" style="13" customWidth="1"/>
    <col min="3" max="3" width="8.19921875" style="39" customWidth="1"/>
    <col min="4" max="4" width="10.09765625" style="14" customWidth="1"/>
    <col min="5" max="5" width="11.19921875" style="15" bestFit="1" customWidth="1"/>
    <col min="6" max="6" width="10.19921875" style="14" customWidth="1"/>
    <col min="7" max="7" width="12.19921875" style="14" customWidth="1"/>
    <col min="8" max="8" width="14" style="13" bestFit="1" customWidth="1"/>
    <col min="9" max="9" width="13.3984375" style="13" bestFit="1" customWidth="1"/>
    <col min="10" max="10" width="8.69921875" style="13"/>
    <col min="11" max="11" width="13.19921875" style="13" bestFit="1" customWidth="1"/>
    <col min="12" max="12" width="11.19921875" style="13" bestFit="1" customWidth="1"/>
    <col min="13" max="16384" width="8.69921875" style="13"/>
  </cols>
  <sheetData>
    <row r="1" spans="1:12" ht="17.399999999999999" x14ac:dyDescent="0.3">
      <c r="A1" s="12"/>
      <c r="C1" s="89" t="s">
        <v>217</v>
      </c>
      <c r="D1" s="40">
        <v>1573</v>
      </c>
    </row>
    <row r="3" spans="1:12" ht="21" x14ac:dyDescent="0.4">
      <c r="A3" s="16"/>
      <c r="B3" s="17"/>
      <c r="C3" s="18"/>
      <c r="D3" s="19"/>
      <c r="E3" s="20"/>
      <c r="F3" s="19"/>
      <c r="G3" s="19"/>
      <c r="H3" s="19"/>
      <c r="I3" s="19"/>
    </row>
    <row r="4" spans="1:12" x14ac:dyDescent="0.3">
      <c r="A4" s="21"/>
      <c r="B4" s="22"/>
      <c r="C4" s="23"/>
      <c r="D4" s="24"/>
      <c r="E4" s="25"/>
      <c r="F4" s="24"/>
      <c r="G4" s="24"/>
      <c r="H4" s="24"/>
      <c r="I4" s="24"/>
    </row>
    <row r="5" spans="1:12" ht="15" thickBot="1" x14ac:dyDescent="0.35">
      <c r="A5" s="21"/>
      <c r="B5" s="22"/>
      <c r="C5" s="23"/>
      <c r="D5" s="24"/>
      <c r="E5" s="25"/>
      <c r="F5" s="24"/>
      <c r="G5" s="26"/>
      <c r="H5" s="26"/>
      <c r="I5" s="24"/>
    </row>
    <row r="6" spans="1:12" ht="29.4" thickTop="1" x14ac:dyDescent="0.3">
      <c r="A6" s="50" t="s">
        <v>0</v>
      </c>
      <c r="B6" s="51" t="s">
        <v>1</v>
      </c>
      <c r="C6" s="52" t="s">
        <v>2</v>
      </c>
      <c r="D6" s="53" t="s">
        <v>147</v>
      </c>
      <c r="E6" s="66" t="s">
        <v>142</v>
      </c>
      <c r="F6" s="66" t="s">
        <v>143</v>
      </c>
      <c r="G6" s="66" t="s">
        <v>144</v>
      </c>
      <c r="H6" s="66" t="s">
        <v>145</v>
      </c>
      <c r="I6" s="53" t="s">
        <v>151</v>
      </c>
    </row>
    <row r="7" spans="1:12" x14ac:dyDescent="0.3">
      <c r="A7" s="63" t="s">
        <v>179</v>
      </c>
      <c r="B7" s="55" t="s">
        <v>180</v>
      </c>
      <c r="C7" s="56" t="s">
        <v>125</v>
      </c>
      <c r="D7" s="14">
        <v>2</v>
      </c>
      <c r="E7" s="41">
        <v>150</v>
      </c>
      <c r="F7" s="10">
        <f>IF(E7="","",E7*0.15)</f>
        <v>22.5</v>
      </c>
      <c r="G7" s="10">
        <f>IF(E7="","",E7*0.05)</f>
        <v>7.5</v>
      </c>
      <c r="H7" s="10">
        <f>IF(E7="","",E7*1.05*0.85)</f>
        <v>133.875</v>
      </c>
      <c r="I7" s="57">
        <f>IF(D7="","",H7*D7)</f>
        <v>267.75</v>
      </c>
      <c r="K7" s="38"/>
      <c r="L7" s="112"/>
    </row>
    <row r="8" spans="1:12" s="27" customFormat="1" ht="15.6" x14ac:dyDescent="0.3">
      <c r="A8" s="59" t="s">
        <v>5</v>
      </c>
      <c r="B8" s="60" t="s">
        <v>6</v>
      </c>
      <c r="C8" s="61" t="s">
        <v>3</v>
      </c>
      <c r="D8" s="62" t="s">
        <v>3</v>
      </c>
      <c r="E8" s="41" t="s">
        <v>3</v>
      </c>
      <c r="F8" s="62" t="s">
        <v>3</v>
      </c>
      <c r="G8" s="62"/>
      <c r="H8" s="10" t="str">
        <f t="shared" ref="H8:H77" si="0">IF(E8="","",E8*1.05*0.85)</f>
        <v/>
      </c>
      <c r="I8" s="62"/>
      <c r="K8" s="38"/>
      <c r="L8" s="112"/>
    </row>
    <row r="9" spans="1:12" s="27" customFormat="1" ht="15.6" x14ac:dyDescent="0.3">
      <c r="A9" s="59" t="s">
        <v>7</v>
      </c>
      <c r="B9" s="60" t="s">
        <v>8</v>
      </c>
      <c r="C9" s="61" t="s">
        <v>3</v>
      </c>
      <c r="D9" s="62" t="s">
        <v>3</v>
      </c>
      <c r="E9" s="41" t="s">
        <v>3</v>
      </c>
      <c r="F9" s="62" t="s">
        <v>3</v>
      </c>
      <c r="G9" s="62"/>
      <c r="H9" s="10" t="str">
        <f t="shared" si="0"/>
        <v/>
      </c>
      <c r="I9" s="62"/>
      <c r="K9" s="38"/>
      <c r="L9" s="112"/>
    </row>
    <row r="10" spans="1:12" ht="57.6" x14ac:dyDescent="0.3">
      <c r="A10" s="63" t="s">
        <v>9</v>
      </c>
      <c r="B10" s="55" t="s">
        <v>10</v>
      </c>
      <c r="C10" s="56" t="s">
        <v>4</v>
      </c>
      <c r="D10" s="57">
        <v>43.4</v>
      </c>
      <c r="E10" s="41">
        <v>64</v>
      </c>
      <c r="F10" s="10">
        <f>IF(E10="","",E10*0.15)</f>
        <v>9.6</v>
      </c>
      <c r="G10" s="10">
        <f>IF(E10="","",E10*0.05)</f>
        <v>3.2</v>
      </c>
      <c r="H10" s="10">
        <f t="shared" si="0"/>
        <v>57.12</v>
      </c>
      <c r="I10" s="57">
        <f>IF(D10="","",H10*D10)</f>
        <v>2479.0079999999998</v>
      </c>
      <c r="K10" s="38"/>
      <c r="L10" s="112"/>
    </row>
    <row r="11" spans="1:12" s="27" customFormat="1" ht="15.6" x14ac:dyDescent="0.3">
      <c r="A11" s="59" t="s">
        <v>11</v>
      </c>
      <c r="B11" s="60" t="s">
        <v>12</v>
      </c>
      <c r="C11" s="61" t="s">
        <v>3</v>
      </c>
      <c r="D11" s="62" t="s">
        <v>3</v>
      </c>
      <c r="E11" s="41" t="s">
        <v>3</v>
      </c>
      <c r="F11" s="10" t="str">
        <f t="shared" ref="F11:F81" si="1">IF(E11="","",E11*0.15)</f>
        <v/>
      </c>
      <c r="G11" s="10" t="str">
        <f t="shared" ref="G11:G81" si="2">IF(E11="","",E11*0.05)</f>
        <v/>
      </c>
      <c r="H11" s="10" t="str">
        <f t="shared" si="0"/>
        <v/>
      </c>
      <c r="I11" s="57" t="str">
        <f t="shared" ref="I11:I81" si="3">IF(D11="","",H11*D11)</f>
        <v/>
      </c>
      <c r="K11" s="38"/>
      <c r="L11" s="112"/>
    </row>
    <row r="12" spans="1:12" s="27" customFormat="1" ht="15.6" x14ac:dyDescent="0.3">
      <c r="A12" s="59" t="s">
        <v>13</v>
      </c>
      <c r="B12" s="60" t="s">
        <v>14</v>
      </c>
      <c r="C12" s="61" t="s">
        <v>3</v>
      </c>
      <c r="D12" s="62" t="s">
        <v>3</v>
      </c>
      <c r="E12" s="41" t="s">
        <v>3</v>
      </c>
      <c r="F12" s="10" t="str">
        <f t="shared" si="1"/>
        <v/>
      </c>
      <c r="G12" s="10" t="str">
        <f t="shared" si="2"/>
        <v/>
      </c>
      <c r="H12" s="10" t="str">
        <f t="shared" si="0"/>
        <v/>
      </c>
      <c r="I12" s="57" t="str">
        <f t="shared" si="3"/>
        <v/>
      </c>
      <c r="K12" s="38"/>
      <c r="L12" s="112"/>
    </row>
    <row r="13" spans="1:12" ht="43.2" x14ac:dyDescent="0.3">
      <c r="A13" s="63" t="s">
        <v>15</v>
      </c>
      <c r="B13" s="55" t="s">
        <v>16</v>
      </c>
      <c r="C13" s="56" t="s">
        <v>17</v>
      </c>
      <c r="D13" s="142">
        <v>5</v>
      </c>
      <c r="E13" s="41">
        <v>1770</v>
      </c>
      <c r="F13" s="10">
        <f t="shared" si="1"/>
        <v>265.5</v>
      </c>
      <c r="G13" s="10">
        <f t="shared" si="2"/>
        <v>88.5</v>
      </c>
      <c r="H13" s="10">
        <f t="shared" si="0"/>
        <v>1579.7249999999999</v>
      </c>
      <c r="I13" s="57">
        <f t="shared" si="3"/>
        <v>7898.625</v>
      </c>
      <c r="K13" s="38"/>
      <c r="L13" s="112"/>
    </row>
    <row r="14" spans="1:12" x14ac:dyDescent="0.3">
      <c r="A14" s="54"/>
      <c r="B14" s="55"/>
      <c r="C14" s="56"/>
      <c r="D14" s="57"/>
      <c r="E14" s="41" t="s">
        <v>3</v>
      </c>
      <c r="F14" s="10" t="str">
        <f t="shared" si="1"/>
        <v/>
      </c>
      <c r="G14" s="10" t="str">
        <f t="shared" si="2"/>
        <v/>
      </c>
      <c r="H14" s="10" t="str">
        <f t="shared" si="0"/>
        <v/>
      </c>
      <c r="I14" s="57" t="str">
        <f t="shared" si="3"/>
        <v/>
      </c>
      <c r="K14" s="38"/>
      <c r="L14" s="112"/>
    </row>
    <row r="15" spans="1:12" s="27" customFormat="1" ht="15.6" x14ac:dyDescent="0.3">
      <c r="A15" s="59" t="s">
        <v>18</v>
      </c>
      <c r="B15" s="60" t="s">
        <v>19</v>
      </c>
      <c r="C15" s="61" t="s">
        <v>3</v>
      </c>
      <c r="D15" s="62" t="s">
        <v>3</v>
      </c>
      <c r="E15" s="41" t="s">
        <v>3</v>
      </c>
      <c r="F15" s="10" t="str">
        <f t="shared" si="1"/>
        <v/>
      </c>
      <c r="G15" s="10" t="str">
        <f t="shared" si="2"/>
        <v/>
      </c>
      <c r="H15" s="10" t="str">
        <f t="shared" si="0"/>
        <v/>
      </c>
      <c r="I15" s="57" t="str">
        <f t="shared" si="3"/>
        <v/>
      </c>
      <c r="K15" s="38"/>
      <c r="L15" s="112"/>
    </row>
    <row r="16" spans="1:12" s="27" customFormat="1" ht="15.6" x14ac:dyDescent="0.3">
      <c r="A16" s="59" t="s">
        <v>20</v>
      </c>
      <c r="B16" s="60" t="s">
        <v>21</v>
      </c>
      <c r="C16" s="61" t="s">
        <v>3</v>
      </c>
      <c r="D16" s="62" t="s">
        <v>3</v>
      </c>
      <c r="E16" s="41" t="s">
        <v>3</v>
      </c>
      <c r="F16" s="10" t="str">
        <f t="shared" si="1"/>
        <v/>
      </c>
      <c r="G16" s="10" t="str">
        <f t="shared" si="2"/>
        <v/>
      </c>
      <c r="H16" s="10" t="str">
        <f t="shared" si="0"/>
        <v/>
      </c>
      <c r="I16" s="57" t="str">
        <f t="shared" si="3"/>
        <v/>
      </c>
      <c r="K16" s="38"/>
      <c r="L16" s="112"/>
    </row>
    <row r="17" spans="1:12" ht="28.8" x14ac:dyDescent="0.3">
      <c r="A17" s="63" t="s">
        <v>22</v>
      </c>
      <c r="B17" s="55" t="s">
        <v>23</v>
      </c>
      <c r="C17" s="56" t="s">
        <v>24</v>
      </c>
      <c r="D17" s="57">
        <v>0</v>
      </c>
      <c r="E17" s="41">
        <v>1760</v>
      </c>
      <c r="F17" s="10">
        <f t="shared" si="1"/>
        <v>264</v>
      </c>
      <c r="G17" s="10">
        <f t="shared" si="2"/>
        <v>88</v>
      </c>
      <c r="H17" s="10">
        <f t="shared" si="0"/>
        <v>1570.8</v>
      </c>
      <c r="I17" s="57">
        <f t="shared" si="3"/>
        <v>0</v>
      </c>
      <c r="K17" s="38"/>
      <c r="L17" s="112"/>
    </row>
    <row r="18" spans="1:12" ht="28.8" x14ac:dyDescent="0.3">
      <c r="A18" s="63" t="s">
        <v>25</v>
      </c>
      <c r="B18" s="55" t="s">
        <v>26</v>
      </c>
      <c r="C18" s="56" t="s">
        <v>24</v>
      </c>
      <c r="D18" s="138">
        <f>1.7*1.45*5</f>
        <v>12.324999999999999</v>
      </c>
      <c r="E18" s="41">
        <v>1980</v>
      </c>
      <c r="F18" s="10">
        <f t="shared" si="1"/>
        <v>297</v>
      </c>
      <c r="G18" s="10">
        <f t="shared" si="2"/>
        <v>99</v>
      </c>
      <c r="H18" s="10">
        <f t="shared" si="0"/>
        <v>1767.1499999999999</v>
      </c>
      <c r="I18" s="57">
        <f t="shared" si="3"/>
        <v>21780.123749999999</v>
      </c>
      <c r="K18" s="38"/>
      <c r="L18" s="112"/>
    </row>
    <row r="19" spans="1:12" ht="28.8" x14ac:dyDescent="0.3">
      <c r="A19" s="63" t="s">
        <v>27</v>
      </c>
      <c r="B19" s="55" t="s">
        <v>28</v>
      </c>
      <c r="C19" s="56" t="s">
        <v>24</v>
      </c>
      <c r="D19" s="57">
        <v>0</v>
      </c>
      <c r="E19" s="41">
        <v>2210</v>
      </c>
      <c r="F19" s="10">
        <f t="shared" si="1"/>
        <v>331.5</v>
      </c>
      <c r="G19" s="10">
        <f t="shared" si="2"/>
        <v>110.5</v>
      </c>
      <c r="H19" s="10">
        <f t="shared" si="0"/>
        <v>1972.425</v>
      </c>
      <c r="I19" s="57">
        <f t="shared" si="3"/>
        <v>0</v>
      </c>
      <c r="K19" s="38"/>
      <c r="L19" s="112"/>
    </row>
    <row r="20" spans="1:12" ht="28.8" x14ac:dyDescent="0.3">
      <c r="A20" s="63" t="s">
        <v>29</v>
      </c>
      <c r="B20" s="55" t="s">
        <v>30</v>
      </c>
      <c r="C20" s="56" t="s">
        <v>17</v>
      </c>
      <c r="D20" s="57">
        <v>0</v>
      </c>
      <c r="E20" s="41">
        <v>0.15</v>
      </c>
      <c r="F20" s="10">
        <f t="shared" si="1"/>
        <v>2.2499999999999999E-2</v>
      </c>
      <c r="G20" s="10">
        <f t="shared" si="2"/>
        <v>7.4999999999999997E-3</v>
      </c>
      <c r="H20" s="10">
        <f t="shared" si="0"/>
        <v>0.13387499999999999</v>
      </c>
      <c r="I20" s="57">
        <f t="shared" si="3"/>
        <v>0</v>
      </c>
      <c r="K20" s="38"/>
      <c r="L20" s="112"/>
    </row>
    <row r="21" spans="1:12" x14ac:dyDescent="0.3">
      <c r="A21" s="63" t="s">
        <v>31</v>
      </c>
      <c r="B21" s="55" t="s">
        <v>32</v>
      </c>
      <c r="C21" s="56" t="s">
        <v>2</v>
      </c>
      <c r="D21" s="57">
        <v>0</v>
      </c>
      <c r="E21" s="41">
        <v>140</v>
      </c>
      <c r="F21" s="10">
        <f t="shared" si="1"/>
        <v>21</v>
      </c>
      <c r="G21" s="10">
        <f t="shared" si="2"/>
        <v>7</v>
      </c>
      <c r="H21" s="10">
        <f t="shared" si="0"/>
        <v>124.95</v>
      </c>
      <c r="I21" s="57">
        <f t="shared" si="3"/>
        <v>0</v>
      </c>
      <c r="K21" s="38"/>
      <c r="L21" s="112"/>
    </row>
    <row r="22" spans="1:12" x14ac:dyDescent="0.3">
      <c r="A22" s="63" t="s">
        <v>33</v>
      </c>
      <c r="B22" s="55" t="s">
        <v>34</v>
      </c>
      <c r="C22" s="56" t="s">
        <v>2</v>
      </c>
      <c r="D22" s="57">
        <v>5</v>
      </c>
      <c r="E22" s="41">
        <v>240</v>
      </c>
      <c r="F22" s="10">
        <f t="shared" si="1"/>
        <v>36</v>
      </c>
      <c r="G22" s="10">
        <f t="shared" si="2"/>
        <v>12</v>
      </c>
      <c r="H22" s="10">
        <f t="shared" si="0"/>
        <v>214.2</v>
      </c>
      <c r="I22" s="57">
        <f t="shared" si="3"/>
        <v>1071</v>
      </c>
      <c r="K22" s="38"/>
      <c r="L22" s="112"/>
    </row>
    <row r="23" spans="1:12" x14ac:dyDescent="0.3">
      <c r="A23" s="63" t="s">
        <v>35</v>
      </c>
      <c r="B23" s="55" t="s">
        <v>36</v>
      </c>
      <c r="C23" s="56" t="s">
        <v>2</v>
      </c>
      <c r="D23" s="57">
        <v>0</v>
      </c>
      <c r="E23" s="41">
        <v>310</v>
      </c>
      <c r="F23" s="10">
        <f t="shared" si="1"/>
        <v>46.5</v>
      </c>
      <c r="G23" s="10">
        <f t="shared" si="2"/>
        <v>15.5</v>
      </c>
      <c r="H23" s="10">
        <f t="shared" si="0"/>
        <v>276.67500000000001</v>
      </c>
      <c r="I23" s="57">
        <f t="shared" si="3"/>
        <v>0</v>
      </c>
      <c r="K23" s="38"/>
      <c r="L23" s="112"/>
    </row>
    <row r="24" spans="1:12" s="27" customFormat="1" ht="15.6" x14ac:dyDescent="0.3">
      <c r="A24" s="59" t="s">
        <v>37</v>
      </c>
      <c r="B24" s="60" t="s">
        <v>38</v>
      </c>
      <c r="C24" s="61" t="s">
        <v>3</v>
      </c>
      <c r="D24" s="62" t="s">
        <v>3</v>
      </c>
      <c r="E24" s="41" t="s">
        <v>3</v>
      </c>
      <c r="F24" s="10" t="str">
        <f t="shared" si="1"/>
        <v/>
      </c>
      <c r="G24" s="10" t="str">
        <f t="shared" si="2"/>
        <v/>
      </c>
      <c r="H24" s="10" t="str">
        <f t="shared" si="0"/>
        <v/>
      </c>
      <c r="I24" s="57" t="str">
        <f t="shared" si="3"/>
        <v/>
      </c>
      <c r="K24" s="38"/>
      <c r="L24" s="112"/>
    </row>
    <row r="25" spans="1:12" ht="28.8" x14ac:dyDescent="0.3">
      <c r="A25" s="63" t="s">
        <v>39</v>
      </c>
      <c r="B25" s="55" t="s">
        <v>40</v>
      </c>
      <c r="C25" s="56" t="s">
        <v>24</v>
      </c>
      <c r="D25" s="57">
        <v>0</v>
      </c>
      <c r="E25" s="41">
        <v>2220</v>
      </c>
      <c r="F25" s="10">
        <f t="shared" si="1"/>
        <v>333</v>
      </c>
      <c r="G25" s="10">
        <f t="shared" si="2"/>
        <v>111</v>
      </c>
      <c r="H25" s="10">
        <f t="shared" si="0"/>
        <v>1981.35</v>
      </c>
      <c r="I25" s="57">
        <f t="shared" si="3"/>
        <v>0</v>
      </c>
      <c r="K25" s="38"/>
      <c r="L25" s="112"/>
    </row>
    <row r="26" spans="1:12" ht="28.8" x14ac:dyDescent="0.3">
      <c r="A26" s="63" t="s">
        <v>188</v>
      </c>
      <c r="B26" s="55" t="s">
        <v>40</v>
      </c>
      <c r="C26" s="56" t="s">
        <v>24</v>
      </c>
      <c r="D26" s="57">
        <v>0</v>
      </c>
      <c r="E26" s="41">
        <v>2790</v>
      </c>
      <c r="F26" s="10">
        <f t="shared" si="1"/>
        <v>418.5</v>
      </c>
      <c r="G26" s="10">
        <f t="shared" si="2"/>
        <v>139.5</v>
      </c>
      <c r="H26" s="10">
        <f t="shared" si="0"/>
        <v>2490.0749999999998</v>
      </c>
      <c r="I26" s="57">
        <f t="shared" si="3"/>
        <v>0</v>
      </c>
      <c r="K26" s="38"/>
      <c r="L26" s="112"/>
    </row>
    <row r="27" spans="1:12" ht="28.8" x14ac:dyDescent="0.3">
      <c r="A27" s="63" t="s">
        <v>41</v>
      </c>
      <c r="B27" s="55" t="s">
        <v>42</v>
      </c>
      <c r="C27" s="56" t="s">
        <v>24</v>
      </c>
      <c r="D27" s="57">
        <v>0</v>
      </c>
      <c r="E27" s="41">
        <v>2700</v>
      </c>
      <c r="F27" s="10">
        <f t="shared" si="1"/>
        <v>405</v>
      </c>
      <c r="G27" s="10">
        <f t="shared" si="2"/>
        <v>135</v>
      </c>
      <c r="H27" s="10">
        <f t="shared" si="0"/>
        <v>2409.75</v>
      </c>
      <c r="I27" s="57">
        <f t="shared" si="3"/>
        <v>0</v>
      </c>
      <c r="K27" s="38"/>
      <c r="L27" s="112"/>
    </row>
    <row r="28" spans="1:12" s="27" customFormat="1" ht="15.6" x14ac:dyDescent="0.3">
      <c r="A28" s="59" t="s">
        <v>43</v>
      </c>
      <c r="B28" s="60" t="s">
        <v>44</v>
      </c>
      <c r="C28" s="61" t="s">
        <v>3</v>
      </c>
      <c r="D28" s="62" t="s">
        <v>3</v>
      </c>
      <c r="E28" s="41" t="s">
        <v>3</v>
      </c>
      <c r="F28" s="10" t="str">
        <f t="shared" si="1"/>
        <v/>
      </c>
      <c r="G28" s="10" t="str">
        <f t="shared" si="2"/>
        <v/>
      </c>
      <c r="H28" s="10" t="str">
        <f t="shared" si="0"/>
        <v/>
      </c>
      <c r="I28" s="57" t="str">
        <f t="shared" si="3"/>
        <v/>
      </c>
      <c r="K28" s="38"/>
      <c r="L28" s="112"/>
    </row>
    <row r="29" spans="1:12" ht="28.8" x14ac:dyDescent="0.3">
      <c r="A29" s="63" t="s">
        <v>45</v>
      </c>
      <c r="B29" s="55" t="s">
        <v>46</v>
      </c>
      <c r="C29" s="56" t="s">
        <v>2</v>
      </c>
      <c r="D29" s="57">
        <v>0</v>
      </c>
      <c r="E29" s="41">
        <v>1310</v>
      </c>
      <c r="F29" s="10">
        <f t="shared" si="1"/>
        <v>196.5</v>
      </c>
      <c r="G29" s="10">
        <f t="shared" si="2"/>
        <v>65.5</v>
      </c>
      <c r="H29" s="10">
        <f t="shared" si="0"/>
        <v>1169.175</v>
      </c>
      <c r="I29" s="57">
        <f t="shared" si="3"/>
        <v>0</v>
      </c>
      <c r="K29" s="38"/>
      <c r="L29" s="112"/>
    </row>
    <row r="30" spans="1:12" ht="28.8" x14ac:dyDescent="0.3">
      <c r="A30" s="63" t="s">
        <v>47</v>
      </c>
      <c r="B30" s="55" t="s">
        <v>48</v>
      </c>
      <c r="C30" s="56" t="s">
        <v>2</v>
      </c>
      <c r="D30" s="57">
        <v>0</v>
      </c>
      <c r="E30" s="41">
        <v>2090</v>
      </c>
      <c r="F30" s="10">
        <f t="shared" si="1"/>
        <v>313.5</v>
      </c>
      <c r="G30" s="10">
        <f t="shared" si="2"/>
        <v>104.5</v>
      </c>
      <c r="H30" s="10">
        <f t="shared" si="0"/>
        <v>1865.325</v>
      </c>
      <c r="I30" s="57">
        <f t="shared" si="3"/>
        <v>0</v>
      </c>
      <c r="K30" s="38"/>
      <c r="L30" s="112"/>
    </row>
    <row r="31" spans="1:12" s="27" customFormat="1" ht="15.6" x14ac:dyDescent="0.3">
      <c r="A31" s="59" t="s">
        <v>50</v>
      </c>
      <c r="B31" s="60" t="s">
        <v>51</v>
      </c>
      <c r="C31" s="61" t="s">
        <v>3</v>
      </c>
      <c r="D31" s="62" t="s">
        <v>3</v>
      </c>
      <c r="E31" s="41" t="s">
        <v>3</v>
      </c>
      <c r="F31" s="10" t="str">
        <f t="shared" si="1"/>
        <v/>
      </c>
      <c r="G31" s="10" t="str">
        <f t="shared" si="2"/>
        <v/>
      </c>
      <c r="H31" s="10" t="str">
        <f t="shared" si="0"/>
        <v/>
      </c>
      <c r="I31" s="57" t="str">
        <f t="shared" si="3"/>
        <v/>
      </c>
      <c r="K31" s="38"/>
      <c r="L31" s="112"/>
    </row>
    <row r="32" spans="1:12" ht="28.8" x14ac:dyDescent="0.3">
      <c r="A32" s="63" t="s">
        <v>52</v>
      </c>
      <c r="B32" s="55" t="s">
        <v>53</v>
      </c>
      <c r="C32" s="56" t="s">
        <v>24</v>
      </c>
      <c r="D32" s="57">
        <v>0</v>
      </c>
      <c r="E32" s="41">
        <v>1760</v>
      </c>
      <c r="F32" s="10">
        <f t="shared" si="1"/>
        <v>264</v>
      </c>
      <c r="G32" s="10">
        <f t="shared" si="2"/>
        <v>88</v>
      </c>
      <c r="H32" s="10">
        <f t="shared" si="0"/>
        <v>1570.8</v>
      </c>
      <c r="I32" s="57">
        <f t="shared" si="3"/>
        <v>0</v>
      </c>
      <c r="K32" s="38"/>
      <c r="L32" s="112"/>
    </row>
    <row r="33" spans="1:12" ht="28.8" x14ac:dyDescent="0.3">
      <c r="A33" s="63" t="s">
        <v>54</v>
      </c>
      <c r="B33" s="55" t="s">
        <v>55</v>
      </c>
      <c r="C33" s="56" t="s">
        <v>24</v>
      </c>
      <c r="D33" s="57">
        <v>0</v>
      </c>
      <c r="E33" s="41">
        <v>1850</v>
      </c>
      <c r="F33" s="10">
        <f t="shared" si="1"/>
        <v>277.5</v>
      </c>
      <c r="G33" s="10">
        <f t="shared" si="2"/>
        <v>92.5</v>
      </c>
      <c r="H33" s="10">
        <f t="shared" si="0"/>
        <v>1651.125</v>
      </c>
      <c r="I33" s="57">
        <f t="shared" si="3"/>
        <v>0</v>
      </c>
      <c r="K33" s="38"/>
      <c r="L33" s="112"/>
    </row>
    <row r="34" spans="1:12" ht="28.8" x14ac:dyDescent="0.3">
      <c r="A34" s="63" t="s">
        <v>56</v>
      </c>
      <c r="B34" s="55" t="s">
        <v>57</v>
      </c>
      <c r="C34" s="56" t="s">
        <v>24</v>
      </c>
      <c r="D34" s="138">
        <f>2.34*3.62</f>
        <v>8.4708000000000006</v>
      </c>
      <c r="E34" s="41">
        <v>1680</v>
      </c>
      <c r="F34" s="10">
        <f t="shared" si="1"/>
        <v>252</v>
      </c>
      <c r="G34" s="10">
        <f t="shared" si="2"/>
        <v>84</v>
      </c>
      <c r="H34" s="10">
        <f t="shared" si="0"/>
        <v>1499.3999999999999</v>
      </c>
      <c r="I34" s="57">
        <f t="shared" si="3"/>
        <v>12701.11752</v>
      </c>
      <c r="K34" s="38"/>
      <c r="L34" s="112"/>
    </row>
    <row r="35" spans="1:12" s="27" customFormat="1" ht="15.6" x14ac:dyDescent="0.3">
      <c r="A35" s="59" t="s">
        <v>58</v>
      </c>
      <c r="B35" s="60" t="s">
        <v>59</v>
      </c>
      <c r="C35" s="61" t="s">
        <v>3</v>
      </c>
      <c r="D35" s="62" t="s">
        <v>3</v>
      </c>
      <c r="E35" s="41" t="s">
        <v>3</v>
      </c>
      <c r="F35" s="10" t="str">
        <f t="shared" si="1"/>
        <v/>
      </c>
      <c r="G35" s="10" t="str">
        <f t="shared" si="2"/>
        <v/>
      </c>
      <c r="H35" s="10" t="str">
        <f t="shared" si="0"/>
        <v/>
      </c>
      <c r="I35" s="57" t="str">
        <f t="shared" si="3"/>
        <v/>
      </c>
      <c r="K35" s="38"/>
      <c r="L35" s="112"/>
    </row>
    <row r="36" spans="1:12" s="27" customFormat="1" ht="28.8" x14ac:dyDescent="0.3">
      <c r="A36" s="63" t="s">
        <v>171</v>
      </c>
      <c r="B36" s="55" t="s">
        <v>172</v>
      </c>
      <c r="C36" s="56" t="s">
        <v>24</v>
      </c>
      <c r="D36" s="57">
        <v>0</v>
      </c>
      <c r="E36" s="41">
        <v>2850</v>
      </c>
      <c r="F36" s="10">
        <f t="shared" si="1"/>
        <v>427.5</v>
      </c>
      <c r="G36" s="10">
        <f t="shared" si="2"/>
        <v>142.5</v>
      </c>
      <c r="H36" s="10">
        <f t="shared" si="0"/>
        <v>2543.625</v>
      </c>
      <c r="I36" s="57">
        <f t="shared" si="3"/>
        <v>0</v>
      </c>
      <c r="K36" s="38"/>
      <c r="L36" s="112"/>
    </row>
    <row r="37" spans="1:12" ht="28.8" x14ac:dyDescent="0.3">
      <c r="A37" s="63" t="s">
        <v>60</v>
      </c>
      <c r="B37" s="55" t="s">
        <v>61</v>
      </c>
      <c r="C37" s="56" t="s">
        <v>24</v>
      </c>
      <c r="D37" s="57">
        <v>0</v>
      </c>
      <c r="E37" s="41">
        <v>2300</v>
      </c>
      <c r="F37" s="10">
        <f t="shared" si="1"/>
        <v>345</v>
      </c>
      <c r="G37" s="10">
        <f t="shared" si="2"/>
        <v>115</v>
      </c>
      <c r="H37" s="10">
        <f t="shared" si="0"/>
        <v>2052.75</v>
      </c>
      <c r="I37" s="57">
        <f t="shared" si="3"/>
        <v>0</v>
      </c>
      <c r="K37" s="38"/>
      <c r="L37" s="112"/>
    </row>
    <row r="38" spans="1:12" ht="28.8" x14ac:dyDescent="0.3">
      <c r="A38" s="63" t="s">
        <v>62</v>
      </c>
      <c r="B38" s="55" t="s">
        <v>63</v>
      </c>
      <c r="C38" s="56" t="s">
        <v>24</v>
      </c>
      <c r="D38" s="57">
        <v>0</v>
      </c>
      <c r="E38" s="41">
        <v>3250</v>
      </c>
      <c r="F38" s="10">
        <f t="shared" si="1"/>
        <v>487.5</v>
      </c>
      <c r="G38" s="10">
        <f t="shared" si="2"/>
        <v>162.5</v>
      </c>
      <c r="H38" s="10">
        <f t="shared" si="0"/>
        <v>2900.625</v>
      </c>
      <c r="I38" s="57">
        <f t="shared" si="3"/>
        <v>0</v>
      </c>
      <c r="K38" s="38"/>
      <c r="L38" s="112"/>
    </row>
    <row r="39" spans="1:12" s="27" customFormat="1" ht="15.6" x14ac:dyDescent="0.3">
      <c r="A39" s="59" t="s">
        <v>64</v>
      </c>
      <c r="B39" s="60" t="s">
        <v>65</v>
      </c>
      <c r="C39" s="61" t="s">
        <v>3</v>
      </c>
      <c r="D39" s="62" t="s">
        <v>3</v>
      </c>
      <c r="E39" s="41" t="s">
        <v>3</v>
      </c>
      <c r="F39" s="10" t="str">
        <f t="shared" si="1"/>
        <v/>
      </c>
      <c r="G39" s="10" t="str">
        <f t="shared" si="2"/>
        <v/>
      </c>
      <c r="H39" s="10" t="str">
        <f t="shared" si="0"/>
        <v/>
      </c>
      <c r="I39" s="57" t="str">
        <f t="shared" si="3"/>
        <v/>
      </c>
      <c r="K39" s="38"/>
      <c r="L39" s="112"/>
    </row>
    <row r="40" spans="1:12" x14ac:dyDescent="0.3">
      <c r="A40" s="63" t="s">
        <v>66</v>
      </c>
      <c r="B40" s="55" t="s">
        <v>67</v>
      </c>
      <c r="C40" s="56" t="s">
        <v>24</v>
      </c>
      <c r="D40" s="138">
        <f>D34</f>
        <v>8.4708000000000006</v>
      </c>
      <c r="E40" s="41">
        <v>88</v>
      </c>
      <c r="F40" s="10">
        <f t="shared" si="1"/>
        <v>13.2</v>
      </c>
      <c r="G40" s="10">
        <f t="shared" si="2"/>
        <v>4.4000000000000004</v>
      </c>
      <c r="H40" s="10">
        <f t="shared" si="0"/>
        <v>78.540000000000006</v>
      </c>
      <c r="I40" s="57">
        <f t="shared" si="3"/>
        <v>665.29663200000005</v>
      </c>
      <c r="K40" s="38"/>
      <c r="L40" s="112"/>
    </row>
    <row r="41" spans="1:12" s="27" customFormat="1" ht="15.6" x14ac:dyDescent="0.3">
      <c r="A41" s="59" t="s">
        <v>68</v>
      </c>
      <c r="B41" s="60" t="s">
        <v>69</v>
      </c>
      <c r="C41" s="61" t="s">
        <v>3</v>
      </c>
      <c r="D41" s="62" t="s">
        <v>3</v>
      </c>
      <c r="E41" s="41" t="s">
        <v>3</v>
      </c>
      <c r="F41" s="10" t="str">
        <f t="shared" si="1"/>
        <v/>
      </c>
      <c r="G41" s="10" t="str">
        <f t="shared" si="2"/>
        <v/>
      </c>
      <c r="H41" s="10" t="str">
        <f t="shared" si="0"/>
        <v/>
      </c>
      <c r="I41" s="57" t="str">
        <f t="shared" si="3"/>
        <v/>
      </c>
      <c r="K41" s="38"/>
      <c r="L41" s="112"/>
    </row>
    <row r="42" spans="1:12" ht="28.8" x14ac:dyDescent="0.3">
      <c r="A42" s="63" t="s">
        <v>70</v>
      </c>
      <c r="B42" s="55" t="s">
        <v>71</v>
      </c>
      <c r="C42" s="56" t="s">
        <v>24</v>
      </c>
      <c r="D42" s="138">
        <f>D18</f>
        <v>12.324999999999999</v>
      </c>
      <c r="E42" s="41">
        <v>717</v>
      </c>
      <c r="F42" s="10">
        <f t="shared" si="1"/>
        <v>107.55</v>
      </c>
      <c r="G42" s="10">
        <f t="shared" si="2"/>
        <v>35.85</v>
      </c>
      <c r="H42" s="10">
        <f t="shared" si="0"/>
        <v>639.92250000000001</v>
      </c>
      <c r="I42" s="57">
        <f t="shared" si="3"/>
        <v>7887.0448124999994</v>
      </c>
      <c r="K42" s="38"/>
      <c r="L42" s="112"/>
    </row>
    <row r="43" spans="1:12" ht="28.8" x14ac:dyDescent="0.3">
      <c r="A43" s="63" t="s">
        <v>72</v>
      </c>
      <c r="B43" s="55" t="s">
        <v>73</v>
      </c>
      <c r="C43" s="56" t="s">
        <v>24</v>
      </c>
      <c r="D43" s="138">
        <f>D33+D38+D34+D32</f>
        <v>8.4708000000000006</v>
      </c>
      <c r="E43" s="41">
        <v>582</v>
      </c>
      <c r="F43" s="10">
        <f t="shared" si="1"/>
        <v>87.3</v>
      </c>
      <c r="G43" s="10">
        <f t="shared" si="2"/>
        <v>29.1</v>
      </c>
      <c r="H43" s="10">
        <f t="shared" si="0"/>
        <v>519.43500000000006</v>
      </c>
      <c r="I43" s="57">
        <f t="shared" si="3"/>
        <v>4400.0299980000009</v>
      </c>
      <c r="K43" s="38"/>
      <c r="L43" s="112"/>
    </row>
    <row r="44" spans="1:12" ht="28.2" x14ac:dyDescent="0.3">
      <c r="A44" s="9" t="s">
        <v>218</v>
      </c>
      <c r="B44" s="2" t="s">
        <v>219</v>
      </c>
      <c r="C44" s="56" t="s">
        <v>24</v>
      </c>
      <c r="D44" s="57">
        <f>D18*0</f>
        <v>0</v>
      </c>
      <c r="E44" s="41">
        <v>800</v>
      </c>
      <c r="F44" s="10">
        <f t="shared" si="1"/>
        <v>120</v>
      </c>
      <c r="G44" s="10">
        <f t="shared" si="2"/>
        <v>40</v>
      </c>
      <c r="H44" s="10">
        <f t="shared" si="0"/>
        <v>714</v>
      </c>
      <c r="I44" s="57">
        <f t="shared" si="3"/>
        <v>0</v>
      </c>
      <c r="K44" s="38"/>
      <c r="L44" s="112"/>
    </row>
    <row r="45" spans="1:12" ht="28.8" x14ac:dyDescent="0.3">
      <c r="A45" s="63" t="s">
        <v>173</v>
      </c>
      <c r="B45" s="55" t="s">
        <v>174</v>
      </c>
      <c r="C45" s="56" t="s">
        <v>24</v>
      </c>
      <c r="D45" s="57">
        <f>D33*0</f>
        <v>0</v>
      </c>
      <c r="E45" s="41">
        <v>1440</v>
      </c>
      <c r="F45" s="10">
        <f t="shared" si="1"/>
        <v>216</v>
      </c>
      <c r="G45" s="10">
        <f t="shared" si="2"/>
        <v>72</v>
      </c>
      <c r="H45" s="10">
        <f t="shared" si="0"/>
        <v>1285.2</v>
      </c>
      <c r="I45" s="57">
        <f t="shared" si="3"/>
        <v>0</v>
      </c>
      <c r="K45" s="38"/>
      <c r="L45" s="112"/>
    </row>
    <row r="46" spans="1:12" x14ac:dyDescent="0.3">
      <c r="A46" s="63" t="s">
        <v>74</v>
      </c>
      <c r="B46" s="55" t="s">
        <v>75</v>
      </c>
      <c r="C46" s="56" t="s">
        <v>2</v>
      </c>
      <c r="D46" s="57">
        <v>0</v>
      </c>
      <c r="E46" s="41">
        <v>620</v>
      </c>
      <c r="F46" s="10">
        <f t="shared" si="1"/>
        <v>93</v>
      </c>
      <c r="G46" s="10">
        <f t="shared" si="2"/>
        <v>31</v>
      </c>
      <c r="H46" s="10">
        <f t="shared" si="0"/>
        <v>553.35</v>
      </c>
      <c r="I46" s="57">
        <f t="shared" si="3"/>
        <v>0</v>
      </c>
      <c r="K46" s="38"/>
      <c r="L46" s="112"/>
    </row>
    <row r="47" spans="1:12" x14ac:dyDescent="0.3">
      <c r="A47" s="63" t="s">
        <v>76</v>
      </c>
      <c r="B47" s="55" t="s">
        <v>77</v>
      </c>
      <c r="C47" s="56" t="s">
        <v>2</v>
      </c>
      <c r="D47" s="57">
        <v>0</v>
      </c>
      <c r="E47" s="41">
        <v>750</v>
      </c>
      <c r="F47" s="10">
        <f t="shared" si="1"/>
        <v>112.5</v>
      </c>
      <c r="G47" s="10">
        <f t="shared" si="2"/>
        <v>37.5</v>
      </c>
      <c r="H47" s="10">
        <f t="shared" si="0"/>
        <v>669.375</v>
      </c>
      <c r="I47" s="57">
        <f t="shared" si="3"/>
        <v>0</v>
      </c>
      <c r="K47" s="38"/>
      <c r="L47" s="112"/>
    </row>
    <row r="48" spans="1:12" x14ac:dyDescent="0.3">
      <c r="A48" s="63" t="s">
        <v>78</v>
      </c>
      <c r="B48" s="55" t="s">
        <v>79</v>
      </c>
      <c r="C48" s="56" t="s">
        <v>2</v>
      </c>
      <c r="D48" s="57">
        <v>5</v>
      </c>
      <c r="E48" s="41">
        <v>1020</v>
      </c>
      <c r="F48" s="10">
        <f t="shared" si="1"/>
        <v>153</v>
      </c>
      <c r="G48" s="10">
        <f t="shared" si="2"/>
        <v>51</v>
      </c>
      <c r="H48" s="10">
        <f t="shared" si="0"/>
        <v>910.35</v>
      </c>
      <c r="I48" s="57">
        <f t="shared" si="3"/>
        <v>4551.75</v>
      </c>
      <c r="K48" s="38"/>
      <c r="L48" s="112"/>
    </row>
    <row r="49" spans="1:12" x14ac:dyDescent="0.3">
      <c r="A49" s="63" t="s">
        <v>80</v>
      </c>
      <c r="B49" s="55" t="s">
        <v>81</v>
      </c>
      <c r="C49" s="56" t="s">
        <v>2</v>
      </c>
      <c r="D49" s="57">
        <v>0</v>
      </c>
      <c r="E49" s="41">
        <v>1370</v>
      </c>
      <c r="F49" s="10">
        <f t="shared" si="1"/>
        <v>205.5</v>
      </c>
      <c r="G49" s="10">
        <f t="shared" si="2"/>
        <v>68.5</v>
      </c>
      <c r="H49" s="10">
        <f t="shared" si="0"/>
        <v>1222.7249999999999</v>
      </c>
      <c r="I49" s="57">
        <f t="shared" si="3"/>
        <v>0</v>
      </c>
      <c r="K49" s="38"/>
      <c r="L49" s="112"/>
    </row>
    <row r="50" spans="1:12" x14ac:dyDescent="0.3">
      <c r="A50" s="63" t="s">
        <v>82</v>
      </c>
      <c r="B50" s="55" t="s">
        <v>83</v>
      </c>
      <c r="C50" s="56" t="s">
        <v>2</v>
      </c>
      <c r="D50" s="57">
        <v>0</v>
      </c>
      <c r="E50" s="41">
        <v>1650</v>
      </c>
      <c r="F50" s="10">
        <f t="shared" si="1"/>
        <v>247.5</v>
      </c>
      <c r="G50" s="10">
        <f t="shared" si="2"/>
        <v>82.5</v>
      </c>
      <c r="H50" s="10">
        <f t="shared" si="0"/>
        <v>1472.625</v>
      </c>
      <c r="I50" s="57">
        <f t="shared" si="3"/>
        <v>0</v>
      </c>
      <c r="K50" s="38"/>
      <c r="L50" s="112"/>
    </row>
    <row r="51" spans="1:12" x14ac:dyDescent="0.3">
      <c r="A51" s="63" t="s">
        <v>84</v>
      </c>
      <c r="B51" s="55" t="s">
        <v>85</v>
      </c>
      <c r="C51" s="56" t="s">
        <v>2</v>
      </c>
      <c r="D51" s="57">
        <v>1</v>
      </c>
      <c r="E51" s="41">
        <v>1820</v>
      </c>
      <c r="F51" s="10">
        <f t="shared" si="1"/>
        <v>273</v>
      </c>
      <c r="G51" s="10">
        <f t="shared" si="2"/>
        <v>91</v>
      </c>
      <c r="H51" s="10">
        <f t="shared" si="0"/>
        <v>1624.35</v>
      </c>
      <c r="I51" s="57">
        <f t="shared" si="3"/>
        <v>1624.35</v>
      </c>
      <c r="K51" s="38"/>
      <c r="L51" s="112"/>
    </row>
    <row r="52" spans="1:12" x14ac:dyDescent="0.3">
      <c r="A52" s="63" t="s">
        <v>86</v>
      </c>
      <c r="B52" s="55" t="s">
        <v>87</v>
      </c>
      <c r="C52" s="56" t="s">
        <v>2</v>
      </c>
      <c r="D52" s="57">
        <v>0</v>
      </c>
      <c r="E52" s="41">
        <v>130</v>
      </c>
      <c r="F52" s="10">
        <f t="shared" si="1"/>
        <v>19.5</v>
      </c>
      <c r="G52" s="10">
        <f t="shared" si="2"/>
        <v>6.5</v>
      </c>
      <c r="H52" s="10">
        <f t="shared" si="0"/>
        <v>116.02499999999999</v>
      </c>
      <c r="I52" s="57">
        <f t="shared" si="3"/>
        <v>0</v>
      </c>
      <c r="K52" s="38"/>
      <c r="L52" s="112"/>
    </row>
    <row r="53" spans="1:12" x14ac:dyDescent="0.3">
      <c r="A53" s="63" t="s">
        <v>175</v>
      </c>
      <c r="B53" s="55" t="s">
        <v>176</v>
      </c>
      <c r="C53" s="56" t="s">
        <v>24</v>
      </c>
      <c r="D53" s="57">
        <f>D42+D43</f>
        <v>20.7958</v>
      </c>
      <c r="E53" s="41">
        <v>60</v>
      </c>
      <c r="F53" s="10">
        <f t="shared" si="1"/>
        <v>9</v>
      </c>
      <c r="G53" s="10">
        <f t="shared" si="2"/>
        <v>3</v>
      </c>
      <c r="H53" s="10">
        <f t="shared" si="0"/>
        <v>53.55</v>
      </c>
      <c r="I53" s="57">
        <f t="shared" si="3"/>
        <v>1113.61509</v>
      </c>
      <c r="K53" s="38"/>
      <c r="L53" s="112"/>
    </row>
    <row r="54" spans="1:12" x14ac:dyDescent="0.3">
      <c r="A54" s="63" t="s">
        <v>88</v>
      </c>
      <c r="B54" s="55" t="s">
        <v>89</v>
      </c>
      <c r="C54" s="56" t="s">
        <v>2</v>
      </c>
      <c r="D54" s="57">
        <v>0</v>
      </c>
      <c r="E54" s="41">
        <v>109</v>
      </c>
      <c r="F54" s="10">
        <f t="shared" si="1"/>
        <v>16.349999999999998</v>
      </c>
      <c r="G54" s="10">
        <f t="shared" si="2"/>
        <v>5.45</v>
      </c>
      <c r="H54" s="10">
        <f t="shared" si="0"/>
        <v>97.282499999999999</v>
      </c>
      <c r="I54" s="57">
        <f t="shared" si="3"/>
        <v>0</v>
      </c>
      <c r="K54" s="38"/>
      <c r="L54" s="112"/>
    </row>
    <row r="55" spans="1:12" x14ac:dyDescent="0.3">
      <c r="A55" s="63" t="s">
        <v>90</v>
      </c>
      <c r="B55" s="55" t="s">
        <v>91</v>
      </c>
      <c r="C55" s="56" t="s">
        <v>2</v>
      </c>
      <c r="D55" s="57">
        <v>0</v>
      </c>
      <c r="E55" s="41">
        <v>121</v>
      </c>
      <c r="F55" s="10">
        <f t="shared" si="1"/>
        <v>18.149999999999999</v>
      </c>
      <c r="G55" s="10">
        <f t="shared" si="2"/>
        <v>6.0500000000000007</v>
      </c>
      <c r="H55" s="10">
        <f t="shared" si="0"/>
        <v>107.99250000000001</v>
      </c>
      <c r="I55" s="57">
        <f t="shared" si="3"/>
        <v>0</v>
      </c>
      <c r="K55" s="38"/>
      <c r="L55" s="112"/>
    </row>
    <row r="56" spans="1:12" ht="14.4" customHeight="1" x14ac:dyDescent="0.3">
      <c r="A56" s="63" t="s">
        <v>195</v>
      </c>
      <c r="B56" s="55" t="s">
        <v>182</v>
      </c>
      <c r="C56" s="56" t="s">
        <v>2</v>
      </c>
      <c r="D56" s="57">
        <v>5</v>
      </c>
      <c r="E56" s="41">
        <v>133</v>
      </c>
      <c r="F56" s="10">
        <f t="shared" si="1"/>
        <v>19.95</v>
      </c>
      <c r="G56" s="10">
        <f t="shared" si="2"/>
        <v>6.65</v>
      </c>
      <c r="H56" s="10">
        <f t="shared" si="0"/>
        <v>118.7025</v>
      </c>
      <c r="I56" s="57">
        <f t="shared" si="3"/>
        <v>593.51250000000005</v>
      </c>
      <c r="K56" s="38"/>
      <c r="L56" s="112"/>
    </row>
    <row r="57" spans="1:12" ht="14.4" customHeight="1" x14ac:dyDescent="0.3">
      <c r="A57" s="63" t="s">
        <v>196</v>
      </c>
      <c r="B57" s="55" t="s">
        <v>183</v>
      </c>
      <c r="C57" s="56" t="s">
        <v>2</v>
      </c>
      <c r="D57" s="57">
        <v>0</v>
      </c>
      <c r="E57" s="41">
        <v>145</v>
      </c>
      <c r="F57" s="10">
        <f t="shared" si="1"/>
        <v>21.75</v>
      </c>
      <c r="G57" s="10">
        <f t="shared" si="2"/>
        <v>7.25</v>
      </c>
      <c r="H57" s="10">
        <f t="shared" si="0"/>
        <v>129.41249999999999</v>
      </c>
      <c r="I57" s="57">
        <f t="shared" si="3"/>
        <v>0</v>
      </c>
      <c r="K57" s="38"/>
      <c r="L57" s="112"/>
    </row>
    <row r="58" spans="1:12" ht="14.4" customHeight="1" x14ac:dyDescent="0.3">
      <c r="A58" s="63" t="s">
        <v>197</v>
      </c>
      <c r="B58" s="55" t="s">
        <v>184</v>
      </c>
      <c r="C58" s="56" t="s">
        <v>2</v>
      </c>
      <c r="D58" s="57">
        <v>0</v>
      </c>
      <c r="E58" s="41">
        <v>157</v>
      </c>
      <c r="F58" s="10">
        <f t="shared" si="1"/>
        <v>23.55</v>
      </c>
      <c r="G58" s="10">
        <f t="shared" si="2"/>
        <v>7.8500000000000005</v>
      </c>
      <c r="H58" s="10">
        <f t="shared" si="0"/>
        <v>140.1225</v>
      </c>
      <c r="I58" s="57">
        <f t="shared" si="3"/>
        <v>0</v>
      </c>
      <c r="K58" s="38"/>
      <c r="L58" s="112"/>
    </row>
    <row r="59" spans="1:12" ht="14.4" customHeight="1" x14ac:dyDescent="0.3">
      <c r="A59" s="63" t="s">
        <v>198</v>
      </c>
      <c r="B59" s="55" t="s">
        <v>185</v>
      </c>
      <c r="C59" s="56" t="s">
        <v>2</v>
      </c>
      <c r="D59" s="57">
        <v>0</v>
      </c>
      <c r="E59" s="41">
        <v>169</v>
      </c>
      <c r="F59" s="10">
        <f t="shared" si="1"/>
        <v>25.349999999999998</v>
      </c>
      <c r="G59" s="10">
        <f t="shared" si="2"/>
        <v>8.4500000000000011</v>
      </c>
      <c r="H59" s="10">
        <f t="shared" si="0"/>
        <v>150.83250000000001</v>
      </c>
      <c r="I59" s="57">
        <f t="shared" si="3"/>
        <v>0</v>
      </c>
      <c r="K59" s="38"/>
      <c r="L59" s="112"/>
    </row>
    <row r="60" spans="1:12" ht="14.4" customHeight="1" x14ac:dyDescent="0.3">
      <c r="A60" s="63" t="s">
        <v>199</v>
      </c>
      <c r="B60" s="55" t="s">
        <v>186</v>
      </c>
      <c r="C60" s="56" t="s">
        <v>2</v>
      </c>
      <c r="D60" s="57">
        <v>1</v>
      </c>
      <c r="E60" s="41">
        <v>181</v>
      </c>
      <c r="F60" s="10">
        <f t="shared" si="1"/>
        <v>27.15</v>
      </c>
      <c r="G60" s="10">
        <f t="shared" si="2"/>
        <v>9.0500000000000007</v>
      </c>
      <c r="H60" s="10">
        <f t="shared" si="0"/>
        <v>161.54250000000002</v>
      </c>
      <c r="I60" s="57">
        <f t="shared" si="3"/>
        <v>161.54250000000002</v>
      </c>
      <c r="K60" s="38"/>
      <c r="L60" s="112"/>
    </row>
    <row r="61" spans="1:12" ht="14.4" customHeight="1" x14ac:dyDescent="0.3">
      <c r="A61" s="63" t="s">
        <v>200</v>
      </c>
      <c r="B61" s="55" t="s">
        <v>187</v>
      </c>
      <c r="C61" s="56" t="s">
        <v>2</v>
      </c>
      <c r="D61" s="57">
        <v>0</v>
      </c>
      <c r="E61" s="41">
        <v>193</v>
      </c>
      <c r="F61" s="10">
        <f t="shared" si="1"/>
        <v>28.95</v>
      </c>
      <c r="G61" s="10">
        <f t="shared" si="2"/>
        <v>9.65</v>
      </c>
      <c r="H61" s="10">
        <f t="shared" si="0"/>
        <v>172.2525</v>
      </c>
      <c r="I61" s="57">
        <f t="shared" si="3"/>
        <v>0</v>
      </c>
      <c r="K61" s="38"/>
      <c r="L61" s="112"/>
    </row>
    <row r="62" spans="1:12" s="27" customFormat="1" ht="15.6" x14ac:dyDescent="0.3">
      <c r="A62" s="59" t="s">
        <v>92</v>
      </c>
      <c r="B62" s="60" t="s">
        <v>93</v>
      </c>
      <c r="C62" s="61" t="s">
        <v>3</v>
      </c>
      <c r="D62" s="62" t="s">
        <v>3</v>
      </c>
      <c r="E62" s="41" t="s">
        <v>3</v>
      </c>
      <c r="F62" s="10" t="str">
        <f t="shared" si="1"/>
        <v/>
      </c>
      <c r="G62" s="10" t="str">
        <f t="shared" si="2"/>
        <v/>
      </c>
      <c r="H62" s="10" t="str">
        <f t="shared" si="0"/>
        <v/>
      </c>
      <c r="I62" s="57" t="str">
        <f t="shared" si="3"/>
        <v/>
      </c>
      <c r="K62" s="38"/>
      <c r="L62" s="112"/>
    </row>
    <row r="63" spans="1:12" ht="15" thickBot="1" x14ac:dyDescent="0.35">
      <c r="A63" s="54" t="s">
        <v>94</v>
      </c>
      <c r="B63" s="55" t="s">
        <v>95</v>
      </c>
      <c r="C63" s="56" t="s">
        <v>24</v>
      </c>
      <c r="D63" s="92">
        <v>13.81</v>
      </c>
      <c r="E63" s="41">
        <v>53</v>
      </c>
      <c r="F63" s="10">
        <f t="shared" si="1"/>
        <v>7.9499999999999993</v>
      </c>
      <c r="G63" s="10">
        <f t="shared" si="2"/>
        <v>2.6500000000000004</v>
      </c>
      <c r="H63" s="10">
        <f t="shared" si="0"/>
        <v>47.302500000000002</v>
      </c>
      <c r="I63" s="57">
        <f t="shared" si="3"/>
        <v>653.247525</v>
      </c>
      <c r="K63" s="38"/>
      <c r="L63" s="112"/>
    </row>
    <row r="64" spans="1:12" ht="43.2" x14ac:dyDescent="0.3">
      <c r="A64" s="54" t="s">
        <v>96</v>
      </c>
      <c r="B64" s="55" t="s">
        <v>97</v>
      </c>
      <c r="C64" s="56" t="s">
        <v>24</v>
      </c>
      <c r="D64" s="57">
        <v>0</v>
      </c>
      <c r="E64" s="41">
        <v>880</v>
      </c>
      <c r="F64" s="10">
        <f t="shared" si="1"/>
        <v>132</v>
      </c>
      <c r="G64" s="10">
        <f t="shared" si="2"/>
        <v>44</v>
      </c>
      <c r="H64" s="10">
        <f t="shared" si="0"/>
        <v>785.4</v>
      </c>
      <c r="I64" s="57">
        <f t="shared" si="3"/>
        <v>0</v>
      </c>
      <c r="K64" s="38"/>
      <c r="L64" s="112"/>
    </row>
    <row r="65" spans="1:12" ht="43.2" x14ac:dyDescent="0.3">
      <c r="A65" s="54" t="s">
        <v>215</v>
      </c>
      <c r="B65" s="55" t="s">
        <v>98</v>
      </c>
      <c r="C65" s="56" t="s">
        <v>24</v>
      </c>
      <c r="D65" s="57">
        <f>D63</f>
        <v>13.81</v>
      </c>
      <c r="E65" s="41">
        <v>650</v>
      </c>
      <c r="F65" s="10">
        <f t="shared" si="1"/>
        <v>97.5</v>
      </c>
      <c r="G65" s="10">
        <f t="shared" si="2"/>
        <v>32.5</v>
      </c>
      <c r="H65" s="10">
        <f t="shared" si="0"/>
        <v>580.125</v>
      </c>
      <c r="I65" s="57">
        <f t="shared" si="3"/>
        <v>8011.5262499999999</v>
      </c>
      <c r="K65" s="38"/>
      <c r="L65" s="112"/>
    </row>
    <row r="66" spans="1:12" s="27" customFormat="1" ht="15.6" x14ac:dyDescent="0.3">
      <c r="A66" s="59" t="s">
        <v>99</v>
      </c>
      <c r="B66" s="60" t="s">
        <v>100</v>
      </c>
      <c r="C66" s="61" t="s">
        <v>3</v>
      </c>
      <c r="D66" s="62" t="s">
        <v>3</v>
      </c>
      <c r="E66" s="41" t="s">
        <v>3</v>
      </c>
      <c r="F66" s="10" t="str">
        <f t="shared" si="1"/>
        <v/>
      </c>
      <c r="G66" s="10" t="str">
        <f t="shared" si="2"/>
        <v/>
      </c>
      <c r="H66" s="10" t="str">
        <f t="shared" si="0"/>
        <v/>
      </c>
      <c r="I66" s="57" t="str">
        <f t="shared" si="3"/>
        <v/>
      </c>
      <c r="K66" s="38"/>
      <c r="L66" s="112"/>
    </row>
    <row r="67" spans="1:12" x14ac:dyDescent="0.3">
      <c r="A67" s="63" t="s">
        <v>101</v>
      </c>
      <c r="B67" s="55" t="s">
        <v>102</v>
      </c>
      <c r="C67" s="56" t="s">
        <v>24</v>
      </c>
      <c r="D67" s="57">
        <v>0</v>
      </c>
      <c r="E67" s="41">
        <v>265</v>
      </c>
      <c r="F67" s="10">
        <f t="shared" si="1"/>
        <v>39.75</v>
      </c>
      <c r="G67" s="10">
        <f t="shared" si="2"/>
        <v>13.25</v>
      </c>
      <c r="H67" s="10">
        <f t="shared" si="0"/>
        <v>236.51249999999999</v>
      </c>
      <c r="I67" s="57">
        <f t="shared" si="3"/>
        <v>0</v>
      </c>
      <c r="K67" s="38"/>
      <c r="L67" s="112"/>
    </row>
    <row r="68" spans="1:12" x14ac:dyDescent="0.3">
      <c r="A68" s="64" t="s">
        <v>103</v>
      </c>
      <c r="B68" s="65" t="s">
        <v>104</v>
      </c>
      <c r="C68" s="56" t="s">
        <v>24</v>
      </c>
      <c r="D68" s="138">
        <f>-D70</f>
        <v>19.129000000000001</v>
      </c>
      <c r="E68" s="41">
        <v>375</v>
      </c>
      <c r="F68" s="10">
        <f t="shared" si="1"/>
        <v>56.25</v>
      </c>
      <c r="G68" s="10">
        <f t="shared" si="2"/>
        <v>18.75</v>
      </c>
      <c r="H68" s="10">
        <f t="shared" si="0"/>
        <v>334.6875</v>
      </c>
      <c r="I68" s="57">
        <f t="shared" si="3"/>
        <v>6402.2371875000008</v>
      </c>
      <c r="K68" s="38"/>
      <c r="L68" s="112"/>
    </row>
    <row r="69" spans="1:12" x14ac:dyDescent="0.3">
      <c r="A69" s="64" t="s">
        <v>105</v>
      </c>
      <c r="B69" s="65" t="s">
        <v>106</v>
      </c>
      <c r="C69" s="56" t="s">
        <v>24</v>
      </c>
      <c r="D69" s="57">
        <f>-D19</f>
        <v>0</v>
      </c>
      <c r="E69" s="41">
        <v>317</v>
      </c>
      <c r="F69" s="10">
        <f t="shared" si="1"/>
        <v>47.55</v>
      </c>
      <c r="G69" s="10">
        <f t="shared" si="2"/>
        <v>15.850000000000001</v>
      </c>
      <c r="H69" s="10">
        <f t="shared" si="0"/>
        <v>282.92250000000001</v>
      </c>
      <c r="I69" s="57">
        <f t="shared" si="3"/>
        <v>0</v>
      </c>
      <c r="K69" s="38"/>
      <c r="L69" s="112"/>
    </row>
    <row r="70" spans="1:12" x14ac:dyDescent="0.3">
      <c r="A70" s="64" t="s">
        <v>107</v>
      </c>
      <c r="B70" s="65" t="s">
        <v>108</v>
      </c>
      <c r="C70" s="56" t="s">
        <v>24</v>
      </c>
      <c r="D70" s="57">
        <v>-19.129000000000001</v>
      </c>
      <c r="E70" s="41">
        <v>172</v>
      </c>
      <c r="F70" s="10">
        <f t="shared" si="1"/>
        <v>25.8</v>
      </c>
      <c r="G70" s="10">
        <f t="shared" si="2"/>
        <v>8.6</v>
      </c>
      <c r="H70" s="10">
        <f t="shared" si="0"/>
        <v>153.51</v>
      </c>
      <c r="I70" s="57">
        <f t="shared" si="3"/>
        <v>-2936.4927900000002</v>
      </c>
      <c r="K70" s="38"/>
      <c r="L70" s="112"/>
    </row>
    <row r="71" spans="1:12" x14ac:dyDescent="0.3">
      <c r="A71" s="63" t="s">
        <v>109</v>
      </c>
      <c r="B71" s="55" t="s">
        <v>110</v>
      </c>
      <c r="C71" s="56" t="s">
        <v>24</v>
      </c>
      <c r="D71" s="57">
        <f>-D67</f>
        <v>0</v>
      </c>
      <c r="E71" s="41">
        <v>94</v>
      </c>
      <c r="F71" s="10">
        <f t="shared" si="1"/>
        <v>14.1</v>
      </c>
      <c r="G71" s="10">
        <f t="shared" si="2"/>
        <v>4.7</v>
      </c>
      <c r="H71" s="10">
        <f t="shared" si="0"/>
        <v>83.894999999999996</v>
      </c>
      <c r="I71" s="57">
        <f t="shared" si="3"/>
        <v>0</v>
      </c>
      <c r="K71" s="38"/>
      <c r="L71" s="112"/>
    </row>
    <row r="72" spans="1:12" x14ac:dyDescent="0.3">
      <c r="A72" s="63" t="s">
        <v>111</v>
      </c>
      <c r="B72" s="55" t="s">
        <v>112</v>
      </c>
      <c r="C72" s="56" t="s">
        <v>24</v>
      </c>
      <c r="D72" s="57">
        <v>0</v>
      </c>
      <c r="E72" s="41">
        <v>157</v>
      </c>
      <c r="F72" s="10">
        <f t="shared" si="1"/>
        <v>23.55</v>
      </c>
      <c r="G72" s="10">
        <f t="shared" si="2"/>
        <v>7.8500000000000005</v>
      </c>
      <c r="H72" s="10">
        <f t="shared" si="0"/>
        <v>140.1225</v>
      </c>
      <c r="I72" s="57">
        <f t="shared" si="3"/>
        <v>0</v>
      </c>
      <c r="K72" s="38"/>
      <c r="L72" s="112"/>
    </row>
    <row r="73" spans="1:12" s="27" customFormat="1" ht="15.6" x14ac:dyDescent="0.3">
      <c r="A73" s="59" t="s">
        <v>113</v>
      </c>
      <c r="B73" s="60" t="s">
        <v>114</v>
      </c>
      <c r="C73" s="61" t="s">
        <v>3</v>
      </c>
      <c r="D73" s="62" t="s">
        <v>3</v>
      </c>
      <c r="E73" s="41" t="s">
        <v>3</v>
      </c>
      <c r="F73" s="10" t="str">
        <f t="shared" si="1"/>
        <v/>
      </c>
      <c r="G73" s="10" t="str">
        <f t="shared" si="2"/>
        <v/>
      </c>
      <c r="H73" s="10" t="str">
        <f t="shared" si="0"/>
        <v/>
      </c>
      <c r="I73" s="57" t="str">
        <f t="shared" si="3"/>
        <v/>
      </c>
      <c r="K73" s="38"/>
      <c r="L73" s="112"/>
    </row>
    <row r="74" spans="1:12" s="27" customFormat="1" ht="15.6" x14ac:dyDescent="0.3">
      <c r="A74" s="59" t="s">
        <v>115</v>
      </c>
      <c r="B74" s="60" t="s">
        <v>116</v>
      </c>
      <c r="C74" s="61" t="s">
        <v>3</v>
      </c>
      <c r="D74" s="62" t="s">
        <v>3</v>
      </c>
      <c r="E74" s="41" t="s">
        <v>3</v>
      </c>
      <c r="F74" s="10" t="str">
        <f t="shared" si="1"/>
        <v/>
      </c>
      <c r="G74" s="10" t="str">
        <f t="shared" si="2"/>
        <v/>
      </c>
      <c r="H74" s="10" t="str">
        <f t="shared" si="0"/>
        <v/>
      </c>
      <c r="I74" s="57" t="str">
        <f t="shared" si="3"/>
        <v/>
      </c>
      <c r="K74" s="38"/>
      <c r="L74" s="112"/>
    </row>
    <row r="75" spans="1:12" ht="28.8" x14ac:dyDescent="0.3">
      <c r="A75" s="63" t="s">
        <v>117</v>
      </c>
      <c r="B75" s="55" t="s">
        <v>118</v>
      </c>
      <c r="C75" s="56" t="s">
        <v>17</v>
      </c>
      <c r="D75" s="57">
        <v>0</v>
      </c>
      <c r="E75" s="41">
        <v>3500</v>
      </c>
      <c r="F75" s="10">
        <f t="shared" si="1"/>
        <v>525</v>
      </c>
      <c r="G75" s="10">
        <f t="shared" si="2"/>
        <v>175</v>
      </c>
      <c r="H75" s="10">
        <f t="shared" si="0"/>
        <v>3123.75</v>
      </c>
      <c r="I75" s="57">
        <f t="shared" si="3"/>
        <v>0</v>
      </c>
      <c r="K75" s="38"/>
      <c r="L75" s="112"/>
    </row>
    <row r="76" spans="1:12" ht="43.2" x14ac:dyDescent="0.3">
      <c r="A76" s="63" t="s">
        <v>119</v>
      </c>
      <c r="B76" s="55" t="s">
        <v>120</v>
      </c>
      <c r="C76" s="56" t="s">
        <v>4</v>
      </c>
      <c r="D76" s="57">
        <v>0</v>
      </c>
      <c r="E76" s="41">
        <v>172</v>
      </c>
      <c r="F76" s="10">
        <f t="shared" si="1"/>
        <v>25.8</v>
      </c>
      <c r="G76" s="10">
        <f t="shared" si="2"/>
        <v>8.6</v>
      </c>
      <c r="H76" s="10">
        <f t="shared" si="0"/>
        <v>153.51</v>
      </c>
      <c r="I76" s="57">
        <f t="shared" si="3"/>
        <v>0</v>
      </c>
      <c r="K76" s="38"/>
      <c r="L76" s="112"/>
    </row>
    <row r="77" spans="1:12" x14ac:dyDescent="0.3">
      <c r="A77" s="63" t="s">
        <v>177</v>
      </c>
      <c r="B77" s="55" t="s">
        <v>178</v>
      </c>
      <c r="C77" s="56" t="s">
        <v>24</v>
      </c>
      <c r="D77" s="57">
        <f>SUM(D17:D19,D25:D27,D29:D30,D32:D34,D36:D38)</f>
        <v>20.7958</v>
      </c>
      <c r="E77" s="41">
        <v>48</v>
      </c>
      <c r="F77" s="10">
        <f t="shared" si="1"/>
        <v>7.1999999999999993</v>
      </c>
      <c r="G77" s="10">
        <f t="shared" si="2"/>
        <v>2.4000000000000004</v>
      </c>
      <c r="H77" s="10">
        <f t="shared" si="0"/>
        <v>42.84</v>
      </c>
      <c r="I77" s="57">
        <f t="shared" si="3"/>
        <v>890.8920720000001</v>
      </c>
      <c r="K77" s="38"/>
      <c r="L77" s="112"/>
    </row>
    <row r="78" spans="1:12" s="27" customFormat="1" ht="15.6" x14ac:dyDescent="0.3">
      <c r="A78" s="59" t="s">
        <v>121</v>
      </c>
      <c r="B78" s="60" t="s">
        <v>122</v>
      </c>
      <c r="C78" s="61" t="s">
        <v>3</v>
      </c>
      <c r="D78" s="62" t="s">
        <v>3</v>
      </c>
      <c r="E78" s="41" t="s">
        <v>3</v>
      </c>
      <c r="F78" s="10" t="str">
        <f t="shared" si="1"/>
        <v/>
      </c>
      <c r="G78" s="10" t="str">
        <f t="shared" si="2"/>
        <v/>
      </c>
      <c r="H78" s="10" t="str">
        <f t="shared" ref="H78:H92" si="4">IF(E78="","",E78*1.05*0.85)</f>
        <v/>
      </c>
      <c r="I78" s="57" t="str">
        <f t="shared" si="3"/>
        <v/>
      </c>
      <c r="K78" s="38"/>
      <c r="L78" s="112"/>
    </row>
    <row r="79" spans="1:12" s="27" customFormat="1" ht="15.6" x14ac:dyDescent="0.3">
      <c r="A79" s="59" t="s">
        <v>123</v>
      </c>
      <c r="B79" s="60" t="s">
        <v>124</v>
      </c>
      <c r="C79" s="61" t="s">
        <v>3</v>
      </c>
      <c r="D79" s="62" t="s">
        <v>3</v>
      </c>
      <c r="E79" s="41" t="s">
        <v>3</v>
      </c>
      <c r="F79" s="10" t="str">
        <f t="shared" si="1"/>
        <v/>
      </c>
      <c r="G79" s="10" t="str">
        <f t="shared" si="2"/>
        <v/>
      </c>
      <c r="H79" s="10" t="str">
        <f t="shared" si="4"/>
        <v/>
      </c>
      <c r="I79" s="57" t="str">
        <f t="shared" si="3"/>
        <v/>
      </c>
      <c r="K79" s="38"/>
      <c r="L79" s="112"/>
    </row>
    <row r="80" spans="1:12" s="27" customFormat="1" ht="15.6" x14ac:dyDescent="0.3">
      <c r="A80" s="9" t="s">
        <v>208</v>
      </c>
      <c r="B80" s="55" t="s">
        <v>209</v>
      </c>
      <c r="C80" s="56" t="s">
        <v>125</v>
      </c>
      <c r="D80" s="57">
        <v>3</v>
      </c>
      <c r="E80" s="41">
        <v>130</v>
      </c>
      <c r="F80" s="10">
        <f t="shared" si="1"/>
        <v>19.5</v>
      </c>
      <c r="G80" s="10">
        <f t="shared" si="2"/>
        <v>6.5</v>
      </c>
      <c r="H80" s="10">
        <f t="shared" si="4"/>
        <v>116.02499999999999</v>
      </c>
      <c r="I80" s="57">
        <f t="shared" si="3"/>
        <v>348.07499999999999</v>
      </c>
      <c r="K80" s="38"/>
      <c r="L80" s="112"/>
    </row>
    <row r="81" spans="1:15" s="27" customFormat="1" ht="15.6" x14ac:dyDescent="0.3">
      <c r="A81" s="9" t="s">
        <v>169</v>
      </c>
      <c r="B81" s="55" t="s">
        <v>170</v>
      </c>
      <c r="C81" s="56" t="s">
        <v>125</v>
      </c>
      <c r="D81" s="57">
        <f>2+5</f>
        <v>7</v>
      </c>
      <c r="E81" s="41">
        <v>145</v>
      </c>
      <c r="F81" s="10">
        <f t="shared" si="1"/>
        <v>21.75</v>
      </c>
      <c r="G81" s="10">
        <f t="shared" si="2"/>
        <v>7.25</v>
      </c>
      <c r="H81" s="10">
        <f t="shared" si="4"/>
        <v>129.41249999999999</v>
      </c>
      <c r="I81" s="57">
        <f t="shared" si="3"/>
        <v>905.88749999999993</v>
      </c>
      <c r="K81" s="38"/>
      <c r="L81" s="112"/>
    </row>
    <row r="82" spans="1:15" s="27" customFormat="1" ht="15.6" x14ac:dyDescent="0.3">
      <c r="A82" s="59" t="s">
        <v>126</v>
      </c>
      <c r="B82" s="60" t="s">
        <v>127</v>
      </c>
      <c r="C82" s="61" t="s">
        <v>3</v>
      </c>
      <c r="D82" s="62" t="s">
        <v>3</v>
      </c>
      <c r="E82" s="41" t="s">
        <v>3</v>
      </c>
      <c r="F82" s="10" t="str">
        <f t="shared" ref="F82:F92" si="5">IF(E82="","",E82*0.15)</f>
        <v/>
      </c>
      <c r="G82" s="10" t="str">
        <f t="shared" ref="G82:G92" si="6">IF(E82="","",E82*0.05)</f>
        <v/>
      </c>
      <c r="H82" s="10" t="str">
        <f t="shared" si="4"/>
        <v/>
      </c>
      <c r="I82" s="57" t="str">
        <f t="shared" ref="I82:I90" si="7">IF(D82="","",H82*D82)</f>
        <v/>
      </c>
      <c r="K82" s="38"/>
      <c r="L82" s="112"/>
    </row>
    <row r="83" spans="1:15" ht="28.8" x14ac:dyDescent="0.3">
      <c r="A83" s="63" t="s">
        <v>128</v>
      </c>
      <c r="B83" s="55" t="s">
        <v>129</v>
      </c>
      <c r="C83" s="56" t="s">
        <v>2</v>
      </c>
      <c r="D83" s="57">
        <v>0</v>
      </c>
      <c r="E83" s="41">
        <v>1460</v>
      </c>
      <c r="F83" s="10">
        <f t="shared" si="5"/>
        <v>219</v>
      </c>
      <c r="G83" s="10">
        <f t="shared" si="6"/>
        <v>73</v>
      </c>
      <c r="H83" s="10">
        <f t="shared" si="4"/>
        <v>1303.05</v>
      </c>
      <c r="I83" s="57">
        <f t="shared" si="7"/>
        <v>0</v>
      </c>
      <c r="K83" s="38"/>
      <c r="L83" s="112"/>
    </row>
    <row r="84" spans="1:15" ht="28.8" x14ac:dyDescent="0.3">
      <c r="A84" s="63" t="s">
        <v>130</v>
      </c>
      <c r="B84" s="55" t="s">
        <v>131</v>
      </c>
      <c r="C84" s="56" t="s">
        <v>2</v>
      </c>
      <c r="D84" s="57">
        <v>2</v>
      </c>
      <c r="E84" s="41">
        <v>1810</v>
      </c>
      <c r="F84" s="10">
        <f t="shared" si="5"/>
        <v>271.5</v>
      </c>
      <c r="G84" s="10">
        <f t="shared" si="6"/>
        <v>90.5</v>
      </c>
      <c r="H84" s="10">
        <f t="shared" si="4"/>
        <v>1615.425</v>
      </c>
      <c r="I84" s="57">
        <f t="shared" si="7"/>
        <v>3230.85</v>
      </c>
      <c r="K84" s="38"/>
      <c r="L84" s="112"/>
    </row>
    <row r="85" spans="1:15" ht="28.2" x14ac:dyDescent="0.3">
      <c r="A85" s="9" t="s">
        <v>204</v>
      </c>
      <c r="B85" s="2" t="s">
        <v>205</v>
      </c>
      <c r="C85" s="3" t="s">
        <v>2</v>
      </c>
      <c r="D85" s="57">
        <v>0</v>
      </c>
      <c r="E85" s="41">
        <v>2200</v>
      </c>
      <c r="F85" s="10">
        <f t="shared" si="5"/>
        <v>330</v>
      </c>
      <c r="G85" s="10">
        <f t="shared" si="6"/>
        <v>110</v>
      </c>
      <c r="H85" s="10">
        <f t="shared" si="4"/>
        <v>1963.5</v>
      </c>
      <c r="I85" s="57">
        <f t="shared" si="7"/>
        <v>0</v>
      </c>
      <c r="K85" s="38"/>
      <c r="L85" s="112"/>
    </row>
    <row r="86" spans="1:15" s="27" customFormat="1" ht="15.6" x14ac:dyDescent="0.3">
      <c r="A86" s="59" t="s">
        <v>132</v>
      </c>
      <c r="B86" s="60" t="s">
        <v>133</v>
      </c>
      <c r="C86" s="61" t="s">
        <v>3</v>
      </c>
      <c r="D86" s="62" t="s">
        <v>3</v>
      </c>
      <c r="E86" s="41" t="s">
        <v>3</v>
      </c>
      <c r="F86" s="10" t="str">
        <f t="shared" si="5"/>
        <v/>
      </c>
      <c r="G86" s="10" t="str">
        <f t="shared" si="6"/>
        <v/>
      </c>
      <c r="H86" s="10" t="str">
        <f t="shared" si="4"/>
        <v/>
      </c>
      <c r="I86" s="57" t="str">
        <f t="shared" si="7"/>
        <v/>
      </c>
      <c r="K86" s="38"/>
      <c r="L86" s="112"/>
    </row>
    <row r="87" spans="1:15" s="27" customFormat="1" ht="15.6" x14ac:dyDescent="0.3">
      <c r="A87" s="59" t="s">
        <v>134</v>
      </c>
      <c r="B87" s="60" t="s">
        <v>135</v>
      </c>
      <c r="C87" s="61" t="s">
        <v>3</v>
      </c>
      <c r="D87" s="62" t="s">
        <v>3</v>
      </c>
      <c r="E87" s="41" t="s">
        <v>3</v>
      </c>
      <c r="F87" s="10" t="str">
        <f t="shared" si="5"/>
        <v/>
      </c>
      <c r="G87" s="10" t="str">
        <f t="shared" si="6"/>
        <v/>
      </c>
      <c r="H87" s="10" t="str">
        <f t="shared" si="4"/>
        <v/>
      </c>
      <c r="I87" s="57" t="str">
        <f t="shared" si="7"/>
        <v/>
      </c>
      <c r="K87" s="38"/>
      <c r="L87" s="112"/>
    </row>
    <row r="88" spans="1:15" ht="43.2" x14ac:dyDescent="0.3">
      <c r="A88" s="63" t="s">
        <v>136</v>
      </c>
      <c r="B88" s="55" t="s">
        <v>137</v>
      </c>
      <c r="C88" s="56" t="s">
        <v>24</v>
      </c>
      <c r="D88" s="138">
        <v>8.48</v>
      </c>
      <c r="E88" s="41">
        <v>129.78142076502732</v>
      </c>
      <c r="F88" s="10">
        <f t="shared" si="5"/>
        <v>19.467213114754099</v>
      </c>
      <c r="G88" s="10">
        <f t="shared" si="6"/>
        <v>6.4890710382513666</v>
      </c>
      <c r="H88" s="10">
        <f t="shared" si="4"/>
        <v>115.82991803278689</v>
      </c>
      <c r="I88" s="57">
        <f t="shared" si="7"/>
        <v>982.23770491803293</v>
      </c>
      <c r="K88" s="38"/>
      <c r="L88" s="112"/>
    </row>
    <row r="89" spans="1:15" x14ac:dyDescent="0.3">
      <c r="A89" s="54" t="s">
        <v>138</v>
      </c>
      <c r="B89" s="55" t="s">
        <v>139</v>
      </c>
      <c r="C89" s="56" t="s">
        <v>2</v>
      </c>
      <c r="D89" s="57">
        <v>1</v>
      </c>
      <c r="E89" s="41">
        <v>2375.3501400560222</v>
      </c>
      <c r="F89" s="10">
        <f t="shared" si="5"/>
        <v>356.30252100840329</v>
      </c>
      <c r="G89" s="10">
        <f t="shared" si="6"/>
        <v>118.76750700280111</v>
      </c>
      <c r="H89" s="10">
        <f t="shared" si="4"/>
        <v>2120</v>
      </c>
      <c r="I89" s="57">
        <f t="shared" si="7"/>
        <v>2120</v>
      </c>
      <c r="K89" s="38"/>
      <c r="L89" s="112"/>
    </row>
    <row r="90" spans="1:15" x14ac:dyDescent="0.3">
      <c r="A90" s="54" t="s">
        <v>140</v>
      </c>
      <c r="B90" s="55" t="s">
        <v>141</v>
      </c>
      <c r="C90" s="56" t="s">
        <v>2</v>
      </c>
      <c r="D90" s="57">
        <v>5</v>
      </c>
      <c r="E90" s="41">
        <v>950.14005602240888</v>
      </c>
      <c r="F90" s="10">
        <f t="shared" si="5"/>
        <v>142.52100840336132</v>
      </c>
      <c r="G90" s="10">
        <f t="shared" si="6"/>
        <v>47.50700280112045</v>
      </c>
      <c r="H90" s="10">
        <f t="shared" si="4"/>
        <v>848</v>
      </c>
      <c r="I90" s="57">
        <f t="shared" si="7"/>
        <v>4240</v>
      </c>
      <c r="K90" s="38"/>
      <c r="L90" s="112"/>
    </row>
    <row r="91" spans="1:15" ht="28.8" x14ac:dyDescent="0.3">
      <c r="A91" s="54" t="s">
        <v>165</v>
      </c>
      <c r="B91" s="55" t="s">
        <v>166</v>
      </c>
      <c r="C91" s="56" t="s">
        <v>167</v>
      </c>
      <c r="D91" s="139">
        <f>SUM(I17:I20,I25:I27,I29:I30,I32:I34,I36:I38,I42:I45,I64:I65,I89:I90)/0.85/1.05</f>
        <v>68504.025020168061</v>
      </c>
      <c r="E91" s="41">
        <v>0.06</v>
      </c>
      <c r="F91" s="10">
        <f t="shared" si="5"/>
        <v>8.9999999999999993E-3</v>
      </c>
      <c r="G91" s="10">
        <f t="shared" si="6"/>
        <v>3.0000000000000001E-3</v>
      </c>
      <c r="H91" s="10">
        <f t="shared" si="4"/>
        <v>5.355E-2</v>
      </c>
      <c r="I91" s="57">
        <v>1897.96</v>
      </c>
      <c r="K91" s="38"/>
      <c r="L91" s="112"/>
    </row>
    <row r="92" spans="1:15" ht="55.8" x14ac:dyDescent="0.3">
      <c r="A92" s="48" t="s">
        <v>162</v>
      </c>
      <c r="B92" s="2" t="s">
        <v>163</v>
      </c>
      <c r="C92" s="3" t="s">
        <v>164</v>
      </c>
      <c r="D92" s="3">
        <v>0</v>
      </c>
      <c r="E92" s="41">
        <v>3500</v>
      </c>
      <c r="F92" s="10">
        <f t="shared" si="5"/>
        <v>525</v>
      </c>
      <c r="G92" s="10">
        <f t="shared" si="6"/>
        <v>175</v>
      </c>
      <c r="H92" s="10">
        <f t="shared" si="4"/>
        <v>3123.75</v>
      </c>
      <c r="I92" s="57">
        <f>H92*D92</f>
        <v>0</v>
      </c>
      <c r="K92" s="38"/>
      <c r="L92" s="112"/>
      <c r="M92"/>
      <c r="N92"/>
      <c r="O92"/>
    </row>
    <row r="93" spans="1:15" x14ac:dyDescent="0.3">
      <c r="A93" s="21" t="s">
        <v>3</v>
      </c>
      <c r="B93" s="22" t="s">
        <v>152</v>
      </c>
      <c r="C93" s="23"/>
      <c r="D93" s="24"/>
      <c r="E93" s="25"/>
      <c r="F93" s="24"/>
      <c r="G93" s="24"/>
      <c r="H93" s="24"/>
      <c r="I93" s="31">
        <f>SUMIF(A:A,"01.*",I:I)</f>
        <v>0</v>
      </c>
      <c r="K93"/>
      <c r="L93" s="112"/>
      <c r="M93"/>
      <c r="N93"/>
      <c r="O93"/>
    </row>
    <row r="94" spans="1:15" x14ac:dyDescent="0.3">
      <c r="A94" s="21" t="s">
        <v>3</v>
      </c>
      <c r="B94" s="22" t="s">
        <v>153</v>
      </c>
      <c r="C94" s="23"/>
      <c r="D94" s="24"/>
      <c r="E94" s="25"/>
      <c r="F94" s="24"/>
      <c r="G94" s="24"/>
      <c r="H94" s="24"/>
      <c r="I94" s="31">
        <f>SUMIF(A:A,"05.*",I:I)</f>
        <v>0</v>
      </c>
      <c r="K94"/>
      <c r="L94" s="112"/>
      <c r="M94"/>
      <c r="N94"/>
      <c r="O94"/>
    </row>
    <row r="95" spans="1:15" x14ac:dyDescent="0.3">
      <c r="A95" s="21" t="s">
        <v>3</v>
      </c>
      <c r="B95" s="22" t="s">
        <v>154</v>
      </c>
      <c r="C95" s="23"/>
      <c r="D95" s="24"/>
      <c r="E95" s="25"/>
      <c r="F95" s="24"/>
      <c r="G95" s="24"/>
      <c r="H95" s="24"/>
      <c r="I95" s="31">
        <f>SUMIF(A:A,"09.*",I:I)</f>
        <v>2479.0079999999998</v>
      </c>
      <c r="K95"/>
      <c r="L95" s="112"/>
      <c r="M95"/>
      <c r="N95"/>
      <c r="O95"/>
    </row>
    <row r="96" spans="1:15" x14ac:dyDescent="0.3">
      <c r="A96" s="21" t="s">
        <v>3</v>
      </c>
      <c r="B96" s="22" t="s">
        <v>155</v>
      </c>
      <c r="C96" s="23"/>
      <c r="D96" s="24"/>
      <c r="E96" s="25"/>
      <c r="F96" s="24"/>
      <c r="G96" s="24"/>
      <c r="H96" s="24"/>
      <c r="I96" s="31">
        <f>SUMIF(A:A,"11.*",I:I)</f>
        <v>7898.625</v>
      </c>
      <c r="K96"/>
      <c r="L96" s="112"/>
      <c r="M96"/>
      <c r="N96"/>
      <c r="O96"/>
    </row>
    <row r="97" spans="1:15" x14ac:dyDescent="0.3">
      <c r="A97" s="21" t="s">
        <v>3</v>
      </c>
      <c r="B97" s="22" t="s">
        <v>156</v>
      </c>
      <c r="C97" s="23"/>
      <c r="D97" s="24"/>
      <c r="E97" s="25"/>
      <c r="F97" s="24"/>
      <c r="G97" s="24"/>
      <c r="H97" s="24"/>
      <c r="I97" s="31">
        <f>SUMIF(A:A,"12.*",I:I)</f>
        <v>76937.860974999989</v>
      </c>
      <c r="K97"/>
      <c r="L97" s="112"/>
      <c r="M97"/>
      <c r="N97"/>
      <c r="O97"/>
    </row>
    <row r="98" spans="1:15" x14ac:dyDescent="0.3">
      <c r="A98" s="21" t="s">
        <v>3</v>
      </c>
      <c r="B98" s="22" t="s">
        <v>157</v>
      </c>
      <c r="C98" s="23"/>
      <c r="D98" s="24"/>
      <c r="E98" s="25"/>
      <c r="F98" s="24"/>
      <c r="G98" s="24"/>
      <c r="H98" s="24"/>
      <c r="I98" s="31">
        <f>SUMIF(A:A,"15.*",I:I)</f>
        <v>0</v>
      </c>
      <c r="K98"/>
      <c r="L98" s="112"/>
      <c r="M98"/>
      <c r="N98"/>
      <c r="O98"/>
    </row>
    <row r="99" spans="1:15" x14ac:dyDescent="0.3">
      <c r="A99" s="21"/>
      <c r="B99" s="90" t="s">
        <v>181</v>
      </c>
      <c r="C99" s="23"/>
      <c r="D99" s="24"/>
      <c r="E99" s="25"/>
      <c r="F99" s="24"/>
      <c r="G99" s="24"/>
      <c r="H99" s="24"/>
      <c r="I99" s="31">
        <f>SUMIF(A:A,"30.*",I:I)</f>
        <v>890.8920720000001</v>
      </c>
      <c r="K99"/>
      <c r="L99" s="112"/>
      <c r="M99"/>
      <c r="N99"/>
      <c r="O99"/>
    </row>
    <row r="100" spans="1:15" x14ac:dyDescent="0.3">
      <c r="A100" s="21" t="s">
        <v>3</v>
      </c>
      <c r="B100" s="22" t="s">
        <v>158</v>
      </c>
      <c r="C100" s="23"/>
      <c r="D100" s="24"/>
      <c r="E100" s="25"/>
      <c r="F100" s="24"/>
      <c r="G100" s="24"/>
      <c r="H100" s="24"/>
      <c r="I100" s="31">
        <f>SUMIF(A:A,"60.*",I:I)</f>
        <v>4752.5625</v>
      </c>
      <c r="K100"/>
      <c r="L100" s="112"/>
      <c r="M100"/>
      <c r="N100"/>
      <c r="O100"/>
    </row>
    <row r="101" spans="1:15" x14ac:dyDescent="0.3">
      <c r="A101" s="21" t="s">
        <v>3</v>
      </c>
      <c r="B101" s="22" t="s">
        <v>159</v>
      </c>
      <c r="C101" s="23"/>
      <c r="D101" s="24"/>
      <c r="E101" s="25"/>
      <c r="F101" s="24"/>
      <c r="G101" s="24"/>
      <c r="H101" s="24"/>
      <c r="I101" s="31">
        <f>SUMIF(A:A,"85.*",I:I)</f>
        <v>982.23770491803293</v>
      </c>
      <c r="K101"/>
      <c r="L101" s="112"/>
      <c r="M101"/>
      <c r="N101"/>
      <c r="O101"/>
    </row>
    <row r="102" spans="1:15" x14ac:dyDescent="0.3">
      <c r="A102" s="28" t="s">
        <v>3</v>
      </c>
      <c r="B102" s="29" t="s">
        <v>160</v>
      </c>
      <c r="C102" s="23"/>
      <c r="D102" s="24"/>
      <c r="E102" s="25"/>
      <c r="F102" s="30"/>
      <c r="G102" s="30"/>
      <c r="H102" s="30"/>
      <c r="I102" s="30">
        <f>SUM(I93:I101)</f>
        <v>93941.186251918029</v>
      </c>
      <c r="K102"/>
      <c r="L102" s="112"/>
      <c r="M102"/>
      <c r="N102"/>
      <c r="O102"/>
    </row>
    <row r="103" spans="1:15" x14ac:dyDescent="0.3">
      <c r="A103" s="28" t="s">
        <v>3</v>
      </c>
      <c r="B103" s="29" t="s">
        <v>161</v>
      </c>
      <c r="C103" s="23"/>
      <c r="D103" s="24"/>
      <c r="E103" s="25"/>
      <c r="F103" s="30"/>
      <c r="G103" s="30"/>
      <c r="H103" s="30"/>
      <c r="I103" s="30">
        <f t="shared" ref="I103" si="8">(I102 * (1 / 100 * 18))</f>
        <v>16909.413525345244</v>
      </c>
      <c r="K103"/>
      <c r="L103"/>
      <c r="M103"/>
      <c r="N103"/>
      <c r="O103"/>
    </row>
    <row r="104" spans="1:15" x14ac:dyDescent="0.3">
      <c r="A104" s="32" t="s">
        <v>3</v>
      </c>
      <c r="B104" s="33" t="s">
        <v>160</v>
      </c>
      <c r="C104" s="34"/>
      <c r="D104" s="35"/>
      <c r="E104" s="36"/>
      <c r="F104" s="37"/>
      <c r="G104" s="37"/>
      <c r="H104" s="37"/>
      <c r="I104" s="37">
        <f t="shared" ref="I104" si="9">I102 + I103</f>
        <v>110850.59977726327</v>
      </c>
      <c r="K104"/>
      <c r="L104"/>
      <c r="M104"/>
      <c r="N104"/>
      <c r="O104"/>
    </row>
  </sheetData>
  <conditionalFormatting sqref="A7:D43 C44:D44 A45:D84">
    <cfRule type="expression" dxfId="40" priority="2">
      <formula>$K7="אין"</formula>
    </cfRule>
  </conditionalFormatting>
  <conditionalFormatting sqref="F7:K92 D85 A86:D90 A92:D92 A91:C91">
    <cfRule type="expression" dxfId="39" priority="3">
      <formula>$K7="אין"</formula>
    </cfRule>
  </conditionalFormatting>
  <conditionalFormatting sqref="D91">
    <cfRule type="expression" dxfId="16" priority="1">
      <formula>$K91="אין"</formula>
    </cfRule>
  </conditionalFormatting>
  <pageMargins left="0.25" right="0.25" top="0.75" bottom="0.75" header="0.3" footer="0.3"/>
  <pageSetup paperSize="9" scale="78"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3C2CB-1BAF-44EF-A571-68913981AD7D}">
  <sheetPr>
    <tabColor rgb="FFFFFF00"/>
    <pageSetUpPr fitToPage="1"/>
  </sheetPr>
  <dimension ref="A1:O104"/>
  <sheetViews>
    <sheetView rightToLeft="1" zoomScale="85" zoomScaleNormal="85" workbookViewId="0">
      <selection activeCell="B75" sqref="B75"/>
    </sheetView>
  </sheetViews>
  <sheetFormatPr defaultColWidth="8.69921875" defaultRowHeight="14.4" x14ac:dyDescent="0.3"/>
  <cols>
    <col min="1" max="1" width="11.59765625" style="38" customWidth="1"/>
    <col min="2" max="2" width="63" style="13" customWidth="1"/>
    <col min="3" max="3" width="8.19921875" style="39" customWidth="1"/>
    <col min="4" max="4" width="10" style="14" customWidth="1"/>
    <col min="5" max="5" width="11.09765625" style="15" bestFit="1" customWidth="1"/>
    <col min="6" max="6" width="10.19921875" style="14" customWidth="1"/>
    <col min="7" max="7" width="12.09765625" style="14" customWidth="1"/>
    <col min="8" max="8" width="14" style="13" bestFit="1" customWidth="1"/>
    <col min="9" max="9" width="13.3984375" style="13" bestFit="1" customWidth="1"/>
    <col min="10" max="10" width="8.69921875" style="13"/>
    <col min="11" max="11" width="13.19921875" style="13" bestFit="1" customWidth="1"/>
    <col min="12" max="12" width="11.09765625" style="13" bestFit="1" customWidth="1"/>
    <col min="13" max="16384" width="8.69921875" style="13"/>
  </cols>
  <sheetData>
    <row r="1" spans="1:11" ht="17.399999999999999" x14ac:dyDescent="0.3">
      <c r="A1" s="12"/>
      <c r="C1" s="89" t="s">
        <v>220</v>
      </c>
      <c r="D1" s="40">
        <v>1778</v>
      </c>
    </row>
    <row r="3" spans="1:11" ht="21" x14ac:dyDescent="0.4">
      <c r="A3" s="16"/>
      <c r="B3" s="17"/>
      <c r="C3" s="18"/>
      <c r="D3" s="19"/>
      <c r="E3" s="20"/>
      <c r="F3" s="19"/>
      <c r="G3" s="19"/>
      <c r="H3" s="19"/>
      <c r="I3" s="19"/>
    </row>
    <row r="4" spans="1:11" x14ac:dyDescent="0.3">
      <c r="A4" s="21"/>
      <c r="B4" s="22"/>
      <c r="C4" s="23"/>
      <c r="D4" s="24"/>
      <c r="E4" s="25"/>
      <c r="F4" s="24"/>
      <c r="G4" s="24"/>
      <c r="H4" s="24"/>
      <c r="I4" s="24"/>
    </row>
    <row r="5" spans="1:11" ht="15" thickBot="1" x14ac:dyDescent="0.35">
      <c r="A5" s="21"/>
      <c r="B5" s="22"/>
      <c r="C5" s="23"/>
      <c r="D5" s="24"/>
      <c r="E5" s="25"/>
      <c r="F5" s="24"/>
      <c r="G5" s="26"/>
      <c r="H5" s="26"/>
      <c r="I5" s="24"/>
    </row>
    <row r="6" spans="1:11" ht="29.4" thickTop="1" x14ac:dyDescent="0.3">
      <c r="A6" s="50" t="s">
        <v>0</v>
      </c>
      <c r="B6" s="51" t="s">
        <v>1</v>
      </c>
      <c r="C6" s="52" t="s">
        <v>2</v>
      </c>
      <c r="D6" s="53" t="s">
        <v>147</v>
      </c>
      <c r="E6" s="66" t="s">
        <v>142</v>
      </c>
      <c r="F6" s="66" t="s">
        <v>143</v>
      </c>
      <c r="G6" s="66" t="s">
        <v>144</v>
      </c>
      <c r="H6" s="66" t="s">
        <v>145</v>
      </c>
      <c r="I6" s="53" t="s">
        <v>151</v>
      </c>
    </row>
    <row r="7" spans="1:11" x14ac:dyDescent="0.3">
      <c r="A7" s="63" t="s">
        <v>179</v>
      </c>
      <c r="B7" s="55" t="s">
        <v>180</v>
      </c>
      <c r="C7" s="56" t="s">
        <v>125</v>
      </c>
      <c r="D7" s="14">
        <v>0</v>
      </c>
      <c r="E7" s="41">
        <v>150</v>
      </c>
      <c r="F7" s="10">
        <f>IF(E7="","",E7*0.15)</f>
        <v>22.5</v>
      </c>
      <c r="G7" s="10">
        <f>IF(E7="","",E7*0.05)</f>
        <v>7.5</v>
      </c>
      <c r="H7" s="10">
        <f>IF(E7="","",E7*1.05*0.85)</f>
        <v>133.875</v>
      </c>
      <c r="I7" s="57">
        <f>IF(D7="","",H7*D7)</f>
        <v>0</v>
      </c>
      <c r="K7" s="38"/>
    </row>
    <row r="8" spans="1:11" s="27" customFormat="1" ht="15.6" x14ac:dyDescent="0.3">
      <c r="A8" s="59" t="s">
        <v>5</v>
      </c>
      <c r="B8" s="60" t="s">
        <v>6</v>
      </c>
      <c r="C8" s="61" t="s">
        <v>3</v>
      </c>
      <c r="D8" s="62" t="s">
        <v>3</v>
      </c>
      <c r="E8" s="41" t="s">
        <v>3</v>
      </c>
      <c r="F8" s="62" t="s">
        <v>3</v>
      </c>
      <c r="G8" s="62"/>
      <c r="H8" s="10" t="str">
        <f t="shared" ref="H8:H77" si="0">IF(E8="","",E8*1.05*0.85)</f>
        <v/>
      </c>
      <c r="I8" s="62"/>
      <c r="K8" s="38"/>
    </row>
    <row r="9" spans="1:11" s="27" customFormat="1" ht="15.6" x14ac:dyDescent="0.3">
      <c r="A9" s="59" t="s">
        <v>7</v>
      </c>
      <c r="B9" s="60" t="s">
        <v>8</v>
      </c>
      <c r="C9" s="61" t="s">
        <v>3</v>
      </c>
      <c r="D9" s="62" t="s">
        <v>3</v>
      </c>
      <c r="E9" s="41" t="s">
        <v>3</v>
      </c>
      <c r="F9" s="62" t="s">
        <v>3</v>
      </c>
      <c r="G9" s="62"/>
      <c r="H9" s="10" t="str">
        <f t="shared" si="0"/>
        <v/>
      </c>
      <c r="I9" s="62"/>
      <c r="K9" s="38"/>
    </row>
    <row r="10" spans="1:11" ht="57.6" x14ac:dyDescent="0.3">
      <c r="A10" s="63" t="s">
        <v>9</v>
      </c>
      <c r="B10" s="55" t="s">
        <v>10</v>
      </c>
      <c r="C10" s="56" t="s">
        <v>4</v>
      </c>
      <c r="D10" s="57">
        <v>0</v>
      </c>
      <c r="E10" s="41">
        <v>64</v>
      </c>
      <c r="F10" s="10">
        <f>IF(E10="","",E10*0.15)</f>
        <v>9.6</v>
      </c>
      <c r="G10" s="10">
        <f>IF(E10="","",E10*0.05)</f>
        <v>3.2</v>
      </c>
      <c r="H10" s="10">
        <f t="shared" si="0"/>
        <v>57.12</v>
      </c>
      <c r="I10" s="57">
        <f>IF(D10="","",H10*D10)</f>
        <v>0</v>
      </c>
      <c r="K10" s="38"/>
    </row>
    <row r="11" spans="1:11" s="27" customFormat="1" ht="15.6" x14ac:dyDescent="0.3">
      <c r="A11" s="59" t="s">
        <v>11</v>
      </c>
      <c r="B11" s="60" t="s">
        <v>12</v>
      </c>
      <c r="C11" s="61" t="s">
        <v>3</v>
      </c>
      <c r="D11" s="62" t="s">
        <v>3</v>
      </c>
      <c r="E11" s="41" t="s">
        <v>3</v>
      </c>
      <c r="F11" s="10" t="str">
        <f t="shared" ref="F11:F81" si="1">IF(E11="","",E11*0.15)</f>
        <v/>
      </c>
      <c r="G11" s="10" t="str">
        <f t="shared" ref="G11:G81" si="2">IF(E11="","",E11*0.05)</f>
        <v/>
      </c>
      <c r="H11" s="10" t="str">
        <f t="shared" si="0"/>
        <v/>
      </c>
      <c r="I11" s="57" t="str">
        <f t="shared" ref="I11:I81" si="3">IF(D11="","",H11*D11)</f>
        <v/>
      </c>
      <c r="K11" s="38"/>
    </row>
    <row r="12" spans="1:11" s="27" customFormat="1" ht="15.6" x14ac:dyDescent="0.3">
      <c r="A12" s="59" t="s">
        <v>13</v>
      </c>
      <c r="B12" s="60" t="s">
        <v>14</v>
      </c>
      <c r="C12" s="61" t="s">
        <v>3</v>
      </c>
      <c r="D12" s="62" t="s">
        <v>3</v>
      </c>
      <c r="E12" s="41" t="s">
        <v>3</v>
      </c>
      <c r="F12" s="10" t="str">
        <f t="shared" si="1"/>
        <v/>
      </c>
      <c r="G12" s="10" t="str">
        <f t="shared" si="2"/>
        <v/>
      </c>
      <c r="H12" s="10" t="str">
        <f t="shared" si="0"/>
        <v/>
      </c>
      <c r="I12" s="57" t="str">
        <f t="shared" si="3"/>
        <v/>
      </c>
      <c r="K12" s="38"/>
    </row>
    <row r="13" spans="1:11" ht="43.2" x14ac:dyDescent="0.3">
      <c r="A13" s="63" t="s">
        <v>15</v>
      </c>
      <c r="B13" s="55" t="s">
        <v>16</v>
      </c>
      <c r="C13" s="56" t="s">
        <v>17</v>
      </c>
      <c r="D13" s="57">
        <v>0</v>
      </c>
      <c r="E13" s="41">
        <v>1770</v>
      </c>
      <c r="F13" s="10">
        <f t="shared" si="1"/>
        <v>265.5</v>
      </c>
      <c r="G13" s="10">
        <f t="shared" si="2"/>
        <v>88.5</v>
      </c>
      <c r="H13" s="10">
        <f t="shared" si="0"/>
        <v>1579.7249999999999</v>
      </c>
      <c r="I13" s="57">
        <f t="shared" si="3"/>
        <v>0</v>
      </c>
      <c r="K13" s="38"/>
    </row>
    <row r="14" spans="1:11" x14ac:dyDescent="0.3">
      <c r="A14" s="54"/>
      <c r="B14" s="55"/>
      <c r="C14" s="56"/>
      <c r="D14" s="57"/>
      <c r="E14" s="41" t="s">
        <v>3</v>
      </c>
      <c r="F14" s="10" t="str">
        <f t="shared" si="1"/>
        <v/>
      </c>
      <c r="G14" s="10" t="str">
        <f t="shared" si="2"/>
        <v/>
      </c>
      <c r="H14" s="10" t="str">
        <f t="shared" si="0"/>
        <v/>
      </c>
      <c r="I14" s="57" t="str">
        <f t="shared" si="3"/>
        <v/>
      </c>
      <c r="K14" s="38"/>
    </row>
    <row r="15" spans="1:11" s="27" customFormat="1" ht="15.6" x14ac:dyDescent="0.3">
      <c r="A15" s="59" t="s">
        <v>18</v>
      </c>
      <c r="B15" s="60" t="s">
        <v>19</v>
      </c>
      <c r="C15" s="61" t="s">
        <v>3</v>
      </c>
      <c r="D15" s="62" t="s">
        <v>3</v>
      </c>
      <c r="E15" s="41" t="s">
        <v>3</v>
      </c>
      <c r="F15" s="10" t="str">
        <f t="shared" si="1"/>
        <v/>
      </c>
      <c r="G15" s="10" t="str">
        <f t="shared" si="2"/>
        <v/>
      </c>
      <c r="H15" s="10" t="str">
        <f t="shared" si="0"/>
        <v/>
      </c>
      <c r="I15" s="57" t="str">
        <f t="shared" si="3"/>
        <v/>
      </c>
      <c r="K15" s="38"/>
    </row>
    <row r="16" spans="1:11" s="27" customFormat="1" ht="15.6" x14ac:dyDescent="0.3">
      <c r="A16" s="59" t="s">
        <v>20</v>
      </c>
      <c r="B16" s="60" t="s">
        <v>21</v>
      </c>
      <c r="C16" s="61" t="s">
        <v>3</v>
      </c>
      <c r="D16" s="62" t="s">
        <v>3</v>
      </c>
      <c r="E16" s="41" t="s">
        <v>3</v>
      </c>
      <c r="F16" s="10" t="str">
        <f t="shared" si="1"/>
        <v/>
      </c>
      <c r="G16" s="10" t="str">
        <f t="shared" si="2"/>
        <v/>
      </c>
      <c r="H16" s="10" t="str">
        <f t="shared" si="0"/>
        <v/>
      </c>
      <c r="I16" s="57" t="str">
        <f t="shared" si="3"/>
        <v/>
      </c>
      <c r="K16" s="38"/>
    </row>
    <row r="17" spans="1:11" ht="28.8" x14ac:dyDescent="0.3">
      <c r="A17" s="63" t="s">
        <v>22</v>
      </c>
      <c r="B17" s="55" t="s">
        <v>23</v>
      </c>
      <c r="C17" s="56" t="s">
        <v>24</v>
      </c>
      <c r="D17" s="57">
        <v>0</v>
      </c>
      <c r="E17" s="41">
        <v>1760</v>
      </c>
      <c r="F17" s="10">
        <f t="shared" si="1"/>
        <v>264</v>
      </c>
      <c r="G17" s="10">
        <f t="shared" si="2"/>
        <v>88</v>
      </c>
      <c r="H17" s="10">
        <f t="shared" si="0"/>
        <v>1570.8</v>
      </c>
      <c r="I17" s="57">
        <f t="shared" si="3"/>
        <v>0</v>
      </c>
      <c r="K17" s="38"/>
    </row>
    <row r="18" spans="1:11" ht="28.8" x14ac:dyDescent="0.3">
      <c r="A18" s="63" t="s">
        <v>25</v>
      </c>
      <c r="B18" s="55" t="s">
        <v>26</v>
      </c>
      <c r="C18" s="56" t="s">
        <v>24</v>
      </c>
      <c r="D18" s="57">
        <f>1.75*1.42</f>
        <v>2.4849999999999999</v>
      </c>
      <c r="E18" s="41">
        <v>1980</v>
      </c>
      <c r="F18" s="10">
        <f t="shared" si="1"/>
        <v>297</v>
      </c>
      <c r="G18" s="10">
        <f t="shared" si="2"/>
        <v>99</v>
      </c>
      <c r="H18" s="10">
        <f t="shared" si="0"/>
        <v>1767.1499999999999</v>
      </c>
      <c r="I18" s="57">
        <f t="shared" si="3"/>
        <v>4391.3677499999994</v>
      </c>
      <c r="K18" s="38"/>
    </row>
    <row r="19" spans="1:11" ht="28.8" x14ac:dyDescent="0.3">
      <c r="A19" s="63" t="s">
        <v>27</v>
      </c>
      <c r="B19" s="55" t="s">
        <v>28</v>
      </c>
      <c r="C19" s="56" t="s">
        <v>24</v>
      </c>
      <c r="D19" s="57">
        <v>0</v>
      </c>
      <c r="E19" s="41">
        <v>2210</v>
      </c>
      <c r="F19" s="10">
        <f t="shared" si="1"/>
        <v>331.5</v>
      </c>
      <c r="G19" s="10">
        <f t="shared" si="2"/>
        <v>110.5</v>
      </c>
      <c r="H19" s="10">
        <f t="shared" si="0"/>
        <v>1972.425</v>
      </c>
      <c r="I19" s="57">
        <f t="shared" si="3"/>
        <v>0</v>
      </c>
      <c r="K19" s="38"/>
    </row>
    <row r="20" spans="1:11" ht="28.8" x14ac:dyDescent="0.3">
      <c r="A20" s="63" t="s">
        <v>29</v>
      </c>
      <c r="B20" s="55" t="s">
        <v>30</v>
      </c>
      <c r="C20" s="56" t="s">
        <v>17</v>
      </c>
      <c r="D20" s="57">
        <f>D18*E18</f>
        <v>4920.3</v>
      </c>
      <c r="E20" s="41">
        <v>0.15</v>
      </c>
      <c r="F20" s="10">
        <f t="shared" si="1"/>
        <v>2.2499999999999999E-2</v>
      </c>
      <c r="G20" s="10">
        <f t="shared" si="2"/>
        <v>7.4999999999999997E-3</v>
      </c>
      <c r="H20" s="10">
        <f t="shared" si="0"/>
        <v>0.13387499999999999</v>
      </c>
      <c r="I20" s="57">
        <f t="shared" si="3"/>
        <v>658.70516250000003</v>
      </c>
      <c r="K20" s="38"/>
    </row>
    <row r="21" spans="1:11" x14ac:dyDescent="0.3">
      <c r="A21" s="63" t="s">
        <v>31</v>
      </c>
      <c r="B21" s="55" t="s">
        <v>32</v>
      </c>
      <c r="C21" s="56" t="s">
        <v>2</v>
      </c>
      <c r="D21" s="57">
        <v>0</v>
      </c>
      <c r="E21" s="41">
        <v>140</v>
      </c>
      <c r="F21" s="10">
        <f t="shared" si="1"/>
        <v>21</v>
      </c>
      <c r="G21" s="10">
        <f t="shared" si="2"/>
        <v>7</v>
      </c>
      <c r="H21" s="10">
        <f t="shared" si="0"/>
        <v>124.95</v>
      </c>
      <c r="I21" s="57">
        <f t="shared" si="3"/>
        <v>0</v>
      </c>
      <c r="K21" s="38"/>
    </row>
    <row r="22" spans="1:11" x14ac:dyDescent="0.3">
      <c r="A22" s="63" t="s">
        <v>33</v>
      </c>
      <c r="B22" s="55" t="s">
        <v>34</v>
      </c>
      <c r="C22" s="56" t="s">
        <v>2</v>
      </c>
      <c r="D22" s="138">
        <v>1</v>
      </c>
      <c r="E22" s="41">
        <v>240</v>
      </c>
      <c r="F22" s="10">
        <f t="shared" si="1"/>
        <v>36</v>
      </c>
      <c r="G22" s="10">
        <f t="shared" si="2"/>
        <v>12</v>
      </c>
      <c r="H22" s="10">
        <f t="shared" si="0"/>
        <v>214.2</v>
      </c>
      <c r="I22" s="57">
        <f t="shared" si="3"/>
        <v>214.2</v>
      </c>
      <c r="K22" s="38"/>
    </row>
    <row r="23" spans="1:11" x14ac:dyDescent="0.3">
      <c r="A23" s="63" t="s">
        <v>35</v>
      </c>
      <c r="B23" s="55" t="s">
        <v>36</v>
      </c>
      <c r="C23" s="56" t="s">
        <v>2</v>
      </c>
      <c r="D23" s="57">
        <v>0</v>
      </c>
      <c r="E23" s="41">
        <v>310</v>
      </c>
      <c r="F23" s="10">
        <f t="shared" si="1"/>
        <v>46.5</v>
      </c>
      <c r="G23" s="10">
        <f t="shared" si="2"/>
        <v>15.5</v>
      </c>
      <c r="H23" s="10">
        <f t="shared" si="0"/>
        <v>276.67500000000001</v>
      </c>
      <c r="I23" s="57">
        <f t="shared" si="3"/>
        <v>0</v>
      </c>
      <c r="K23" s="38"/>
    </row>
    <row r="24" spans="1:11" s="27" customFormat="1" ht="15.6" x14ac:dyDescent="0.3">
      <c r="A24" s="59" t="s">
        <v>37</v>
      </c>
      <c r="B24" s="60" t="s">
        <v>38</v>
      </c>
      <c r="C24" s="61" t="s">
        <v>3</v>
      </c>
      <c r="D24" s="62" t="s">
        <v>3</v>
      </c>
      <c r="E24" s="41" t="s">
        <v>3</v>
      </c>
      <c r="F24" s="10" t="str">
        <f t="shared" si="1"/>
        <v/>
      </c>
      <c r="G24" s="10" t="str">
        <f t="shared" si="2"/>
        <v/>
      </c>
      <c r="H24" s="10" t="str">
        <f t="shared" si="0"/>
        <v/>
      </c>
      <c r="I24" s="57" t="str">
        <f t="shared" si="3"/>
        <v/>
      </c>
      <c r="K24" s="38"/>
    </row>
    <row r="25" spans="1:11" ht="28.8" x14ac:dyDescent="0.3">
      <c r="A25" s="63" t="s">
        <v>39</v>
      </c>
      <c r="B25" s="55" t="s">
        <v>40</v>
      </c>
      <c r="C25" s="56" t="s">
        <v>24</v>
      </c>
      <c r="D25" s="57">
        <v>0</v>
      </c>
      <c r="E25" s="41">
        <v>2220</v>
      </c>
      <c r="F25" s="10">
        <f t="shared" si="1"/>
        <v>333</v>
      </c>
      <c r="G25" s="10">
        <f t="shared" si="2"/>
        <v>111</v>
      </c>
      <c r="H25" s="10">
        <f t="shared" si="0"/>
        <v>1981.35</v>
      </c>
      <c r="I25" s="57">
        <f t="shared" si="3"/>
        <v>0</v>
      </c>
      <c r="K25" s="38"/>
    </row>
    <row r="26" spans="1:11" ht="28.8" x14ac:dyDescent="0.3">
      <c r="A26" s="63" t="s">
        <v>188</v>
      </c>
      <c r="B26" s="55" t="s">
        <v>40</v>
      </c>
      <c r="C26" s="56" t="s">
        <v>24</v>
      </c>
      <c r="D26" s="57">
        <v>0</v>
      </c>
      <c r="E26" s="41">
        <v>2790</v>
      </c>
      <c r="F26" s="10">
        <f t="shared" si="1"/>
        <v>418.5</v>
      </c>
      <c r="G26" s="10">
        <f t="shared" si="2"/>
        <v>139.5</v>
      </c>
      <c r="H26" s="10">
        <f t="shared" si="0"/>
        <v>2490.0749999999998</v>
      </c>
      <c r="I26" s="57">
        <f t="shared" si="3"/>
        <v>0</v>
      </c>
      <c r="K26" s="38"/>
    </row>
    <row r="27" spans="1:11" ht="28.8" x14ac:dyDescent="0.3">
      <c r="A27" s="63" t="s">
        <v>41</v>
      </c>
      <c r="B27" s="55" t="s">
        <v>42</v>
      </c>
      <c r="C27" s="56" t="s">
        <v>24</v>
      </c>
      <c r="D27" s="57">
        <v>0</v>
      </c>
      <c r="E27" s="41">
        <v>2700</v>
      </c>
      <c r="F27" s="10">
        <f t="shared" si="1"/>
        <v>405</v>
      </c>
      <c r="G27" s="10">
        <f t="shared" si="2"/>
        <v>135</v>
      </c>
      <c r="H27" s="10">
        <f t="shared" si="0"/>
        <v>2409.75</v>
      </c>
      <c r="I27" s="57">
        <f t="shared" si="3"/>
        <v>0</v>
      </c>
      <c r="K27" s="38"/>
    </row>
    <row r="28" spans="1:11" s="27" customFormat="1" ht="15.6" x14ac:dyDescent="0.3">
      <c r="A28" s="59" t="s">
        <v>43</v>
      </c>
      <c r="B28" s="60" t="s">
        <v>44</v>
      </c>
      <c r="C28" s="61" t="s">
        <v>3</v>
      </c>
      <c r="D28" s="62" t="s">
        <v>3</v>
      </c>
      <c r="E28" s="41" t="s">
        <v>3</v>
      </c>
      <c r="F28" s="10" t="str">
        <f t="shared" si="1"/>
        <v/>
      </c>
      <c r="G28" s="10" t="str">
        <f t="shared" si="2"/>
        <v/>
      </c>
      <c r="H28" s="10" t="str">
        <f t="shared" si="0"/>
        <v/>
      </c>
      <c r="I28" s="57" t="str">
        <f t="shared" si="3"/>
        <v/>
      </c>
      <c r="K28" s="38"/>
    </row>
    <row r="29" spans="1:11" ht="28.8" x14ac:dyDescent="0.3">
      <c r="A29" s="63" t="s">
        <v>45</v>
      </c>
      <c r="B29" s="55" t="s">
        <v>46</v>
      </c>
      <c r="C29" s="56" t="s">
        <v>2</v>
      </c>
      <c r="D29" s="57">
        <v>0</v>
      </c>
      <c r="E29" s="41">
        <v>1310</v>
      </c>
      <c r="F29" s="10">
        <f t="shared" si="1"/>
        <v>196.5</v>
      </c>
      <c r="G29" s="10">
        <f t="shared" si="2"/>
        <v>65.5</v>
      </c>
      <c r="H29" s="10">
        <f t="shared" si="0"/>
        <v>1169.175</v>
      </c>
      <c r="I29" s="57">
        <f t="shared" si="3"/>
        <v>0</v>
      </c>
      <c r="K29" s="38"/>
    </row>
    <row r="30" spans="1:11" ht="28.8" x14ac:dyDescent="0.3">
      <c r="A30" s="63" t="s">
        <v>47</v>
      </c>
      <c r="B30" s="55" t="s">
        <v>48</v>
      </c>
      <c r="C30" s="56" t="s">
        <v>2</v>
      </c>
      <c r="D30" s="57">
        <v>0</v>
      </c>
      <c r="E30" s="41">
        <v>2090</v>
      </c>
      <c r="F30" s="10">
        <f t="shared" si="1"/>
        <v>313.5</v>
      </c>
      <c r="G30" s="10">
        <f t="shared" si="2"/>
        <v>104.5</v>
      </c>
      <c r="H30" s="10">
        <f t="shared" si="0"/>
        <v>1865.325</v>
      </c>
      <c r="I30" s="57">
        <f t="shared" si="3"/>
        <v>0</v>
      </c>
      <c r="K30" s="38"/>
    </row>
    <row r="31" spans="1:11" s="27" customFormat="1" ht="15.6" x14ac:dyDescent="0.3">
      <c r="A31" s="59" t="s">
        <v>50</v>
      </c>
      <c r="B31" s="60" t="s">
        <v>51</v>
      </c>
      <c r="C31" s="61" t="s">
        <v>3</v>
      </c>
      <c r="D31" s="62" t="s">
        <v>3</v>
      </c>
      <c r="E31" s="41" t="s">
        <v>3</v>
      </c>
      <c r="F31" s="10" t="str">
        <f t="shared" si="1"/>
        <v/>
      </c>
      <c r="G31" s="10" t="str">
        <f t="shared" si="2"/>
        <v/>
      </c>
      <c r="H31" s="10" t="str">
        <f t="shared" si="0"/>
        <v/>
      </c>
      <c r="I31" s="57" t="str">
        <f t="shared" si="3"/>
        <v/>
      </c>
      <c r="K31" s="38"/>
    </row>
    <row r="32" spans="1:11" ht="28.8" x14ac:dyDescent="0.3">
      <c r="A32" s="63" t="s">
        <v>52</v>
      </c>
      <c r="B32" s="55" t="s">
        <v>53</v>
      </c>
      <c r="C32" s="56" t="s">
        <v>24</v>
      </c>
      <c r="D32" s="57">
        <v>0</v>
      </c>
      <c r="E32" s="41">
        <v>1760</v>
      </c>
      <c r="F32" s="10">
        <f t="shared" si="1"/>
        <v>264</v>
      </c>
      <c r="G32" s="10">
        <f t="shared" si="2"/>
        <v>88</v>
      </c>
      <c r="H32" s="10">
        <f t="shared" si="0"/>
        <v>1570.8</v>
      </c>
      <c r="I32" s="57">
        <f t="shared" si="3"/>
        <v>0</v>
      </c>
      <c r="K32" s="38"/>
    </row>
    <row r="33" spans="1:11" ht="28.8" x14ac:dyDescent="0.3">
      <c r="A33" s="63" t="s">
        <v>54</v>
      </c>
      <c r="B33" s="55" t="s">
        <v>55</v>
      </c>
      <c r="C33" s="56" t="s">
        <v>24</v>
      </c>
      <c r="D33" s="57">
        <v>0</v>
      </c>
      <c r="E33" s="41">
        <v>1850</v>
      </c>
      <c r="F33" s="10">
        <f t="shared" si="1"/>
        <v>277.5</v>
      </c>
      <c r="G33" s="10">
        <f t="shared" si="2"/>
        <v>92.5</v>
      </c>
      <c r="H33" s="10">
        <f t="shared" si="0"/>
        <v>1651.125</v>
      </c>
      <c r="I33" s="57">
        <f t="shared" si="3"/>
        <v>0</v>
      </c>
      <c r="K33" s="38"/>
    </row>
    <row r="34" spans="1:11" ht="28.8" x14ac:dyDescent="0.3">
      <c r="A34" s="63" t="s">
        <v>56</v>
      </c>
      <c r="B34" s="55" t="s">
        <v>57</v>
      </c>
      <c r="C34" s="56" t="s">
        <v>24</v>
      </c>
      <c r="D34" s="57">
        <v>0</v>
      </c>
      <c r="E34" s="41">
        <v>1680</v>
      </c>
      <c r="F34" s="10">
        <f t="shared" si="1"/>
        <v>252</v>
      </c>
      <c r="G34" s="10">
        <f t="shared" si="2"/>
        <v>84</v>
      </c>
      <c r="H34" s="10">
        <f t="shared" si="0"/>
        <v>1499.3999999999999</v>
      </c>
      <c r="I34" s="57">
        <f t="shared" si="3"/>
        <v>0</v>
      </c>
      <c r="K34" s="38"/>
    </row>
    <row r="35" spans="1:11" s="27" customFormat="1" ht="15.6" x14ac:dyDescent="0.3">
      <c r="A35" s="59" t="s">
        <v>58</v>
      </c>
      <c r="B35" s="60" t="s">
        <v>59</v>
      </c>
      <c r="C35" s="61" t="s">
        <v>3</v>
      </c>
      <c r="D35" s="62" t="s">
        <v>3</v>
      </c>
      <c r="E35" s="41" t="s">
        <v>3</v>
      </c>
      <c r="F35" s="10" t="str">
        <f t="shared" si="1"/>
        <v/>
      </c>
      <c r="G35" s="10" t="str">
        <f t="shared" si="2"/>
        <v/>
      </c>
      <c r="H35" s="10" t="str">
        <f t="shared" si="0"/>
        <v/>
      </c>
      <c r="I35" s="57" t="str">
        <f t="shared" si="3"/>
        <v/>
      </c>
      <c r="K35" s="38"/>
    </row>
    <row r="36" spans="1:11" s="27" customFormat="1" ht="28.8" x14ac:dyDescent="0.3">
      <c r="A36" s="63" t="s">
        <v>171</v>
      </c>
      <c r="B36" s="55" t="s">
        <v>172</v>
      </c>
      <c r="C36" s="56" t="s">
        <v>24</v>
      </c>
      <c r="D36" s="57">
        <v>0</v>
      </c>
      <c r="E36" s="41">
        <v>2850</v>
      </c>
      <c r="F36" s="10">
        <f t="shared" si="1"/>
        <v>427.5</v>
      </c>
      <c r="G36" s="10">
        <f t="shared" si="2"/>
        <v>142.5</v>
      </c>
      <c r="H36" s="10">
        <f t="shared" si="0"/>
        <v>2543.625</v>
      </c>
      <c r="I36" s="57">
        <f t="shared" si="3"/>
        <v>0</v>
      </c>
      <c r="K36" s="38"/>
    </row>
    <row r="37" spans="1:11" ht="28.8" x14ac:dyDescent="0.3">
      <c r="A37" s="63" t="s">
        <v>60</v>
      </c>
      <c r="B37" s="55" t="s">
        <v>61</v>
      </c>
      <c r="C37" s="56" t="s">
        <v>24</v>
      </c>
      <c r="D37" s="57">
        <v>0</v>
      </c>
      <c r="E37" s="41">
        <v>2300</v>
      </c>
      <c r="F37" s="10">
        <f t="shared" si="1"/>
        <v>345</v>
      </c>
      <c r="G37" s="10">
        <f t="shared" si="2"/>
        <v>115</v>
      </c>
      <c r="H37" s="10">
        <f t="shared" si="0"/>
        <v>2052.75</v>
      </c>
      <c r="I37" s="57">
        <f t="shared" si="3"/>
        <v>0</v>
      </c>
      <c r="K37" s="38"/>
    </row>
    <row r="38" spans="1:11" ht="28.8" x14ac:dyDescent="0.3">
      <c r="A38" s="63" t="s">
        <v>62</v>
      </c>
      <c r="B38" s="55" t="s">
        <v>63</v>
      </c>
      <c r="C38" s="56" t="s">
        <v>24</v>
      </c>
      <c r="D38" s="57">
        <v>0</v>
      </c>
      <c r="E38" s="41">
        <v>3250</v>
      </c>
      <c r="F38" s="10">
        <f t="shared" si="1"/>
        <v>487.5</v>
      </c>
      <c r="G38" s="10">
        <f t="shared" si="2"/>
        <v>162.5</v>
      </c>
      <c r="H38" s="10">
        <f t="shared" si="0"/>
        <v>2900.625</v>
      </c>
      <c r="I38" s="57">
        <f t="shared" si="3"/>
        <v>0</v>
      </c>
      <c r="K38" s="38"/>
    </row>
    <row r="39" spans="1:11" s="27" customFormat="1" ht="15.6" x14ac:dyDescent="0.3">
      <c r="A39" s="59" t="s">
        <v>64</v>
      </c>
      <c r="B39" s="60" t="s">
        <v>65</v>
      </c>
      <c r="C39" s="61" t="s">
        <v>3</v>
      </c>
      <c r="D39" s="62" t="s">
        <v>3</v>
      </c>
      <c r="E39" s="41" t="s">
        <v>3</v>
      </c>
      <c r="F39" s="10" t="str">
        <f t="shared" si="1"/>
        <v/>
      </c>
      <c r="G39" s="10" t="str">
        <f t="shared" si="2"/>
        <v/>
      </c>
      <c r="H39" s="10" t="str">
        <f t="shared" si="0"/>
        <v/>
      </c>
      <c r="I39" s="57" t="str">
        <f t="shared" si="3"/>
        <v/>
      </c>
      <c r="K39" s="38"/>
    </row>
    <row r="40" spans="1:11" x14ac:dyDescent="0.3">
      <c r="A40" s="63" t="s">
        <v>66</v>
      </c>
      <c r="B40" s="55" t="s">
        <v>67</v>
      </c>
      <c r="C40" s="56" t="s">
        <v>24</v>
      </c>
      <c r="D40" s="57">
        <f>D33+D38</f>
        <v>0</v>
      </c>
      <c r="E40" s="41">
        <v>88</v>
      </c>
      <c r="F40" s="10">
        <f t="shared" si="1"/>
        <v>13.2</v>
      </c>
      <c r="G40" s="10">
        <f t="shared" si="2"/>
        <v>4.4000000000000004</v>
      </c>
      <c r="H40" s="10">
        <f t="shared" si="0"/>
        <v>78.540000000000006</v>
      </c>
      <c r="I40" s="57">
        <f t="shared" si="3"/>
        <v>0</v>
      </c>
      <c r="K40" s="38"/>
    </row>
    <row r="41" spans="1:11" s="27" customFormat="1" ht="15.6" x14ac:dyDescent="0.3">
      <c r="A41" s="59" t="s">
        <v>68</v>
      </c>
      <c r="B41" s="60" t="s">
        <v>69</v>
      </c>
      <c r="C41" s="61" t="s">
        <v>3</v>
      </c>
      <c r="D41" s="62" t="s">
        <v>3</v>
      </c>
      <c r="E41" s="41" t="s">
        <v>3</v>
      </c>
      <c r="F41" s="10" t="str">
        <f t="shared" si="1"/>
        <v/>
      </c>
      <c r="G41" s="10" t="str">
        <f t="shared" si="2"/>
        <v/>
      </c>
      <c r="H41" s="10" t="str">
        <f t="shared" si="0"/>
        <v/>
      </c>
      <c r="I41" s="57" t="str">
        <f t="shared" si="3"/>
        <v/>
      </c>
      <c r="K41" s="38"/>
    </row>
    <row r="42" spans="1:11" ht="28.8" x14ac:dyDescent="0.3">
      <c r="A42" s="63" t="s">
        <v>70</v>
      </c>
      <c r="B42" s="55" t="s">
        <v>71</v>
      </c>
      <c r="C42" s="56" t="s">
        <v>24</v>
      </c>
      <c r="D42" s="57">
        <v>0</v>
      </c>
      <c r="E42" s="41">
        <v>717</v>
      </c>
      <c r="F42" s="10">
        <f t="shared" si="1"/>
        <v>107.55</v>
      </c>
      <c r="G42" s="10">
        <f t="shared" si="2"/>
        <v>35.85</v>
      </c>
      <c r="H42" s="10">
        <f t="shared" si="0"/>
        <v>639.92250000000001</v>
      </c>
      <c r="I42" s="57">
        <f t="shared" si="3"/>
        <v>0</v>
      </c>
      <c r="K42" s="38"/>
    </row>
    <row r="43" spans="1:11" ht="28.8" x14ac:dyDescent="0.3">
      <c r="A43" s="63" t="s">
        <v>72</v>
      </c>
      <c r="B43" s="55" t="s">
        <v>73</v>
      </c>
      <c r="C43" s="56" t="s">
        <v>24</v>
      </c>
      <c r="D43" s="57">
        <f>(D33+D38)</f>
        <v>0</v>
      </c>
      <c r="E43" s="41">
        <v>582</v>
      </c>
      <c r="F43" s="10">
        <f t="shared" si="1"/>
        <v>87.3</v>
      </c>
      <c r="G43" s="10">
        <f t="shared" si="2"/>
        <v>29.1</v>
      </c>
      <c r="H43" s="10">
        <f t="shared" si="0"/>
        <v>519.43500000000006</v>
      </c>
      <c r="I43" s="57">
        <f t="shared" si="3"/>
        <v>0</v>
      </c>
      <c r="K43" s="38"/>
    </row>
    <row r="44" spans="1:11" ht="28.2" x14ac:dyDescent="0.3">
      <c r="A44" s="9" t="s">
        <v>218</v>
      </c>
      <c r="B44" s="2" t="s">
        <v>219</v>
      </c>
      <c r="C44" s="3" t="s">
        <v>24</v>
      </c>
      <c r="D44" s="57">
        <v>2.91</v>
      </c>
      <c r="E44" s="41">
        <v>800</v>
      </c>
      <c r="F44" s="10">
        <f t="shared" si="1"/>
        <v>120</v>
      </c>
      <c r="G44" s="10">
        <f t="shared" si="2"/>
        <v>40</v>
      </c>
      <c r="H44" s="10">
        <f t="shared" si="0"/>
        <v>714</v>
      </c>
      <c r="I44" s="57">
        <f t="shared" si="3"/>
        <v>2077.7400000000002</v>
      </c>
      <c r="K44" s="38"/>
    </row>
    <row r="45" spans="1:11" ht="28.8" x14ac:dyDescent="0.3">
      <c r="A45" s="63" t="s">
        <v>173</v>
      </c>
      <c r="B45" s="55" t="s">
        <v>174</v>
      </c>
      <c r="C45" s="56" t="s">
        <v>24</v>
      </c>
      <c r="D45" s="57">
        <v>0</v>
      </c>
      <c r="E45" s="41">
        <v>1440</v>
      </c>
      <c r="F45" s="10">
        <f t="shared" si="1"/>
        <v>216</v>
      </c>
      <c r="G45" s="10">
        <f t="shared" si="2"/>
        <v>72</v>
      </c>
      <c r="H45" s="10">
        <f t="shared" si="0"/>
        <v>1285.2</v>
      </c>
      <c r="I45" s="57">
        <f t="shared" si="3"/>
        <v>0</v>
      </c>
      <c r="K45" s="38"/>
    </row>
    <row r="46" spans="1:11" x14ac:dyDescent="0.3">
      <c r="A46" s="63" t="s">
        <v>74</v>
      </c>
      <c r="B46" s="55" t="s">
        <v>75</v>
      </c>
      <c r="C46" s="56" t="s">
        <v>2</v>
      </c>
      <c r="D46" s="57">
        <v>0</v>
      </c>
      <c r="E46" s="41">
        <v>620</v>
      </c>
      <c r="F46" s="10">
        <f t="shared" si="1"/>
        <v>93</v>
      </c>
      <c r="G46" s="10">
        <f t="shared" si="2"/>
        <v>31</v>
      </c>
      <c r="H46" s="10">
        <f t="shared" si="0"/>
        <v>553.35</v>
      </c>
      <c r="I46" s="57">
        <f t="shared" si="3"/>
        <v>0</v>
      </c>
      <c r="K46" s="38"/>
    </row>
    <row r="47" spans="1:11" x14ac:dyDescent="0.3">
      <c r="A47" s="63" t="s">
        <v>76</v>
      </c>
      <c r="B47" s="55" t="s">
        <v>77</v>
      </c>
      <c r="C47" s="56" t="s">
        <v>2</v>
      </c>
      <c r="D47" s="57">
        <v>0</v>
      </c>
      <c r="E47" s="41">
        <v>750</v>
      </c>
      <c r="F47" s="10">
        <f t="shared" si="1"/>
        <v>112.5</v>
      </c>
      <c r="G47" s="10">
        <f t="shared" si="2"/>
        <v>37.5</v>
      </c>
      <c r="H47" s="10">
        <f t="shared" si="0"/>
        <v>669.375</v>
      </c>
      <c r="I47" s="57">
        <f t="shared" si="3"/>
        <v>0</v>
      </c>
      <c r="K47" s="38"/>
    </row>
    <row r="48" spans="1:11" x14ac:dyDescent="0.3">
      <c r="A48" s="63" t="s">
        <v>78</v>
      </c>
      <c r="B48" s="55" t="s">
        <v>79</v>
      </c>
      <c r="C48" s="56" t="s">
        <v>2</v>
      </c>
      <c r="D48" s="57">
        <v>0</v>
      </c>
      <c r="E48" s="41">
        <v>1020</v>
      </c>
      <c r="F48" s="10">
        <f t="shared" si="1"/>
        <v>153</v>
      </c>
      <c r="G48" s="10">
        <f t="shared" si="2"/>
        <v>51</v>
      </c>
      <c r="H48" s="10">
        <f t="shared" si="0"/>
        <v>910.35</v>
      </c>
      <c r="I48" s="57">
        <f t="shared" si="3"/>
        <v>0</v>
      </c>
      <c r="K48" s="38"/>
    </row>
    <row r="49" spans="1:11" x14ac:dyDescent="0.3">
      <c r="A49" s="63" t="s">
        <v>80</v>
      </c>
      <c r="B49" s="55" t="s">
        <v>81</v>
      </c>
      <c r="C49" s="56" t="s">
        <v>2</v>
      </c>
      <c r="D49" s="57">
        <v>1</v>
      </c>
      <c r="E49" s="41">
        <v>1370</v>
      </c>
      <c r="F49" s="10">
        <f t="shared" si="1"/>
        <v>205.5</v>
      </c>
      <c r="G49" s="10">
        <f t="shared" si="2"/>
        <v>68.5</v>
      </c>
      <c r="H49" s="10">
        <f t="shared" si="0"/>
        <v>1222.7249999999999</v>
      </c>
      <c r="I49" s="57">
        <f t="shared" si="3"/>
        <v>1222.7249999999999</v>
      </c>
      <c r="K49" s="38"/>
    </row>
    <row r="50" spans="1:11" x14ac:dyDescent="0.3">
      <c r="A50" s="63" t="s">
        <v>82</v>
      </c>
      <c r="B50" s="55" t="s">
        <v>83</v>
      </c>
      <c r="C50" s="56" t="s">
        <v>2</v>
      </c>
      <c r="D50" s="57">
        <v>0</v>
      </c>
      <c r="E50" s="41">
        <v>1650</v>
      </c>
      <c r="F50" s="10">
        <f t="shared" si="1"/>
        <v>247.5</v>
      </c>
      <c r="G50" s="10">
        <f t="shared" si="2"/>
        <v>82.5</v>
      </c>
      <c r="H50" s="10">
        <f t="shared" si="0"/>
        <v>1472.625</v>
      </c>
      <c r="I50" s="57">
        <f t="shared" si="3"/>
        <v>0</v>
      </c>
      <c r="K50" s="38"/>
    </row>
    <row r="51" spans="1:11" x14ac:dyDescent="0.3">
      <c r="A51" s="63" t="s">
        <v>84</v>
      </c>
      <c r="B51" s="55" t="s">
        <v>85</v>
      </c>
      <c r="C51" s="56" t="s">
        <v>2</v>
      </c>
      <c r="D51" s="57">
        <v>0</v>
      </c>
      <c r="E51" s="41">
        <v>1820</v>
      </c>
      <c r="F51" s="10">
        <f t="shared" si="1"/>
        <v>273</v>
      </c>
      <c r="G51" s="10">
        <f t="shared" si="2"/>
        <v>91</v>
      </c>
      <c r="H51" s="10">
        <f t="shared" si="0"/>
        <v>1624.35</v>
      </c>
      <c r="I51" s="57">
        <f t="shared" si="3"/>
        <v>0</v>
      </c>
      <c r="K51" s="38"/>
    </row>
    <row r="52" spans="1:11" x14ac:dyDescent="0.3">
      <c r="A52" s="63" t="s">
        <v>86</v>
      </c>
      <c r="B52" s="55" t="s">
        <v>87</v>
      </c>
      <c r="C52" s="56" t="s">
        <v>2</v>
      </c>
      <c r="D52" s="57">
        <v>0</v>
      </c>
      <c r="E52" s="41">
        <v>130</v>
      </c>
      <c r="F52" s="10">
        <f t="shared" si="1"/>
        <v>19.5</v>
      </c>
      <c r="G52" s="10">
        <f t="shared" si="2"/>
        <v>6.5</v>
      </c>
      <c r="H52" s="10">
        <f t="shared" si="0"/>
        <v>116.02499999999999</v>
      </c>
      <c r="I52" s="57">
        <f t="shared" si="3"/>
        <v>0</v>
      </c>
      <c r="K52" s="38"/>
    </row>
    <row r="53" spans="1:11" x14ac:dyDescent="0.3">
      <c r="A53" s="63" t="s">
        <v>175</v>
      </c>
      <c r="B53" s="55" t="s">
        <v>176</v>
      </c>
      <c r="C53" s="56" t="s">
        <v>24</v>
      </c>
      <c r="D53" s="57">
        <v>0</v>
      </c>
      <c r="E53" s="41">
        <v>60</v>
      </c>
      <c r="F53" s="10">
        <f t="shared" si="1"/>
        <v>9</v>
      </c>
      <c r="G53" s="10">
        <f t="shared" si="2"/>
        <v>3</v>
      </c>
      <c r="H53" s="10">
        <f t="shared" si="0"/>
        <v>53.55</v>
      </c>
      <c r="I53" s="57">
        <f t="shared" si="3"/>
        <v>0</v>
      </c>
      <c r="K53" s="38"/>
    </row>
    <row r="54" spans="1:11" x14ac:dyDescent="0.3">
      <c r="A54" s="63" t="s">
        <v>88</v>
      </c>
      <c r="B54" s="55" t="s">
        <v>89</v>
      </c>
      <c r="C54" s="56" t="s">
        <v>2</v>
      </c>
      <c r="D54" s="57">
        <v>0</v>
      </c>
      <c r="E54" s="41">
        <v>109</v>
      </c>
      <c r="F54" s="10">
        <f t="shared" si="1"/>
        <v>16.349999999999998</v>
      </c>
      <c r="G54" s="10">
        <f t="shared" si="2"/>
        <v>5.45</v>
      </c>
      <c r="H54" s="10">
        <f t="shared" si="0"/>
        <v>97.282499999999999</v>
      </c>
      <c r="I54" s="57">
        <f t="shared" si="3"/>
        <v>0</v>
      </c>
      <c r="K54" s="38"/>
    </row>
    <row r="55" spans="1:11" x14ac:dyDescent="0.3">
      <c r="A55" s="63" t="s">
        <v>90</v>
      </c>
      <c r="B55" s="55" t="s">
        <v>91</v>
      </c>
      <c r="C55" s="56" t="s">
        <v>2</v>
      </c>
      <c r="D55" s="57">
        <v>0</v>
      </c>
      <c r="E55" s="41">
        <v>121</v>
      </c>
      <c r="F55" s="10">
        <f t="shared" si="1"/>
        <v>18.149999999999999</v>
      </c>
      <c r="G55" s="10">
        <f t="shared" si="2"/>
        <v>6.0500000000000007</v>
      </c>
      <c r="H55" s="10">
        <f t="shared" si="0"/>
        <v>107.99250000000001</v>
      </c>
      <c r="I55" s="57">
        <f t="shared" si="3"/>
        <v>0</v>
      </c>
      <c r="K55" s="38"/>
    </row>
    <row r="56" spans="1:11" ht="14.4" customHeight="1" x14ac:dyDescent="0.3">
      <c r="A56" s="63" t="s">
        <v>195</v>
      </c>
      <c r="B56" s="55" t="s">
        <v>182</v>
      </c>
      <c r="C56" s="56" t="s">
        <v>2</v>
      </c>
      <c r="D56" s="57">
        <v>0</v>
      </c>
      <c r="E56" s="41">
        <v>133</v>
      </c>
      <c r="F56" s="10">
        <f t="shared" si="1"/>
        <v>19.95</v>
      </c>
      <c r="G56" s="10">
        <f t="shared" si="2"/>
        <v>6.65</v>
      </c>
      <c r="H56" s="10">
        <f t="shared" si="0"/>
        <v>118.7025</v>
      </c>
      <c r="I56" s="57">
        <f t="shared" si="3"/>
        <v>0</v>
      </c>
      <c r="K56" s="38"/>
    </row>
    <row r="57" spans="1:11" ht="14.4" customHeight="1" x14ac:dyDescent="0.3">
      <c r="A57" s="63" t="s">
        <v>196</v>
      </c>
      <c r="B57" s="55" t="s">
        <v>183</v>
      </c>
      <c r="C57" s="56" t="s">
        <v>2</v>
      </c>
      <c r="D57" s="57">
        <v>0</v>
      </c>
      <c r="E57" s="41">
        <v>145</v>
      </c>
      <c r="F57" s="10">
        <f t="shared" si="1"/>
        <v>21.75</v>
      </c>
      <c r="G57" s="10">
        <f t="shared" si="2"/>
        <v>7.25</v>
      </c>
      <c r="H57" s="10">
        <f t="shared" si="0"/>
        <v>129.41249999999999</v>
      </c>
      <c r="I57" s="57">
        <f t="shared" si="3"/>
        <v>0</v>
      </c>
      <c r="K57" s="38"/>
    </row>
    <row r="58" spans="1:11" ht="14.4" customHeight="1" x14ac:dyDescent="0.3">
      <c r="A58" s="63" t="s">
        <v>197</v>
      </c>
      <c r="B58" s="55" t="s">
        <v>184</v>
      </c>
      <c r="C58" s="56" t="s">
        <v>2</v>
      </c>
      <c r="D58" s="57">
        <v>0</v>
      </c>
      <c r="E58" s="41">
        <v>157</v>
      </c>
      <c r="F58" s="10">
        <f t="shared" si="1"/>
        <v>23.55</v>
      </c>
      <c r="G58" s="10">
        <f t="shared" si="2"/>
        <v>7.8500000000000005</v>
      </c>
      <c r="H58" s="10">
        <f t="shared" si="0"/>
        <v>140.1225</v>
      </c>
      <c r="I58" s="57">
        <f t="shared" si="3"/>
        <v>0</v>
      </c>
      <c r="K58" s="38"/>
    </row>
    <row r="59" spans="1:11" ht="14.4" customHeight="1" x14ac:dyDescent="0.3">
      <c r="A59" s="63" t="s">
        <v>198</v>
      </c>
      <c r="B59" s="55" t="s">
        <v>185</v>
      </c>
      <c r="C59" s="56" t="s">
        <v>2</v>
      </c>
      <c r="D59" s="57">
        <v>0</v>
      </c>
      <c r="E59" s="41">
        <v>169</v>
      </c>
      <c r="F59" s="10">
        <f t="shared" si="1"/>
        <v>25.349999999999998</v>
      </c>
      <c r="G59" s="10">
        <f t="shared" si="2"/>
        <v>8.4500000000000011</v>
      </c>
      <c r="H59" s="10">
        <f t="shared" si="0"/>
        <v>150.83250000000001</v>
      </c>
      <c r="I59" s="57">
        <f t="shared" si="3"/>
        <v>0</v>
      </c>
      <c r="K59" s="38"/>
    </row>
    <row r="60" spans="1:11" ht="14.4" customHeight="1" x14ac:dyDescent="0.3">
      <c r="A60" s="63" t="s">
        <v>199</v>
      </c>
      <c r="B60" s="55" t="s">
        <v>186</v>
      </c>
      <c r="C60" s="56" t="s">
        <v>2</v>
      </c>
      <c r="D60" s="57">
        <v>0</v>
      </c>
      <c r="E60" s="41">
        <v>181</v>
      </c>
      <c r="F60" s="10">
        <f t="shared" si="1"/>
        <v>27.15</v>
      </c>
      <c r="G60" s="10">
        <f t="shared" si="2"/>
        <v>9.0500000000000007</v>
      </c>
      <c r="H60" s="10">
        <f t="shared" si="0"/>
        <v>161.54250000000002</v>
      </c>
      <c r="I60" s="57">
        <f t="shared" si="3"/>
        <v>0</v>
      </c>
      <c r="K60" s="38"/>
    </row>
    <row r="61" spans="1:11" ht="14.4" customHeight="1" x14ac:dyDescent="0.3">
      <c r="A61" s="63" t="s">
        <v>200</v>
      </c>
      <c r="B61" s="55" t="s">
        <v>187</v>
      </c>
      <c r="C61" s="56" t="s">
        <v>2</v>
      </c>
      <c r="D61" s="57">
        <v>0</v>
      </c>
      <c r="E61" s="41">
        <v>193</v>
      </c>
      <c r="F61" s="10">
        <f t="shared" si="1"/>
        <v>28.95</v>
      </c>
      <c r="G61" s="10">
        <f t="shared" si="2"/>
        <v>9.65</v>
      </c>
      <c r="H61" s="10">
        <f t="shared" si="0"/>
        <v>172.2525</v>
      </c>
      <c r="I61" s="57">
        <f t="shared" si="3"/>
        <v>0</v>
      </c>
      <c r="K61" s="38"/>
    </row>
    <row r="62" spans="1:11" s="27" customFormat="1" ht="14.4" customHeight="1" x14ac:dyDescent="0.3">
      <c r="A62" s="59" t="s">
        <v>92</v>
      </c>
      <c r="B62" s="60" t="s">
        <v>93</v>
      </c>
      <c r="C62" s="61" t="s">
        <v>3</v>
      </c>
      <c r="D62" s="62" t="s">
        <v>3</v>
      </c>
      <c r="E62" s="41" t="s">
        <v>3</v>
      </c>
      <c r="F62" s="10" t="str">
        <f t="shared" si="1"/>
        <v/>
      </c>
      <c r="G62" s="10" t="str">
        <f t="shared" si="2"/>
        <v/>
      </c>
      <c r="H62" s="10" t="str">
        <f t="shared" si="0"/>
        <v/>
      </c>
      <c r="I62" s="57" t="str">
        <f t="shared" si="3"/>
        <v/>
      </c>
      <c r="K62" s="38"/>
    </row>
    <row r="63" spans="1:11" ht="15" thickBot="1" x14ac:dyDescent="0.35">
      <c r="A63" s="54" t="s">
        <v>94</v>
      </c>
      <c r="B63" s="55" t="s">
        <v>95</v>
      </c>
      <c r="C63" s="56" t="s">
        <v>24</v>
      </c>
      <c r="D63" s="92">
        <v>0</v>
      </c>
      <c r="E63" s="41">
        <v>53</v>
      </c>
      <c r="F63" s="10">
        <f t="shared" si="1"/>
        <v>7.9499999999999993</v>
      </c>
      <c r="G63" s="10">
        <f t="shared" si="2"/>
        <v>2.6500000000000004</v>
      </c>
      <c r="H63" s="10">
        <f t="shared" si="0"/>
        <v>47.302500000000002</v>
      </c>
      <c r="I63" s="57">
        <f t="shared" si="3"/>
        <v>0</v>
      </c>
      <c r="K63" s="38"/>
    </row>
    <row r="64" spans="1:11" ht="43.2" x14ac:dyDescent="0.3">
      <c r="A64" s="54" t="s">
        <v>96</v>
      </c>
      <c r="B64" s="55" t="s">
        <v>97</v>
      </c>
      <c r="C64" s="56" t="s">
        <v>24</v>
      </c>
      <c r="D64" s="57">
        <v>0</v>
      </c>
      <c r="E64" s="41">
        <v>880</v>
      </c>
      <c r="F64" s="10">
        <f t="shared" si="1"/>
        <v>132</v>
      </c>
      <c r="G64" s="10">
        <f t="shared" si="2"/>
        <v>44</v>
      </c>
      <c r="H64" s="10">
        <f t="shared" si="0"/>
        <v>785.4</v>
      </c>
      <c r="I64" s="57">
        <f t="shared" si="3"/>
        <v>0</v>
      </c>
      <c r="K64" s="38"/>
    </row>
    <row r="65" spans="1:11" ht="43.2" x14ac:dyDescent="0.3">
      <c r="A65" s="54" t="s">
        <v>215</v>
      </c>
      <c r="B65" s="55" t="s">
        <v>98</v>
      </c>
      <c r="C65" s="56" t="s">
        <v>24</v>
      </c>
      <c r="D65" s="57">
        <f>D63</f>
        <v>0</v>
      </c>
      <c r="E65" s="41">
        <v>650</v>
      </c>
      <c r="F65" s="10">
        <f t="shared" si="1"/>
        <v>97.5</v>
      </c>
      <c r="G65" s="10">
        <f t="shared" si="2"/>
        <v>32.5</v>
      </c>
      <c r="H65" s="10">
        <f t="shared" si="0"/>
        <v>580.125</v>
      </c>
      <c r="I65" s="57">
        <f t="shared" si="3"/>
        <v>0</v>
      </c>
      <c r="K65" s="38"/>
    </row>
    <row r="66" spans="1:11" s="27" customFormat="1" ht="15.6" x14ac:dyDescent="0.3">
      <c r="A66" s="59" t="s">
        <v>99</v>
      </c>
      <c r="B66" s="60" t="s">
        <v>100</v>
      </c>
      <c r="C66" s="61" t="s">
        <v>3</v>
      </c>
      <c r="D66" s="62" t="s">
        <v>3</v>
      </c>
      <c r="E66" s="41" t="s">
        <v>3</v>
      </c>
      <c r="F66" s="10" t="str">
        <f t="shared" si="1"/>
        <v/>
      </c>
      <c r="G66" s="10" t="str">
        <f t="shared" si="2"/>
        <v/>
      </c>
      <c r="H66" s="10" t="str">
        <f t="shared" si="0"/>
        <v/>
      </c>
      <c r="I66" s="57" t="str">
        <f t="shared" si="3"/>
        <v/>
      </c>
      <c r="K66" s="38"/>
    </row>
    <row r="67" spans="1:11" x14ac:dyDescent="0.3">
      <c r="A67" s="63" t="s">
        <v>101</v>
      </c>
      <c r="B67" s="55" t="s">
        <v>102</v>
      </c>
      <c r="C67" s="56" t="s">
        <v>24</v>
      </c>
      <c r="D67" s="57">
        <v>0</v>
      </c>
      <c r="E67" s="41">
        <v>265</v>
      </c>
      <c r="F67" s="10">
        <f t="shared" si="1"/>
        <v>39.75</v>
      </c>
      <c r="G67" s="10">
        <f t="shared" si="2"/>
        <v>13.25</v>
      </c>
      <c r="H67" s="10">
        <f t="shared" si="0"/>
        <v>236.51249999999999</v>
      </c>
      <c r="I67" s="57">
        <f t="shared" si="3"/>
        <v>0</v>
      </c>
      <c r="K67" s="38"/>
    </row>
    <row r="68" spans="1:11" x14ac:dyDescent="0.3">
      <c r="A68" s="64" t="s">
        <v>103</v>
      </c>
      <c r="B68" s="65" t="s">
        <v>104</v>
      </c>
      <c r="C68" s="56" t="s">
        <v>24</v>
      </c>
      <c r="D68" s="138">
        <f>-D70</f>
        <v>2.4849999999999999</v>
      </c>
      <c r="E68" s="41">
        <v>375</v>
      </c>
      <c r="F68" s="10">
        <f t="shared" si="1"/>
        <v>56.25</v>
      </c>
      <c r="G68" s="10">
        <f t="shared" si="2"/>
        <v>18.75</v>
      </c>
      <c r="H68" s="10">
        <f t="shared" si="0"/>
        <v>334.6875</v>
      </c>
      <c r="I68" s="57">
        <f t="shared" si="3"/>
        <v>831.69843749999995</v>
      </c>
      <c r="K68" s="38"/>
    </row>
    <row r="69" spans="1:11" x14ac:dyDescent="0.3">
      <c r="A69" s="64" t="s">
        <v>105</v>
      </c>
      <c r="B69" s="65" t="s">
        <v>106</v>
      </c>
      <c r="C69" s="56" t="s">
        <v>24</v>
      </c>
      <c r="D69" s="57">
        <f>-D19</f>
        <v>0</v>
      </c>
      <c r="E69" s="41">
        <v>317</v>
      </c>
      <c r="F69" s="10">
        <f t="shared" si="1"/>
        <v>47.55</v>
      </c>
      <c r="G69" s="10">
        <f t="shared" si="2"/>
        <v>15.850000000000001</v>
      </c>
      <c r="H69" s="10">
        <f t="shared" si="0"/>
        <v>282.92250000000001</v>
      </c>
      <c r="I69" s="57">
        <f t="shared" si="3"/>
        <v>0</v>
      </c>
      <c r="K69" s="38"/>
    </row>
    <row r="70" spans="1:11" x14ac:dyDescent="0.3">
      <c r="A70" s="64" t="s">
        <v>107</v>
      </c>
      <c r="B70" s="65" t="s">
        <v>108</v>
      </c>
      <c r="C70" s="56" t="s">
        <v>24</v>
      </c>
      <c r="D70" s="138">
        <v>-2.4849999999999999</v>
      </c>
      <c r="E70" s="140">
        <v>172</v>
      </c>
      <c r="F70" s="10">
        <f t="shared" si="1"/>
        <v>25.8</v>
      </c>
      <c r="G70" s="10">
        <f t="shared" si="2"/>
        <v>8.6</v>
      </c>
      <c r="H70" s="10">
        <f t="shared" si="0"/>
        <v>153.51</v>
      </c>
      <c r="I70" s="57">
        <f t="shared" si="3"/>
        <v>-381.47234999999995</v>
      </c>
      <c r="K70" s="38"/>
    </row>
    <row r="71" spans="1:11" x14ac:dyDescent="0.3">
      <c r="A71" s="63" t="s">
        <v>109</v>
      </c>
      <c r="B71" s="55" t="s">
        <v>110</v>
      </c>
      <c r="C71" s="56" t="s">
        <v>24</v>
      </c>
      <c r="D71" s="57">
        <f>-D67</f>
        <v>0</v>
      </c>
      <c r="E71" s="41">
        <v>94</v>
      </c>
      <c r="F71" s="10">
        <f t="shared" si="1"/>
        <v>14.1</v>
      </c>
      <c r="G71" s="10">
        <f t="shared" si="2"/>
        <v>4.7</v>
      </c>
      <c r="H71" s="10">
        <f t="shared" si="0"/>
        <v>83.894999999999996</v>
      </c>
      <c r="I71" s="57">
        <f t="shared" si="3"/>
        <v>0</v>
      </c>
      <c r="K71" s="38"/>
    </row>
    <row r="72" spans="1:11" x14ac:dyDescent="0.3">
      <c r="A72" s="63" t="s">
        <v>111</v>
      </c>
      <c r="B72" s="55" t="s">
        <v>112</v>
      </c>
      <c r="C72" s="56" t="s">
        <v>24</v>
      </c>
      <c r="D72" s="57">
        <v>0</v>
      </c>
      <c r="E72" s="41">
        <v>157</v>
      </c>
      <c r="F72" s="10">
        <f t="shared" si="1"/>
        <v>23.55</v>
      </c>
      <c r="G72" s="10">
        <f t="shared" si="2"/>
        <v>7.8500000000000005</v>
      </c>
      <c r="H72" s="10">
        <f t="shared" si="0"/>
        <v>140.1225</v>
      </c>
      <c r="I72" s="57">
        <f t="shared" si="3"/>
        <v>0</v>
      </c>
      <c r="K72" s="38"/>
    </row>
    <row r="73" spans="1:11" s="27" customFormat="1" ht="15.6" x14ac:dyDescent="0.3">
      <c r="A73" s="59" t="s">
        <v>113</v>
      </c>
      <c r="B73" s="60" t="s">
        <v>114</v>
      </c>
      <c r="C73" s="61" t="s">
        <v>3</v>
      </c>
      <c r="D73" s="62" t="s">
        <v>3</v>
      </c>
      <c r="E73" s="41" t="s">
        <v>3</v>
      </c>
      <c r="F73" s="10" t="str">
        <f t="shared" si="1"/>
        <v/>
      </c>
      <c r="G73" s="10" t="str">
        <f t="shared" si="2"/>
        <v/>
      </c>
      <c r="H73" s="10" t="str">
        <f t="shared" si="0"/>
        <v/>
      </c>
      <c r="I73" s="57" t="str">
        <f t="shared" si="3"/>
        <v/>
      </c>
      <c r="K73" s="38"/>
    </row>
    <row r="74" spans="1:11" s="27" customFormat="1" ht="15.6" x14ac:dyDescent="0.3">
      <c r="A74" s="59" t="s">
        <v>115</v>
      </c>
      <c r="B74" s="60" t="s">
        <v>116</v>
      </c>
      <c r="C74" s="61" t="s">
        <v>3</v>
      </c>
      <c r="D74" s="62" t="s">
        <v>3</v>
      </c>
      <c r="E74" s="41" t="s">
        <v>3</v>
      </c>
      <c r="F74" s="10" t="str">
        <f t="shared" si="1"/>
        <v/>
      </c>
      <c r="G74" s="10" t="str">
        <f t="shared" si="2"/>
        <v/>
      </c>
      <c r="H74" s="10" t="str">
        <f t="shared" si="0"/>
        <v/>
      </c>
      <c r="I74" s="57" t="str">
        <f t="shared" si="3"/>
        <v/>
      </c>
      <c r="K74" s="38"/>
    </row>
    <row r="75" spans="1:11" ht="28.8" x14ac:dyDescent="0.3">
      <c r="A75" s="63" t="s">
        <v>117</v>
      </c>
      <c r="B75" s="55" t="s">
        <v>118</v>
      </c>
      <c r="C75" s="56" t="s">
        <v>17</v>
      </c>
      <c r="D75" s="57">
        <v>0</v>
      </c>
      <c r="E75" s="41">
        <v>3500</v>
      </c>
      <c r="F75" s="10">
        <f t="shared" si="1"/>
        <v>525</v>
      </c>
      <c r="G75" s="10">
        <f t="shared" si="2"/>
        <v>175</v>
      </c>
      <c r="H75" s="10">
        <f t="shared" si="0"/>
        <v>3123.75</v>
      </c>
      <c r="I75" s="57">
        <f t="shared" si="3"/>
        <v>0</v>
      </c>
      <c r="K75" s="38"/>
    </row>
    <row r="76" spans="1:11" ht="43.2" x14ac:dyDescent="0.3">
      <c r="A76" s="63" t="s">
        <v>119</v>
      </c>
      <c r="B76" s="55" t="s">
        <v>120</v>
      </c>
      <c r="C76" s="56" t="s">
        <v>4</v>
      </c>
      <c r="D76" s="57">
        <v>0</v>
      </c>
      <c r="E76" s="41">
        <v>172</v>
      </c>
      <c r="F76" s="10">
        <f t="shared" si="1"/>
        <v>25.8</v>
      </c>
      <c r="G76" s="10">
        <f t="shared" si="2"/>
        <v>8.6</v>
      </c>
      <c r="H76" s="10">
        <f t="shared" si="0"/>
        <v>153.51</v>
      </c>
      <c r="I76" s="57">
        <f t="shared" si="3"/>
        <v>0</v>
      </c>
      <c r="K76" s="38"/>
    </row>
    <row r="77" spans="1:11" x14ac:dyDescent="0.3">
      <c r="A77" s="63" t="s">
        <v>177</v>
      </c>
      <c r="B77" s="55" t="s">
        <v>178</v>
      </c>
      <c r="C77" s="56" t="s">
        <v>24</v>
      </c>
      <c r="D77" s="57">
        <f>SUM(D17:D19,D25:D27,D29:D30,D32:D34,D36:D38)*0</f>
        <v>0</v>
      </c>
      <c r="E77" s="41">
        <v>48</v>
      </c>
      <c r="F77" s="10">
        <f t="shared" si="1"/>
        <v>7.1999999999999993</v>
      </c>
      <c r="G77" s="10">
        <f t="shared" si="2"/>
        <v>2.4000000000000004</v>
      </c>
      <c r="H77" s="10">
        <f t="shared" si="0"/>
        <v>42.84</v>
      </c>
      <c r="I77" s="57">
        <f t="shared" si="3"/>
        <v>0</v>
      </c>
      <c r="K77" s="38"/>
    </row>
    <row r="78" spans="1:11" s="27" customFormat="1" ht="15.6" x14ac:dyDescent="0.3">
      <c r="A78" s="59" t="s">
        <v>121</v>
      </c>
      <c r="B78" s="60" t="s">
        <v>122</v>
      </c>
      <c r="C78" s="61" t="s">
        <v>3</v>
      </c>
      <c r="D78" s="62" t="s">
        <v>3</v>
      </c>
      <c r="E78" s="41" t="s">
        <v>3</v>
      </c>
      <c r="F78" s="10" t="str">
        <f t="shared" si="1"/>
        <v/>
      </c>
      <c r="G78" s="10" t="str">
        <f t="shared" si="2"/>
        <v/>
      </c>
      <c r="H78" s="10" t="str">
        <f t="shared" ref="H78:H92" si="4">IF(E78="","",E78*1.05*0.85)</f>
        <v/>
      </c>
      <c r="I78" s="57" t="str">
        <f t="shared" si="3"/>
        <v/>
      </c>
      <c r="K78" s="38"/>
    </row>
    <row r="79" spans="1:11" s="27" customFormat="1" ht="15.6" x14ac:dyDescent="0.3">
      <c r="A79" s="59" t="s">
        <v>123</v>
      </c>
      <c r="B79" s="60" t="s">
        <v>124</v>
      </c>
      <c r="C79" s="61" t="s">
        <v>3</v>
      </c>
      <c r="D79" s="62" t="s">
        <v>3</v>
      </c>
      <c r="E79" s="41" t="s">
        <v>3</v>
      </c>
      <c r="F79" s="10" t="str">
        <f t="shared" si="1"/>
        <v/>
      </c>
      <c r="G79" s="10" t="str">
        <f t="shared" si="2"/>
        <v/>
      </c>
      <c r="H79" s="10" t="str">
        <f t="shared" si="4"/>
        <v/>
      </c>
      <c r="I79" s="57" t="str">
        <f t="shared" si="3"/>
        <v/>
      </c>
      <c r="K79" s="38"/>
    </row>
    <row r="80" spans="1:11" s="27" customFormat="1" ht="15.6" x14ac:dyDescent="0.3">
      <c r="A80" s="9" t="s">
        <v>208</v>
      </c>
      <c r="B80" s="55" t="s">
        <v>209</v>
      </c>
      <c r="C80" s="56" t="s">
        <v>125</v>
      </c>
      <c r="D80" s="57">
        <v>0</v>
      </c>
      <c r="E80" s="41">
        <v>130</v>
      </c>
      <c r="F80" s="10">
        <f t="shared" si="1"/>
        <v>19.5</v>
      </c>
      <c r="G80" s="10">
        <f t="shared" si="2"/>
        <v>6.5</v>
      </c>
      <c r="H80" s="10">
        <f t="shared" si="4"/>
        <v>116.02499999999999</v>
      </c>
      <c r="I80" s="57">
        <f t="shared" si="3"/>
        <v>0</v>
      </c>
      <c r="K80" s="38"/>
    </row>
    <row r="81" spans="1:15" s="27" customFormat="1" ht="15.6" x14ac:dyDescent="0.3">
      <c r="A81" s="9" t="s">
        <v>169</v>
      </c>
      <c r="B81" s="55" t="s">
        <v>170</v>
      </c>
      <c r="C81" s="56" t="s">
        <v>125</v>
      </c>
      <c r="D81" s="57">
        <v>2</v>
      </c>
      <c r="E81" s="41">
        <v>145</v>
      </c>
      <c r="F81" s="10">
        <f t="shared" si="1"/>
        <v>21.75</v>
      </c>
      <c r="G81" s="10">
        <f t="shared" si="2"/>
        <v>7.25</v>
      </c>
      <c r="H81" s="10">
        <f t="shared" si="4"/>
        <v>129.41249999999999</v>
      </c>
      <c r="I81" s="57">
        <f t="shared" si="3"/>
        <v>258.82499999999999</v>
      </c>
      <c r="K81" s="38"/>
    </row>
    <row r="82" spans="1:15" s="27" customFormat="1" ht="15.6" x14ac:dyDescent="0.3">
      <c r="A82" s="59" t="s">
        <v>126</v>
      </c>
      <c r="B82" s="60" t="s">
        <v>127</v>
      </c>
      <c r="C82" s="61" t="s">
        <v>3</v>
      </c>
      <c r="D82" s="62" t="s">
        <v>3</v>
      </c>
      <c r="E82" s="41" t="s">
        <v>3</v>
      </c>
      <c r="F82" s="10" t="str">
        <f t="shared" ref="F82:F92" si="5">IF(E82="","",E82*0.15)</f>
        <v/>
      </c>
      <c r="G82" s="10" t="str">
        <f t="shared" ref="G82:G92" si="6">IF(E82="","",E82*0.05)</f>
        <v/>
      </c>
      <c r="H82" s="10" t="str">
        <f t="shared" si="4"/>
        <v/>
      </c>
      <c r="I82" s="57" t="str">
        <f t="shared" ref="I82:I91" si="7">IF(D82="","",H82*D82)</f>
        <v/>
      </c>
      <c r="K82" s="38"/>
    </row>
    <row r="83" spans="1:15" ht="28.8" x14ac:dyDescent="0.3">
      <c r="A83" s="63" t="s">
        <v>128</v>
      </c>
      <c r="B83" s="55" t="s">
        <v>129</v>
      </c>
      <c r="C83" s="56" t="s">
        <v>2</v>
      </c>
      <c r="D83" s="57">
        <v>0</v>
      </c>
      <c r="E83" s="41">
        <v>1460</v>
      </c>
      <c r="F83" s="10">
        <f t="shared" si="5"/>
        <v>219</v>
      </c>
      <c r="G83" s="10">
        <f t="shared" si="6"/>
        <v>73</v>
      </c>
      <c r="H83" s="10">
        <f t="shared" si="4"/>
        <v>1303.05</v>
      </c>
      <c r="I83" s="57">
        <f t="shared" si="7"/>
        <v>0</v>
      </c>
      <c r="K83" s="38"/>
    </row>
    <row r="84" spans="1:15" ht="28.8" x14ac:dyDescent="0.3">
      <c r="A84" s="63" t="s">
        <v>130</v>
      </c>
      <c r="B84" s="55" t="s">
        <v>131</v>
      </c>
      <c r="C84" s="56" t="s">
        <v>2</v>
      </c>
      <c r="D84" s="57">
        <v>0</v>
      </c>
      <c r="E84" s="41">
        <v>1810</v>
      </c>
      <c r="F84" s="10">
        <f t="shared" si="5"/>
        <v>271.5</v>
      </c>
      <c r="G84" s="10">
        <f t="shared" si="6"/>
        <v>90.5</v>
      </c>
      <c r="H84" s="10">
        <f t="shared" si="4"/>
        <v>1615.425</v>
      </c>
      <c r="I84" s="57">
        <f t="shared" si="7"/>
        <v>0</v>
      </c>
      <c r="K84" s="38"/>
    </row>
    <row r="85" spans="1:15" ht="28.2" x14ac:dyDescent="0.3">
      <c r="A85" s="9" t="s">
        <v>204</v>
      </c>
      <c r="B85" s="2" t="s">
        <v>205</v>
      </c>
      <c r="C85" s="3" t="s">
        <v>2</v>
      </c>
      <c r="D85" s="57">
        <v>0</v>
      </c>
      <c r="E85" s="41">
        <v>2200</v>
      </c>
      <c r="F85" s="10">
        <f t="shared" si="5"/>
        <v>330</v>
      </c>
      <c r="G85" s="10">
        <f t="shared" si="6"/>
        <v>110</v>
      </c>
      <c r="H85" s="10">
        <f t="shared" si="4"/>
        <v>1963.5</v>
      </c>
      <c r="I85" s="57">
        <f t="shared" si="7"/>
        <v>0</v>
      </c>
      <c r="K85" s="38"/>
    </row>
    <row r="86" spans="1:15" s="27" customFormat="1" ht="15.6" x14ac:dyDescent="0.3">
      <c r="A86" s="59" t="s">
        <v>132</v>
      </c>
      <c r="B86" s="60" t="s">
        <v>133</v>
      </c>
      <c r="C86" s="61" t="s">
        <v>3</v>
      </c>
      <c r="D86" s="62" t="s">
        <v>3</v>
      </c>
      <c r="E86" s="41" t="s">
        <v>3</v>
      </c>
      <c r="F86" s="10" t="str">
        <f t="shared" si="5"/>
        <v/>
      </c>
      <c r="G86" s="10" t="str">
        <f t="shared" si="6"/>
        <v/>
      </c>
      <c r="H86" s="10" t="str">
        <f t="shared" si="4"/>
        <v/>
      </c>
      <c r="I86" s="57" t="str">
        <f t="shared" si="7"/>
        <v/>
      </c>
      <c r="K86" s="38"/>
    </row>
    <row r="87" spans="1:15" s="27" customFormat="1" ht="15.6" x14ac:dyDescent="0.3">
      <c r="A87" s="59" t="s">
        <v>134</v>
      </c>
      <c r="B87" s="60" t="s">
        <v>135</v>
      </c>
      <c r="C87" s="61" t="s">
        <v>3</v>
      </c>
      <c r="D87" s="62" t="s">
        <v>3</v>
      </c>
      <c r="E87" s="41" t="s">
        <v>3</v>
      </c>
      <c r="F87" s="10" t="str">
        <f t="shared" si="5"/>
        <v/>
      </c>
      <c r="G87" s="10" t="str">
        <f t="shared" si="6"/>
        <v/>
      </c>
      <c r="H87" s="10" t="str">
        <f t="shared" si="4"/>
        <v/>
      </c>
      <c r="I87" s="57" t="str">
        <f t="shared" si="7"/>
        <v/>
      </c>
      <c r="K87" s="38"/>
    </row>
    <row r="88" spans="1:15" ht="43.2" x14ac:dyDescent="0.3">
      <c r="A88" s="63" t="s">
        <v>136</v>
      </c>
      <c r="B88" s="55" t="s">
        <v>137</v>
      </c>
      <c r="C88" s="56" t="s">
        <v>24</v>
      </c>
      <c r="D88" s="57">
        <v>0.42599999999999999</v>
      </c>
      <c r="E88" s="41">
        <v>129.78142076502732</v>
      </c>
      <c r="F88" s="10">
        <f t="shared" si="5"/>
        <v>19.467213114754099</v>
      </c>
      <c r="G88" s="10">
        <f t="shared" si="6"/>
        <v>6.4890710382513666</v>
      </c>
      <c r="H88" s="10">
        <f t="shared" si="4"/>
        <v>115.82991803278689</v>
      </c>
      <c r="I88" s="57">
        <f t="shared" si="7"/>
        <v>49.343545081967214</v>
      </c>
      <c r="K88" s="38"/>
    </row>
    <row r="89" spans="1:15" x14ac:dyDescent="0.3">
      <c r="A89" s="54" t="s">
        <v>138</v>
      </c>
      <c r="B89" s="55" t="s">
        <v>139</v>
      </c>
      <c r="C89" s="56" t="s">
        <v>2</v>
      </c>
      <c r="D89" s="57">
        <v>0</v>
      </c>
      <c r="E89" s="41">
        <v>2375.3501400560222</v>
      </c>
      <c r="F89" s="10">
        <f t="shared" si="5"/>
        <v>356.30252100840329</v>
      </c>
      <c r="G89" s="10">
        <f t="shared" si="6"/>
        <v>118.76750700280111</v>
      </c>
      <c r="H89" s="10">
        <f t="shared" si="4"/>
        <v>2120</v>
      </c>
      <c r="I89" s="57">
        <f t="shared" si="7"/>
        <v>0</v>
      </c>
      <c r="K89" s="38"/>
    </row>
    <row r="90" spans="1:15" x14ac:dyDescent="0.3">
      <c r="A90" s="54" t="s">
        <v>140</v>
      </c>
      <c r="B90" s="55" t="s">
        <v>141</v>
      </c>
      <c r="C90" s="56" t="s">
        <v>2</v>
      </c>
      <c r="D90" s="57">
        <v>0</v>
      </c>
      <c r="E90" s="41">
        <v>950.14005602240888</v>
      </c>
      <c r="F90" s="10">
        <f t="shared" si="5"/>
        <v>142.52100840336132</v>
      </c>
      <c r="G90" s="10">
        <f t="shared" si="6"/>
        <v>47.50700280112045</v>
      </c>
      <c r="H90" s="10">
        <f t="shared" si="4"/>
        <v>848</v>
      </c>
      <c r="I90" s="57">
        <f t="shared" si="7"/>
        <v>0</v>
      </c>
      <c r="K90" s="38"/>
    </row>
    <row r="91" spans="1:15" ht="28.8" x14ac:dyDescent="0.3">
      <c r="A91" s="54" t="s">
        <v>165</v>
      </c>
      <c r="B91" s="55" t="s">
        <v>166</v>
      </c>
      <c r="C91" s="56" t="s">
        <v>167</v>
      </c>
      <c r="D91" s="139">
        <f>SUM(I17:I20,I25:I27,I29:I30,I32:I34,I36:I38,I42:I45,I64:I65,I89:I90)/0.85/1.05</f>
        <v>7986.3449999999993</v>
      </c>
      <c r="E91" s="41">
        <v>0.06</v>
      </c>
      <c r="F91" s="10">
        <f t="shared" si="5"/>
        <v>8.9999999999999993E-3</v>
      </c>
      <c r="G91" s="10">
        <f t="shared" si="6"/>
        <v>3.0000000000000001E-3</v>
      </c>
      <c r="H91" s="10">
        <f t="shared" si="4"/>
        <v>5.355E-2</v>
      </c>
      <c r="I91" s="57">
        <f t="shared" si="7"/>
        <v>427.66877474999995</v>
      </c>
      <c r="K91" s="38"/>
    </row>
    <row r="92" spans="1:15" ht="55.8" x14ac:dyDescent="0.3">
      <c r="A92" s="48" t="s">
        <v>162</v>
      </c>
      <c r="B92" s="2" t="s">
        <v>163</v>
      </c>
      <c r="C92" s="3" t="s">
        <v>164</v>
      </c>
      <c r="D92" s="3">
        <v>0</v>
      </c>
      <c r="E92" s="41">
        <v>3500</v>
      </c>
      <c r="F92" s="10">
        <f t="shared" si="5"/>
        <v>525</v>
      </c>
      <c r="G92" s="10">
        <f t="shared" si="6"/>
        <v>175</v>
      </c>
      <c r="H92" s="10">
        <f t="shared" si="4"/>
        <v>3123.75</v>
      </c>
      <c r="I92" s="57">
        <f>H92*D92</f>
        <v>0</v>
      </c>
      <c r="K92" s="38"/>
      <c r="L92"/>
      <c r="M92"/>
      <c r="N92"/>
      <c r="O92"/>
    </row>
    <row r="93" spans="1:15" x14ac:dyDescent="0.3">
      <c r="A93" s="21" t="s">
        <v>3</v>
      </c>
      <c r="B93" s="22" t="s">
        <v>152</v>
      </c>
      <c r="C93" s="23"/>
      <c r="D93" s="24"/>
      <c r="E93" s="25"/>
      <c r="F93" s="24"/>
      <c r="G93" s="24"/>
      <c r="H93" s="24"/>
      <c r="I93" s="31">
        <f>SUMIF(A:A,"01.*",I:I)</f>
        <v>0</v>
      </c>
      <c r="K93"/>
      <c r="L93"/>
      <c r="M93"/>
      <c r="N93"/>
      <c r="O93"/>
    </row>
    <row r="94" spans="1:15" x14ac:dyDescent="0.3">
      <c r="A94" s="21" t="s">
        <v>3</v>
      </c>
      <c r="B94" s="22" t="s">
        <v>153</v>
      </c>
      <c r="C94" s="23"/>
      <c r="D94" s="24"/>
      <c r="E94" s="25"/>
      <c r="F94" s="24"/>
      <c r="G94" s="24"/>
      <c r="H94" s="24"/>
      <c r="I94" s="31">
        <f>SUMIF(A:A,"05.*",I:I)</f>
        <v>0</v>
      </c>
      <c r="K94"/>
      <c r="L94"/>
      <c r="M94"/>
      <c r="N94"/>
      <c r="O94"/>
    </row>
    <row r="95" spans="1:15" x14ac:dyDescent="0.3">
      <c r="A95" s="21" t="s">
        <v>3</v>
      </c>
      <c r="B95" s="22" t="s">
        <v>154</v>
      </c>
      <c r="C95" s="23"/>
      <c r="D95" s="24"/>
      <c r="E95" s="25"/>
      <c r="F95" s="24"/>
      <c r="G95" s="24"/>
      <c r="H95" s="24"/>
      <c r="I95" s="31">
        <f>SUMIF(A:A,"09.*",I:I)</f>
        <v>0</v>
      </c>
      <c r="K95"/>
      <c r="L95"/>
      <c r="M95"/>
      <c r="N95"/>
      <c r="O95"/>
    </row>
    <row r="96" spans="1:15" x14ac:dyDescent="0.3">
      <c r="A96" s="21" t="s">
        <v>3</v>
      </c>
      <c r="B96" s="22" t="s">
        <v>155</v>
      </c>
      <c r="C96" s="23"/>
      <c r="D96" s="24"/>
      <c r="E96" s="25"/>
      <c r="F96" s="24"/>
      <c r="G96" s="24"/>
      <c r="H96" s="24"/>
      <c r="I96" s="31">
        <f>SUMIF(A:A,"11.*",I:I)</f>
        <v>0</v>
      </c>
      <c r="K96"/>
      <c r="L96"/>
      <c r="M96"/>
      <c r="N96"/>
      <c r="O96"/>
    </row>
    <row r="97" spans="1:15" x14ac:dyDescent="0.3">
      <c r="A97" s="21" t="s">
        <v>3</v>
      </c>
      <c r="B97" s="22" t="s">
        <v>156</v>
      </c>
      <c r="C97" s="23"/>
      <c r="D97" s="24"/>
      <c r="E97" s="25"/>
      <c r="F97" s="24"/>
      <c r="G97" s="24"/>
      <c r="H97" s="24"/>
      <c r="I97" s="31">
        <f>SUMIF(A:A,"12.*",I:I)</f>
        <v>9442.63277475</v>
      </c>
      <c r="K97"/>
      <c r="L97"/>
      <c r="M97"/>
      <c r="N97"/>
      <c r="O97"/>
    </row>
    <row r="98" spans="1:15" x14ac:dyDescent="0.3">
      <c r="A98" s="21" t="s">
        <v>3</v>
      </c>
      <c r="B98" s="22" t="s">
        <v>157</v>
      </c>
      <c r="C98" s="23"/>
      <c r="D98" s="24"/>
      <c r="E98" s="25"/>
      <c r="F98" s="24"/>
      <c r="G98" s="24"/>
      <c r="H98" s="24"/>
      <c r="I98" s="31">
        <f>SUMIF(A:A,"15.*",I:I)</f>
        <v>0</v>
      </c>
      <c r="K98"/>
      <c r="L98"/>
      <c r="M98"/>
      <c r="N98"/>
      <c r="O98"/>
    </row>
    <row r="99" spans="1:15" x14ac:dyDescent="0.3">
      <c r="A99" s="21"/>
      <c r="B99" s="90" t="s">
        <v>181</v>
      </c>
      <c r="C99" s="23"/>
      <c r="D99" s="24"/>
      <c r="E99" s="25"/>
      <c r="F99" s="24"/>
      <c r="G99" s="24"/>
      <c r="H99" s="24"/>
      <c r="I99" s="31">
        <f>SUMIF(A:A,"30.*",I:I)</f>
        <v>0</v>
      </c>
      <c r="K99"/>
      <c r="L99"/>
      <c r="M99"/>
      <c r="N99"/>
      <c r="O99"/>
    </row>
    <row r="100" spans="1:15" x14ac:dyDescent="0.3">
      <c r="A100" s="21" t="s">
        <v>3</v>
      </c>
      <c r="B100" s="22" t="s">
        <v>158</v>
      </c>
      <c r="C100" s="23"/>
      <c r="D100" s="24"/>
      <c r="E100" s="25"/>
      <c r="F100" s="24"/>
      <c r="G100" s="24"/>
      <c r="H100" s="24"/>
      <c r="I100" s="31">
        <f>SUMIF(A:A,"60.*",I:I)</f>
        <v>258.82499999999999</v>
      </c>
      <c r="K100"/>
      <c r="L100"/>
      <c r="M100"/>
      <c r="N100"/>
      <c r="O100"/>
    </row>
    <row r="101" spans="1:15" x14ac:dyDescent="0.3">
      <c r="A101" s="21" t="s">
        <v>3</v>
      </c>
      <c r="B101" s="22" t="s">
        <v>159</v>
      </c>
      <c r="C101" s="23"/>
      <c r="D101" s="24"/>
      <c r="E101" s="25"/>
      <c r="F101" s="24"/>
      <c r="G101" s="24"/>
      <c r="H101" s="24"/>
      <c r="I101" s="31">
        <f>SUMIF(A:A,"85.*",I:I)</f>
        <v>49.343545081967214</v>
      </c>
      <c r="K101"/>
      <c r="L101"/>
      <c r="M101"/>
      <c r="N101"/>
      <c r="O101"/>
    </row>
    <row r="102" spans="1:15" x14ac:dyDescent="0.3">
      <c r="A102" s="28" t="s">
        <v>3</v>
      </c>
      <c r="B102" s="29" t="s">
        <v>160</v>
      </c>
      <c r="C102" s="23"/>
      <c r="D102" s="24"/>
      <c r="E102" s="25"/>
      <c r="F102" s="30"/>
      <c r="G102" s="30"/>
      <c r="H102" s="30"/>
      <c r="I102" s="30">
        <f>SUM(I93:I101)</f>
        <v>9750.8013198319677</v>
      </c>
      <c r="K102"/>
      <c r="L102"/>
      <c r="M102"/>
      <c r="N102"/>
      <c r="O102"/>
    </row>
    <row r="103" spans="1:15" x14ac:dyDescent="0.3">
      <c r="A103" s="28" t="s">
        <v>3</v>
      </c>
      <c r="B103" s="29" t="s">
        <v>161</v>
      </c>
      <c r="C103" s="23"/>
      <c r="D103" s="24"/>
      <c r="E103" s="25"/>
      <c r="F103" s="30"/>
      <c r="G103" s="30"/>
      <c r="H103" s="30"/>
      <c r="I103" s="30">
        <f t="shared" ref="I103" si="8">(I102 * (1 / 100 * 18))</f>
        <v>1755.1442375697541</v>
      </c>
      <c r="K103"/>
      <c r="L103"/>
      <c r="M103"/>
      <c r="N103"/>
      <c r="O103"/>
    </row>
    <row r="104" spans="1:15" x14ac:dyDescent="0.3">
      <c r="A104" s="32" t="s">
        <v>3</v>
      </c>
      <c r="B104" s="33" t="s">
        <v>160</v>
      </c>
      <c r="C104" s="34"/>
      <c r="D104" s="35"/>
      <c r="E104" s="36"/>
      <c r="F104" s="37"/>
      <c r="G104" s="37"/>
      <c r="H104" s="37"/>
      <c r="I104" s="37">
        <f t="shared" ref="I104" si="9">I102 + I103</f>
        <v>11505.945557401721</v>
      </c>
      <c r="K104"/>
      <c r="L104"/>
      <c r="M104"/>
      <c r="N104"/>
      <c r="O104"/>
    </row>
  </sheetData>
  <conditionalFormatting sqref="A7:D84">
    <cfRule type="expression" dxfId="38" priority="2">
      <formula>$K7="אין"</formula>
    </cfRule>
  </conditionalFormatting>
  <conditionalFormatting sqref="F7:K92 D85 A86:D90 A92:D92 A91:C91">
    <cfRule type="expression" dxfId="37" priority="3">
      <formula>$K7="אין"</formula>
    </cfRule>
  </conditionalFormatting>
  <conditionalFormatting sqref="D91">
    <cfRule type="expression" dxfId="15" priority="1">
      <formula>$K91="אין"</formula>
    </cfRule>
  </conditionalFormatting>
  <pageMargins left="0.25" right="0.25" top="0.75" bottom="0.75" header="0.3" footer="0.3"/>
  <pageSetup paperSize="9" scale="78" fitToHeight="0"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B47B8-AF7E-4E9F-BC9B-251003DCC079}">
  <sheetPr>
    <tabColor rgb="FFFFFF00"/>
    <pageSetUpPr fitToPage="1"/>
  </sheetPr>
  <dimension ref="A1:O104"/>
  <sheetViews>
    <sheetView rightToLeft="1" topLeftCell="B1" zoomScaleNormal="100" workbookViewId="0">
      <selection activeCell="D13" sqref="D13"/>
    </sheetView>
  </sheetViews>
  <sheetFormatPr defaultColWidth="8.69921875" defaultRowHeight="14.4" x14ac:dyDescent="0.3"/>
  <cols>
    <col min="1" max="1" width="11.69921875" style="38" customWidth="1"/>
    <col min="2" max="2" width="63" style="13" customWidth="1"/>
    <col min="3" max="3" width="8.19921875" style="39" customWidth="1"/>
    <col min="4" max="4" width="10.09765625" style="14" customWidth="1"/>
    <col min="5" max="5" width="11.19921875" style="15" bestFit="1" customWidth="1"/>
    <col min="6" max="6" width="10.19921875" style="14" customWidth="1"/>
    <col min="7" max="7" width="12.19921875" style="14" customWidth="1"/>
    <col min="8" max="8" width="14" style="13" bestFit="1" customWidth="1"/>
    <col min="9" max="9" width="13.3984375" style="13" bestFit="1" customWidth="1"/>
    <col min="10" max="10" width="8.69921875" style="13"/>
    <col min="11" max="11" width="13.19921875" style="13" bestFit="1" customWidth="1"/>
    <col min="12" max="12" width="11.19921875" style="13" bestFit="1" customWidth="1"/>
    <col min="13" max="16384" width="8.69921875" style="13"/>
  </cols>
  <sheetData>
    <row r="1" spans="1:11" ht="17.399999999999999" x14ac:dyDescent="0.3">
      <c r="A1" s="12"/>
      <c r="C1" s="89" t="s">
        <v>222</v>
      </c>
      <c r="D1" s="40">
        <v>1525</v>
      </c>
    </row>
    <row r="3" spans="1:11" ht="21" x14ac:dyDescent="0.4">
      <c r="A3" s="16"/>
      <c r="B3" s="17"/>
      <c r="C3" s="18"/>
      <c r="D3" s="19"/>
      <c r="E3" s="20"/>
      <c r="F3" s="19"/>
      <c r="G3" s="19"/>
      <c r="H3" s="19"/>
      <c r="I3" s="19"/>
    </row>
    <row r="4" spans="1:11" x14ac:dyDescent="0.3">
      <c r="A4" s="21"/>
      <c r="B4" s="22"/>
      <c r="C4" s="23"/>
      <c r="D4" s="24"/>
      <c r="E4" s="25"/>
      <c r="F4" s="24"/>
      <c r="G4" s="24"/>
      <c r="H4" s="24"/>
      <c r="I4" s="24"/>
    </row>
    <row r="5" spans="1:11" ht="15" thickBot="1" x14ac:dyDescent="0.35">
      <c r="A5" s="21"/>
      <c r="B5" s="22"/>
      <c r="C5" s="23"/>
      <c r="D5" s="24"/>
      <c r="E5" s="25"/>
      <c r="F5" s="24"/>
      <c r="G5" s="26"/>
      <c r="H5" s="26"/>
      <c r="I5" s="24"/>
    </row>
    <row r="6" spans="1:11" ht="29.4" thickTop="1" x14ac:dyDescent="0.3">
      <c r="A6" s="50" t="s">
        <v>0</v>
      </c>
      <c r="B6" s="51" t="s">
        <v>1</v>
      </c>
      <c r="C6" s="52" t="s">
        <v>2</v>
      </c>
      <c r="D6" s="53" t="s">
        <v>147</v>
      </c>
      <c r="E6" s="66" t="s">
        <v>142</v>
      </c>
      <c r="F6" s="66" t="s">
        <v>143</v>
      </c>
      <c r="G6" s="66" t="s">
        <v>144</v>
      </c>
      <c r="H6" s="66" t="s">
        <v>145</v>
      </c>
      <c r="I6" s="53" t="s">
        <v>151</v>
      </c>
    </row>
    <row r="7" spans="1:11" x14ac:dyDescent="0.3">
      <c r="A7" s="63" t="s">
        <v>179</v>
      </c>
      <c r="B7" s="55" t="s">
        <v>180</v>
      </c>
      <c r="C7" s="56" t="s">
        <v>125</v>
      </c>
      <c r="D7" s="14">
        <v>2</v>
      </c>
      <c r="E7" s="41">
        <f>IF(D7="","",_xlfn.XLOOKUP(A7,[4]ריכוז!$A:$A,[4]ריכוז!$D:$D,"אין כזה"))</f>
        <v>150</v>
      </c>
      <c r="F7" s="10">
        <f>IF(E7="","",E7*0.15)</f>
        <v>22.5</v>
      </c>
      <c r="G7" s="10">
        <f>IF(E7="","",E7*0.05)</f>
        <v>7.5</v>
      </c>
      <c r="H7" s="10">
        <f>IF(E7="","",E7*1.05*0.85)</f>
        <v>133.875</v>
      </c>
      <c r="I7" s="57">
        <f>IF(D7="","",H7*D7)</f>
        <v>267.75</v>
      </c>
      <c r="K7" s="38"/>
    </row>
    <row r="8" spans="1:11" s="27" customFormat="1" ht="15.6" x14ac:dyDescent="0.3">
      <c r="A8" s="59" t="s">
        <v>5</v>
      </c>
      <c r="B8" s="60" t="s">
        <v>6</v>
      </c>
      <c r="C8" s="61" t="s">
        <v>3</v>
      </c>
      <c r="D8" s="62" t="s">
        <v>3</v>
      </c>
      <c r="E8" s="41" t="str">
        <f>IF(D8="","",_xlfn.XLOOKUP(A8,[4]ריכוז!$A:$A,[4]ריכוז!$D:$D,"אין כזה"))</f>
        <v/>
      </c>
      <c r="F8" s="62" t="s">
        <v>3</v>
      </c>
      <c r="G8" s="62"/>
      <c r="H8" s="10" t="str">
        <f t="shared" ref="H8:H77" si="0">IF(E8="","",E8*1.05*0.85)</f>
        <v/>
      </c>
      <c r="I8" s="62"/>
      <c r="K8" s="38"/>
    </row>
    <row r="9" spans="1:11" s="27" customFormat="1" ht="15.6" x14ac:dyDescent="0.3">
      <c r="A9" s="59" t="s">
        <v>7</v>
      </c>
      <c r="B9" s="60" t="s">
        <v>8</v>
      </c>
      <c r="C9" s="61" t="s">
        <v>3</v>
      </c>
      <c r="D9" s="62" t="s">
        <v>3</v>
      </c>
      <c r="E9" s="41" t="str">
        <f>IF(D9="","",_xlfn.XLOOKUP(A9,[4]ריכוז!$A:$A,[4]ריכוז!$D:$D,"אין כזה"))</f>
        <v/>
      </c>
      <c r="F9" s="62" t="s">
        <v>3</v>
      </c>
      <c r="G9" s="62"/>
      <c r="H9" s="10" t="str">
        <f t="shared" si="0"/>
        <v/>
      </c>
      <c r="I9" s="62"/>
      <c r="K9" s="38"/>
    </row>
    <row r="10" spans="1:11" ht="57.6" x14ac:dyDescent="0.3">
      <c r="A10" s="63" t="s">
        <v>9</v>
      </c>
      <c r="B10" s="55" t="s">
        <v>10</v>
      </c>
      <c r="C10" s="56" t="s">
        <v>4</v>
      </c>
      <c r="D10" s="142">
        <v>59.47</v>
      </c>
      <c r="E10" s="41">
        <f>IF(D10="","",_xlfn.XLOOKUP(A10,[4]ריכוז!$A:$A,[4]ריכוז!$D:$D,"אין כזה"))</f>
        <v>64</v>
      </c>
      <c r="F10" s="10">
        <f>IF(E10="","",E10*0.15)</f>
        <v>9.6</v>
      </c>
      <c r="G10" s="10">
        <f>IF(E10="","",E10*0.05)</f>
        <v>3.2</v>
      </c>
      <c r="H10" s="10">
        <f t="shared" si="0"/>
        <v>57.12</v>
      </c>
      <c r="I10" s="57">
        <f>IF(D10="","",H10*D10)</f>
        <v>3396.9263999999998</v>
      </c>
      <c r="K10" s="38"/>
    </row>
    <row r="11" spans="1:11" s="27" customFormat="1" ht="15.6" x14ac:dyDescent="0.3">
      <c r="A11" s="59" t="s">
        <v>11</v>
      </c>
      <c r="B11" s="60" t="s">
        <v>12</v>
      </c>
      <c r="C11" s="61" t="s">
        <v>3</v>
      </c>
      <c r="D11" s="62"/>
      <c r="E11" s="41" t="str">
        <f>IF(D11="","",_xlfn.XLOOKUP(A11,[4]ריכוז!$A:$A,[4]ריכוז!$D:$D,"אין כזה"))</f>
        <v/>
      </c>
      <c r="F11" s="10" t="str">
        <f t="shared" ref="F11:F81" si="1">IF(E11="","",E11*0.15)</f>
        <v/>
      </c>
      <c r="G11" s="10" t="str">
        <f t="shared" ref="G11:G81" si="2">IF(E11="","",E11*0.05)</f>
        <v/>
      </c>
      <c r="H11" s="10" t="str">
        <f t="shared" si="0"/>
        <v/>
      </c>
      <c r="I11" s="57" t="str">
        <f t="shared" ref="I11:I81" si="3">IF(D11="","",H11*D11)</f>
        <v/>
      </c>
      <c r="K11" s="38"/>
    </row>
    <row r="12" spans="1:11" s="27" customFormat="1" ht="15.6" x14ac:dyDescent="0.3">
      <c r="A12" s="59" t="s">
        <v>13</v>
      </c>
      <c r="B12" s="60" t="s">
        <v>14</v>
      </c>
      <c r="C12" s="61" t="s">
        <v>3</v>
      </c>
      <c r="D12" s="62" t="s">
        <v>3</v>
      </c>
      <c r="E12" s="41" t="str">
        <f>IF(D12="","",_xlfn.XLOOKUP(A12,[4]ריכוז!$A:$A,[4]ריכוז!$D:$D,"אין כזה"))</f>
        <v/>
      </c>
      <c r="F12" s="10" t="str">
        <f t="shared" si="1"/>
        <v/>
      </c>
      <c r="G12" s="10" t="str">
        <f t="shared" si="2"/>
        <v/>
      </c>
      <c r="H12" s="10" t="str">
        <f t="shared" si="0"/>
        <v/>
      </c>
      <c r="I12" s="57" t="str">
        <f t="shared" si="3"/>
        <v/>
      </c>
      <c r="K12" s="38"/>
    </row>
    <row r="13" spans="1:11" ht="43.2" x14ac:dyDescent="0.3">
      <c r="A13" s="63" t="s">
        <v>15</v>
      </c>
      <c r="B13" s="55" t="s">
        <v>16</v>
      </c>
      <c r="C13" s="56" t="s">
        <v>17</v>
      </c>
      <c r="D13" s="142">
        <v>5</v>
      </c>
      <c r="E13" s="41">
        <f>IF(D13="","",_xlfn.XLOOKUP(A13,[4]ריכוז!$A:$A,[4]ריכוז!$D:$D,"אין כזה"))</f>
        <v>1770</v>
      </c>
      <c r="F13" s="10">
        <f t="shared" si="1"/>
        <v>265.5</v>
      </c>
      <c r="G13" s="10">
        <f t="shared" si="2"/>
        <v>88.5</v>
      </c>
      <c r="H13" s="10">
        <f t="shared" si="0"/>
        <v>1579.7249999999999</v>
      </c>
      <c r="I13" s="57">
        <f t="shared" si="3"/>
        <v>7898.625</v>
      </c>
      <c r="K13" s="38"/>
    </row>
    <row r="14" spans="1:11" x14ac:dyDescent="0.3">
      <c r="A14" s="54"/>
      <c r="B14" s="55"/>
      <c r="C14" s="56"/>
      <c r="D14" s="57"/>
      <c r="E14" s="41" t="str">
        <f>IF(D14="","",_xlfn.XLOOKUP(A14,[4]ריכוז!$A:$A,[4]ריכוז!$D:$D,"אין כזה"))</f>
        <v/>
      </c>
      <c r="F14" s="10" t="str">
        <f t="shared" si="1"/>
        <v/>
      </c>
      <c r="G14" s="10" t="str">
        <f t="shared" si="2"/>
        <v/>
      </c>
      <c r="H14" s="10" t="str">
        <f t="shared" si="0"/>
        <v/>
      </c>
      <c r="I14" s="57" t="str">
        <f t="shared" si="3"/>
        <v/>
      </c>
      <c r="K14" s="38"/>
    </row>
    <row r="15" spans="1:11" s="27" customFormat="1" ht="15.6" x14ac:dyDescent="0.3">
      <c r="A15" s="59" t="s">
        <v>18</v>
      </c>
      <c r="B15" s="60" t="s">
        <v>19</v>
      </c>
      <c r="C15" s="61" t="s">
        <v>3</v>
      </c>
      <c r="D15" s="62"/>
      <c r="E15" s="41" t="str">
        <f>IF(D15="","",_xlfn.XLOOKUP(A15,[4]ריכוז!$A:$A,[4]ריכוז!$D:$D,"אין כזה"))</f>
        <v/>
      </c>
      <c r="F15" s="10" t="str">
        <f t="shared" si="1"/>
        <v/>
      </c>
      <c r="G15" s="10" t="str">
        <f t="shared" si="2"/>
        <v/>
      </c>
      <c r="H15" s="10" t="str">
        <f t="shared" si="0"/>
        <v/>
      </c>
      <c r="I15" s="57" t="str">
        <f t="shared" si="3"/>
        <v/>
      </c>
      <c r="K15" s="38"/>
    </row>
    <row r="16" spans="1:11" s="27" customFormat="1" ht="15.6" x14ac:dyDescent="0.3">
      <c r="A16" s="59" t="s">
        <v>20</v>
      </c>
      <c r="B16" s="60" t="s">
        <v>21</v>
      </c>
      <c r="C16" s="61" t="s">
        <v>3</v>
      </c>
      <c r="D16" s="62" t="s">
        <v>3</v>
      </c>
      <c r="E16" s="41" t="str">
        <f>IF(D16="","",_xlfn.XLOOKUP(A16,[4]ריכוז!$A:$A,[4]ריכוז!$D:$D,"אין כזה"))</f>
        <v/>
      </c>
      <c r="F16" s="10" t="str">
        <f t="shared" si="1"/>
        <v/>
      </c>
      <c r="G16" s="10" t="str">
        <f t="shared" si="2"/>
        <v/>
      </c>
      <c r="H16" s="10" t="str">
        <f t="shared" si="0"/>
        <v/>
      </c>
      <c r="I16" s="57" t="str">
        <f t="shared" si="3"/>
        <v/>
      </c>
      <c r="K16" s="38"/>
    </row>
    <row r="17" spans="1:11" ht="28.8" x14ac:dyDescent="0.3">
      <c r="A17" s="63" t="s">
        <v>22</v>
      </c>
      <c r="B17" s="55" t="s">
        <v>23</v>
      </c>
      <c r="C17" s="56" t="s">
        <v>24</v>
      </c>
      <c r="D17" s="57">
        <v>0</v>
      </c>
      <c r="E17" s="41">
        <f>IF(D17="","",_xlfn.XLOOKUP(A17,[4]ריכוז!$A:$A,[4]ריכוז!$D:$D,"אין כזה"))</f>
        <v>1760</v>
      </c>
      <c r="F17" s="10">
        <f t="shared" si="1"/>
        <v>264</v>
      </c>
      <c r="G17" s="10">
        <f t="shared" si="2"/>
        <v>88</v>
      </c>
      <c r="H17" s="10">
        <f t="shared" si="0"/>
        <v>1570.8</v>
      </c>
      <c r="I17" s="57">
        <f t="shared" si="3"/>
        <v>0</v>
      </c>
      <c r="K17" s="38"/>
    </row>
    <row r="18" spans="1:11" ht="28.8" x14ac:dyDescent="0.3">
      <c r="A18" s="63" t="s">
        <v>25</v>
      </c>
      <c r="B18" s="55" t="s">
        <v>26</v>
      </c>
      <c r="C18" s="56" t="s">
        <v>24</v>
      </c>
      <c r="D18" s="138">
        <f>1.5*1.3+1.5*2.25*5</f>
        <v>18.824999999999999</v>
      </c>
      <c r="E18" s="41">
        <f>IF(D18="","",_xlfn.XLOOKUP(A18,[4]ריכוז!$A:$A,[4]ריכוז!$D:$D,"אין כזה"))</f>
        <v>1980</v>
      </c>
      <c r="F18" s="10">
        <f t="shared" si="1"/>
        <v>297</v>
      </c>
      <c r="G18" s="10">
        <f t="shared" si="2"/>
        <v>99</v>
      </c>
      <c r="H18" s="10">
        <f t="shared" si="0"/>
        <v>1767.1499999999999</v>
      </c>
      <c r="I18" s="57">
        <f t="shared" si="3"/>
        <v>33266.598749999997</v>
      </c>
      <c r="K18" s="38"/>
    </row>
    <row r="19" spans="1:11" ht="28.8" x14ac:dyDescent="0.3">
      <c r="A19" s="63" t="s">
        <v>27</v>
      </c>
      <c r="B19" s="55" t="s">
        <v>28</v>
      </c>
      <c r="C19" s="56" t="s">
        <v>24</v>
      </c>
      <c r="D19" s="138">
        <v>9.9600000000000009</v>
      </c>
      <c r="E19" s="41">
        <f>IF(D19="","",_xlfn.XLOOKUP(A19,[4]ריכוז!$A:$A,[4]ריכוז!$D:$D,"אין כזה"))</f>
        <v>2210</v>
      </c>
      <c r="F19" s="10">
        <f t="shared" si="1"/>
        <v>331.5</v>
      </c>
      <c r="G19" s="10">
        <f t="shared" si="2"/>
        <v>110.5</v>
      </c>
      <c r="H19" s="10">
        <f t="shared" si="0"/>
        <v>1972.425</v>
      </c>
      <c r="I19" s="57">
        <f t="shared" si="3"/>
        <v>19645.353000000003</v>
      </c>
      <c r="K19" s="38"/>
    </row>
    <row r="20" spans="1:11" ht="28.8" x14ac:dyDescent="0.3">
      <c r="A20" s="63" t="s">
        <v>29</v>
      </c>
      <c r="B20" s="55" t="s">
        <v>30</v>
      </c>
      <c r="C20" s="56" t="s">
        <v>17</v>
      </c>
      <c r="D20" s="138">
        <f>D18*E18+D19*E19</f>
        <v>59285.100000000006</v>
      </c>
      <c r="E20" s="41">
        <f>IF(D20="","",_xlfn.XLOOKUP(A20,[4]ריכוז!$A:$A,[4]ריכוז!$D:$D,"אין כזה"))</f>
        <v>0.15</v>
      </c>
      <c r="F20" s="10">
        <f t="shared" si="1"/>
        <v>2.2499999999999999E-2</v>
      </c>
      <c r="G20" s="10">
        <f t="shared" si="2"/>
        <v>7.4999999999999997E-3</v>
      </c>
      <c r="H20" s="10">
        <f t="shared" si="0"/>
        <v>0.13387499999999999</v>
      </c>
      <c r="I20" s="57">
        <f t="shared" si="3"/>
        <v>7936.7927625000002</v>
      </c>
      <c r="K20" s="38"/>
    </row>
    <row r="21" spans="1:11" x14ac:dyDescent="0.3">
      <c r="A21" s="63" t="s">
        <v>31</v>
      </c>
      <c r="B21" s="55" t="s">
        <v>32</v>
      </c>
      <c r="C21" s="56" t="s">
        <v>2</v>
      </c>
      <c r="D21" s="57">
        <v>0</v>
      </c>
      <c r="E21" s="41">
        <f>IF(D21="","",_xlfn.XLOOKUP(A21,[4]ריכוז!$A:$A,[4]ריכוז!$D:$D,"אין כזה"))</f>
        <v>140</v>
      </c>
      <c r="F21" s="10">
        <f t="shared" si="1"/>
        <v>21</v>
      </c>
      <c r="G21" s="10">
        <f t="shared" si="2"/>
        <v>7</v>
      </c>
      <c r="H21" s="10">
        <f t="shared" si="0"/>
        <v>124.95</v>
      </c>
      <c r="I21" s="57">
        <f t="shared" si="3"/>
        <v>0</v>
      </c>
      <c r="K21" s="38"/>
    </row>
    <row r="22" spans="1:11" x14ac:dyDescent="0.3">
      <c r="A22" s="63" t="s">
        <v>33</v>
      </c>
      <c r="B22" s="55" t="s">
        <v>34</v>
      </c>
      <c r="C22" s="56" t="s">
        <v>2</v>
      </c>
      <c r="D22" s="57">
        <v>0</v>
      </c>
      <c r="E22" s="41">
        <f>IF(D22="","",_xlfn.XLOOKUP(A22,[4]ריכוז!$A:$A,[4]ריכוז!$D:$D,"אין כזה"))</f>
        <v>240</v>
      </c>
      <c r="F22" s="10">
        <f t="shared" si="1"/>
        <v>36</v>
      </c>
      <c r="G22" s="10">
        <f t="shared" si="2"/>
        <v>12</v>
      </c>
      <c r="H22" s="10">
        <f t="shared" si="0"/>
        <v>214.2</v>
      </c>
      <c r="I22" s="57">
        <f t="shared" si="3"/>
        <v>0</v>
      </c>
      <c r="K22" s="38"/>
    </row>
    <row r="23" spans="1:11" x14ac:dyDescent="0.3">
      <c r="A23" s="63" t="s">
        <v>35</v>
      </c>
      <c r="B23" s="55" t="s">
        <v>36</v>
      </c>
      <c r="C23" s="56" t="s">
        <v>2</v>
      </c>
      <c r="D23" s="57">
        <v>7</v>
      </c>
      <c r="E23" s="41">
        <f>IF(D23="","",_xlfn.XLOOKUP(A23,[4]ריכוז!$A:$A,[4]ריכוז!$D:$D,"אין כזה"))</f>
        <v>310</v>
      </c>
      <c r="F23" s="10">
        <f t="shared" si="1"/>
        <v>46.5</v>
      </c>
      <c r="G23" s="10">
        <f t="shared" si="2"/>
        <v>15.5</v>
      </c>
      <c r="H23" s="10">
        <f t="shared" si="0"/>
        <v>276.67500000000001</v>
      </c>
      <c r="I23" s="57">
        <f t="shared" si="3"/>
        <v>1936.7250000000001</v>
      </c>
      <c r="K23" s="38"/>
    </row>
    <row r="24" spans="1:11" s="27" customFormat="1" ht="15.6" x14ac:dyDescent="0.3">
      <c r="A24" s="59" t="s">
        <v>37</v>
      </c>
      <c r="B24" s="60" t="s">
        <v>38</v>
      </c>
      <c r="C24" s="61" t="s">
        <v>3</v>
      </c>
      <c r="D24" s="62" t="s">
        <v>3</v>
      </c>
      <c r="E24" s="41" t="str">
        <f>IF(D24="","",_xlfn.XLOOKUP(A24,[4]ריכוז!$A:$A,[4]ריכוז!$D:$D,"אין כזה"))</f>
        <v/>
      </c>
      <c r="F24" s="10" t="str">
        <f t="shared" si="1"/>
        <v/>
      </c>
      <c r="G24" s="10" t="str">
        <f t="shared" si="2"/>
        <v/>
      </c>
      <c r="H24" s="10" t="str">
        <f t="shared" si="0"/>
        <v/>
      </c>
      <c r="I24" s="57" t="str">
        <f t="shared" si="3"/>
        <v/>
      </c>
      <c r="K24" s="38"/>
    </row>
    <row r="25" spans="1:11" ht="28.8" x14ac:dyDescent="0.3">
      <c r="A25" s="63" t="s">
        <v>39</v>
      </c>
      <c r="B25" s="55" t="s">
        <v>40</v>
      </c>
      <c r="C25" s="56" t="s">
        <v>24</v>
      </c>
      <c r="D25" s="57">
        <v>0</v>
      </c>
      <c r="E25" s="41">
        <f>IF(D25="","",_xlfn.XLOOKUP(A25,[4]ריכוז!$A:$A,[4]ריכוז!$D:$D,"אין כזה"))</f>
        <v>2220</v>
      </c>
      <c r="F25" s="10">
        <f t="shared" si="1"/>
        <v>333</v>
      </c>
      <c r="G25" s="10">
        <f t="shared" si="2"/>
        <v>111</v>
      </c>
      <c r="H25" s="10">
        <f t="shared" si="0"/>
        <v>1981.35</v>
      </c>
      <c r="I25" s="57">
        <f t="shared" si="3"/>
        <v>0</v>
      </c>
      <c r="K25" s="38"/>
    </row>
    <row r="26" spans="1:11" ht="28.8" x14ac:dyDescent="0.3">
      <c r="A26" s="63" t="s">
        <v>188</v>
      </c>
      <c r="B26" s="55" t="s">
        <v>40</v>
      </c>
      <c r="C26" s="56" t="s">
        <v>24</v>
      </c>
      <c r="D26" s="57">
        <v>0</v>
      </c>
      <c r="E26" s="41">
        <f>IF(D26="","",_xlfn.XLOOKUP(A26,[4]ריכוז!$A:$A,[4]ריכוז!$D:$D,"אין כזה"))</f>
        <v>2790</v>
      </c>
      <c r="F26" s="10">
        <f t="shared" si="1"/>
        <v>418.5</v>
      </c>
      <c r="G26" s="10">
        <f t="shared" si="2"/>
        <v>139.5</v>
      </c>
      <c r="H26" s="10">
        <f t="shared" si="0"/>
        <v>2490.0749999999998</v>
      </c>
      <c r="I26" s="57">
        <f t="shared" si="3"/>
        <v>0</v>
      </c>
      <c r="K26" s="38"/>
    </row>
    <row r="27" spans="1:11" ht="28.8" x14ac:dyDescent="0.3">
      <c r="A27" s="63" t="s">
        <v>41</v>
      </c>
      <c r="B27" s="55" t="s">
        <v>42</v>
      </c>
      <c r="C27" s="56" t="s">
        <v>24</v>
      </c>
      <c r="D27" s="57">
        <v>0</v>
      </c>
      <c r="E27" s="41">
        <f>IF(D27="","",_xlfn.XLOOKUP(A27,[4]ריכוז!$A:$A,[4]ריכוז!$D:$D,"אין כזה"))</f>
        <v>2700</v>
      </c>
      <c r="F27" s="10">
        <f t="shared" si="1"/>
        <v>405</v>
      </c>
      <c r="G27" s="10">
        <f t="shared" si="2"/>
        <v>135</v>
      </c>
      <c r="H27" s="10">
        <f t="shared" si="0"/>
        <v>2409.75</v>
      </c>
      <c r="I27" s="57">
        <f t="shared" si="3"/>
        <v>0</v>
      </c>
      <c r="K27" s="38"/>
    </row>
    <row r="28" spans="1:11" s="27" customFormat="1" ht="15.6" x14ac:dyDescent="0.3">
      <c r="A28" s="59" t="s">
        <v>43</v>
      </c>
      <c r="B28" s="60" t="s">
        <v>44</v>
      </c>
      <c r="C28" s="61" t="s">
        <v>3</v>
      </c>
      <c r="D28" s="62" t="s">
        <v>3</v>
      </c>
      <c r="E28" s="41" t="str">
        <f>IF(D28="","",_xlfn.XLOOKUP(A28,[4]ריכוז!$A:$A,[4]ריכוז!$D:$D,"אין כזה"))</f>
        <v/>
      </c>
      <c r="F28" s="10" t="str">
        <f t="shared" si="1"/>
        <v/>
      </c>
      <c r="G28" s="10" t="str">
        <f t="shared" si="2"/>
        <v/>
      </c>
      <c r="H28" s="10" t="str">
        <f t="shared" si="0"/>
        <v/>
      </c>
      <c r="I28" s="57" t="str">
        <f t="shared" si="3"/>
        <v/>
      </c>
      <c r="K28" s="38"/>
    </row>
    <row r="29" spans="1:11" ht="28.8" x14ac:dyDescent="0.3">
      <c r="A29" s="63" t="s">
        <v>45</v>
      </c>
      <c r="B29" s="55" t="s">
        <v>46</v>
      </c>
      <c r="C29" s="56" t="s">
        <v>2</v>
      </c>
      <c r="D29" s="57">
        <v>0</v>
      </c>
      <c r="E29" s="41">
        <f>IF(D29="","",_xlfn.XLOOKUP(A29,[4]ריכוז!$A:$A,[4]ריכוז!$D:$D,"אין כזה"))</f>
        <v>1310</v>
      </c>
      <c r="F29" s="10">
        <f t="shared" si="1"/>
        <v>196.5</v>
      </c>
      <c r="G29" s="10">
        <f t="shared" si="2"/>
        <v>65.5</v>
      </c>
      <c r="H29" s="10">
        <f t="shared" si="0"/>
        <v>1169.175</v>
      </c>
      <c r="I29" s="57">
        <f t="shared" si="3"/>
        <v>0</v>
      </c>
      <c r="K29" s="38"/>
    </row>
    <row r="30" spans="1:11" ht="28.8" x14ac:dyDescent="0.3">
      <c r="A30" s="63" t="s">
        <v>47</v>
      </c>
      <c r="B30" s="55" t="s">
        <v>48</v>
      </c>
      <c r="C30" s="56" t="s">
        <v>2</v>
      </c>
      <c r="D30" s="57">
        <v>0</v>
      </c>
      <c r="E30" s="41">
        <f>IF(D30="","",_xlfn.XLOOKUP(A30,[4]ריכוז!$A:$A,[4]ריכוז!$D:$D,"אין כזה"))</f>
        <v>2090</v>
      </c>
      <c r="F30" s="10">
        <f t="shared" si="1"/>
        <v>313.5</v>
      </c>
      <c r="G30" s="10">
        <f t="shared" si="2"/>
        <v>104.5</v>
      </c>
      <c r="H30" s="10">
        <f t="shared" si="0"/>
        <v>1865.325</v>
      </c>
      <c r="I30" s="57">
        <f t="shared" si="3"/>
        <v>0</v>
      </c>
      <c r="K30" s="38"/>
    </row>
    <row r="31" spans="1:11" s="27" customFormat="1" ht="15.6" x14ac:dyDescent="0.3">
      <c r="A31" s="59" t="s">
        <v>50</v>
      </c>
      <c r="B31" s="60" t="s">
        <v>51</v>
      </c>
      <c r="C31" s="61" t="s">
        <v>3</v>
      </c>
      <c r="D31" s="62" t="s">
        <v>3</v>
      </c>
      <c r="E31" s="41" t="str">
        <f>IF(D31="","",_xlfn.XLOOKUP(A31,[4]ריכוז!$A:$A,[4]ריכוז!$D:$D,"אין כזה"))</f>
        <v/>
      </c>
      <c r="F31" s="10" t="str">
        <f t="shared" si="1"/>
        <v/>
      </c>
      <c r="G31" s="10" t="str">
        <f t="shared" si="2"/>
        <v/>
      </c>
      <c r="H31" s="10" t="str">
        <f t="shared" si="0"/>
        <v/>
      </c>
      <c r="I31" s="57" t="str">
        <f t="shared" si="3"/>
        <v/>
      </c>
      <c r="K31" s="38"/>
    </row>
    <row r="32" spans="1:11" ht="28.8" x14ac:dyDescent="0.3">
      <c r="A32" s="63" t="s">
        <v>52</v>
      </c>
      <c r="B32" s="55" t="s">
        <v>53</v>
      </c>
      <c r="C32" s="56" t="s">
        <v>24</v>
      </c>
      <c r="D32" s="57">
        <v>0</v>
      </c>
      <c r="E32" s="41">
        <f>IF(D32="","",_xlfn.XLOOKUP(A32,[4]ריכוז!$A:$A,[4]ריכוז!$D:$D,"אין כזה"))</f>
        <v>1760</v>
      </c>
      <c r="F32" s="10">
        <f t="shared" si="1"/>
        <v>264</v>
      </c>
      <c r="G32" s="10">
        <f t="shared" si="2"/>
        <v>88</v>
      </c>
      <c r="H32" s="10">
        <f t="shared" si="0"/>
        <v>1570.8</v>
      </c>
      <c r="I32" s="57">
        <f t="shared" si="3"/>
        <v>0</v>
      </c>
      <c r="K32" s="38"/>
    </row>
    <row r="33" spans="1:11" ht="28.8" x14ac:dyDescent="0.3">
      <c r="A33" s="63" t="s">
        <v>54</v>
      </c>
      <c r="B33" s="55" t="s">
        <v>55</v>
      </c>
      <c r="C33" s="56" t="s">
        <v>24</v>
      </c>
      <c r="D33" s="57">
        <v>9.77</v>
      </c>
      <c r="E33" s="41">
        <f>IF(D33="","",_xlfn.XLOOKUP(A33,[4]ריכוז!$A:$A,[4]ריכוז!$D:$D,"אין כזה"))</f>
        <v>1850</v>
      </c>
      <c r="F33" s="10">
        <f t="shared" si="1"/>
        <v>277.5</v>
      </c>
      <c r="G33" s="10">
        <f t="shared" si="2"/>
        <v>92.5</v>
      </c>
      <c r="H33" s="10">
        <f t="shared" si="0"/>
        <v>1651.125</v>
      </c>
      <c r="I33" s="57">
        <f t="shared" si="3"/>
        <v>16131.491249999999</v>
      </c>
      <c r="K33" s="38"/>
    </row>
    <row r="34" spans="1:11" ht="28.8" x14ac:dyDescent="0.3">
      <c r="A34" s="63" t="s">
        <v>56</v>
      </c>
      <c r="B34" s="55" t="s">
        <v>57</v>
      </c>
      <c r="C34" s="56" t="s">
        <v>24</v>
      </c>
      <c r="D34" s="57">
        <v>0</v>
      </c>
      <c r="E34" s="41">
        <f>IF(D34="","",_xlfn.XLOOKUP(A34,[4]ריכוז!$A:$A,[4]ריכוז!$D:$D,"אין כזה"))</f>
        <v>1680</v>
      </c>
      <c r="F34" s="10">
        <f t="shared" si="1"/>
        <v>252</v>
      </c>
      <c r="G34" s="10">
        <f t="shared" si="2"/>
        <v>84</v>
      </c>
      <c r="H34" s="10">
        <f t="shared" si="0"/>
        <v>1499.3999999999999</v>
      </c>
      <c r="I34" s="57">
        <f t="shared" si="3"/>
        <v>0</v>
      </c>
      <c r="K34" s="38"/>
    </row>
    <row r="35" spans="1:11" s="27" customFormat="1" ht="15.6" x14ac:dyDescent="0.3">
      <c r="A35" s="59" t="s">
        <v>58</v>
      </c>
      <c r="B35" s="60" t="s">
        <v>59</v>
      </c>
      <c r="C35" s="61" t="s">
        <v>3</v>
      </c>
      <c r="D35" s="62" t="s">
        <v>3</v>
      </c>
      <c r="E35" s="41" t="str">
        <f>IF(D35="","",_xlfn.XLOOKUP(A35,[4]ריכוז!$A:$A,[4]ריכוז!$D:$D,"אין כזה"))</f>
        <v/>
      </c>
      <c r="F35" s="10" t="str">
        <f t="shared" si="1"/>
        <v/>
      </c>
      <c r="G35" s="10" t="str">
        <f t="shared" si="2"/>
        <v/>
      </c>
      <c r="H35" s="10" t="str">
        <f t="shared" si="0"/>
        <v/>
      </c>
      <c r="I35" s="57" t="str">
        <f t="shared" si="3"/>
        <v/>
      </c>
      <c r="K35" s="38"/>
    </row>
    <row r="36" spans="1:11" s="27" customFormat="1" ht="28.8" x14ac:dyDescent="0.3">
      <c r="A36" s="63" t="s">
        <v>171</v>
      </c>
      <c r="B36" s="55" t="s">
        <v>172</v>
      </c>
      <c r="C36" s="56" t="s">
        <v>24</v>
      </c>
      <c r="D36" s="57">
        <v>0</v>
      </c>
      <c r="E36" s="41">
        <f>IF(D36="","",_xlfn.XLOOKUP(A36,[4]ריכוז!$A:$A,[4]ריכוז!$D:$D,"אין כזה"))</f>
        <v>2850</v>
      </c>
      <c r="F36" s="10">
        <f t="shared" si="1"/>
        <v>427.5</v>
      </c>
      <c r="G36" s="10">
        <f t="shared" si="2"/>
        <v>142.5</v>
      </c>
      <c r="H36" s="10">
        <f t="shared" si="0"/>
        <v>2543.625</v>
      </c>
      <c r="I36" s="57">
        <f t="shared" si="3"/>
        <v>0</v>
      </c>
      <c r="K36" s="38"/>
    </row>
    <row r="37" spans="1:11" ht="28.8" x14ac:dyDescent="0.3">
      <c r="A37" s="63" t="s">
        <v>60</v>
      </c>
      <c r="B37" s="55" t="s">
        <v>61</v>
      </c>
      <c r="C37" s="56" t="s">
        <v>24</v>
      </c>
      <c r="D37" s="57">
        <v>0</v>
      </c>
      <c r="E37" s="41">
        <f>IF(D37="","",_xlfn.XLOOKUP(A37,[4]ריכוז!$A:$A,[4]ריכוז!$D:$D,"אין כזה"))</f>
        <v>2300</v>
      </c>
      <c r="F37" s="10">
        <f t="shared" si="1"/>
        <v>345</v>
      </c>
      <c r="G37" s="10">
        <f t="shared" si="2"/>
        <v>115</v>
      </c>
      <c r="H37" s="10">
        <f t="shared" si="0"/>
        <v>2052.75</v>
      </c>
      <c r="I37" s="57">
        <f t="shared" si="3"/>
        <v>0</v>
      </c>
      <c r="K37" s="38"/>
    </row>
    <row r="38" spans="1:11" ht="28.8" x14ac:dyDescent="0.3">
      <c r="A38" s="63" t="s">
        <v>62</v>
      </c>
      <c r="B38" s="55" t="s">
        <v>63</v>
      </c>
      <c r="C38" s="56" t="s">
        <v>24</v>
      </c>
      <c r="D38" s="57">
        <v>0</v>
      </c>
      <c r="E38" s="41">
        <f>IF(D38="","",_xlfn.XLOOKUP(A38,[4]ריכוז!$A:$A,[4]ריכוז!$D:$D,"אין כזה"))</f>
        <v>3250</v>
      </c>
      <c r="F38" s="10">
        <f t="shared" si="1"/>
        <v>487.5</v>
      </c>
      <c r="G38" s="10">
        <f t="shared" si="2"/>
        <v>162.5</v>
      </c>
      <c r="H38" s="10">
        <f t="shared" si="0"/>
        <v>2900.625</v>
      </c>
      <c r="I38" s="57">
        <f t="shared" si="3"/>
        <v>0</v>
      </c>
      <c r="K38" s="38"/>
    </row>
    <row r="39" spans="1:11" s="27" customFormat="1" ht="15.6" x14ac:dyDescent="0.3">
      <c r="A39" s="59" t="s">
        <v>64</v>
      </c>
      <c r="B39" s="60" t="s">
        <v>65</v>
      </c>
      <c r="C39" s="61" t="s">
        <v>3</v>
      </c>
      <c r="D39" s="62" t="s">
        <v>3</v>
      </c>
      <c r="E39" s="41" t="str">
        <f>IF(D39="","",_xlfn.XLOOKUP(A39,[4]ריכוז!$A:$A,[4]ריכוז!$D:$D,"אין כזה"))</f>
        <v/>
      </c>
      <c r="F39" s="10" t="str">
        <f t="shared" si="1"/>
        <v/>
      </c>
      <c r="G39" s="10" t="str">
        <f t="shared" si="2"/>
        <v/>
      </c>
      <c r="H39" s="10" t="str">
        <f t="shared" si="0"/>
        <v/>
      </c>
      <c r="I39" s="57" t="str">
        <f t="shared" si="3"/>
        <v/>
      </c>
      <c r="K39" s="38"/>
    </row>
    <row r="40" spans="1:11" x14ac:dyDescent="0.3">
      <c r="A40" s="63" t="s">
        <v>66</v>
      </c>
      <c r="B40" s="55" t="s">
        <v>67</v>
      </c>
      <c r="C40" s="56" t="s">
        <v>24</v>
      </c>
      <c r="D40" s="57">
        <f>D33+D38</f>
        <v>9.77</v>
      </c>
      <c r="E40" s="41">
        <f>IF(D40="","",_xlfn.XLOOKUP(A40,[4]ריכוז!$A:$A,[4]ריכוז!$D:$D,"אין כזה"))</f>
        <v>88</v>
      </c>
      <c r="F40" s="10">
        <f t="shared" si="1"/>
        <v>13.2</v>
      </c>
      <c r="G40" s="10">
        <f t="shared" si="2"/>
        <v>4.4000000000000004</v>
      </c>
      <c r="H40" s="10">
        <f t="shared" si="0"/>
        <v>78.540000000000006</v>
      </c>
      <c r="I40" s="57">
        <f t="shared" si="3"/>
        <v>767.33580000000006</v>
      </c>
      <c r="K40" s="38"/>
    </row>
    <row r="41" spans="1:11" s="27" customFormat="1" ht="15.6" x14ac:dyDescent="0.3">
      <c r="A41" s="59" t="s">
        <v>68</v>
      </c>
      <c r="B41" s="60" t="s">
        <v>69</v>
      </c>
      <c r="C41" s="61" t="s">
        <v>3</v>
      </c>
      <c r="D41" s="62" t="s">
        <v>3</v>
      </c>
      <c r="E41" s="41" t="str">
        <f>IF(D41="","",_xlfn.XLOOKUP(A41,[4]ריכוז!$A:$A,[4]ריכוז!$D:$D,"אין כזה"))</f>
        <v/>
      </c>
      <c r="F41" s="10" t="str">
        <f t="shared" si="1"/>
        <v/>
      </c>
      <c r="G41" s="10" t="str">
        <f t="shared" si="2"/>
        <v/>
      </c>
      <c r="H41" s="10" t="str">
        <f t="shared" si="0"/>
        <v/>
      </c>
      <c r="I41" s="57" t="str">
        <f t="shared" si="3"/>
        <v/>
      </c>
      <c r="K41" s="38"/>
    </row>
    <row r="42" spans="1:11" ht="28.8" x14ac:dyDescent="0.3">
      <c r="A42" s="63" t="s">
        <v>70</v>
      </c>
      <c r="B42" s="55" t="s">
        <v>71</v>
      </c>
      <c r="C42" s="56" t="s">
        <v>24</v>
      </c>
      <c r="D42" s="57">
        <f>D18+D19</f>
        <v>28.785</v>
      </c>
      <c r="E42" s="41">
        <f>IF(D42="","",_xlfn.XLOOKUP(A42,[4]ריכוז!$A:$A,[4]ריכוז!$D:$D,"אין כזה"))</f>
        <v>717</v>
      </c>
      <c r="F42" s="10">
        <f t="shared" si="1"/>
        <v>107.55</v>
      </c>
      <c r="G42" s="10">
        <f t="shared" si="2"/>
        <v>35.85</v>
      </c>
      <c r="H42" s="10">
        <f t="shared" si="0"/>
        <v>639.92250000000001</v>
      </c>
      <c r="I42" s="57">
        <f t="shared" si="3"/>
        <v>18420.169162500002</v>
      </c>
      <c r="K42" s="38"/>
    </row>
    <row r="43" spans="1:11" ht="28.8" x14ac:dyDescent="0.3">
      <c r="A43" s="63" t="s">
        <v>72</v>
      </c>
      <c r="B43" s="55" t="s">
        <v>73</v>
      </c>
      <c r="C43" s="56" t="s">
        <v>24</v>
      </c>
      <c r="D43" s="57">
        <f>D33+D38</f>
        <v>9.77</v>
      </c>
      <c r="E43" s="41">
        <f>IF(D43="","",_xlfn.XLOOKUP(A43,[4]ריכוז!$A:$A,[4]ריכוז!$D:$D,"אין כזה"))</f>
        <v>582</v>
      </c>
      <c r="F43" s="10">
        <f t="shared" si="1"/>
        <v>87.3</v>
      </c>
      <c r="G43" s="10">
        <f t="shared" si="2"/>
        <v>29.1</v>
      </c>
      <c r="H43" s="10">
        <f t="shared" si="0"/>
        <v>519.43500000000006</v>
      </c>
      <c r="I43" s="57">
        <f t="shared" si="3"/>
        <v>5074.8799500000005</v>
      </c>
      <c r="K43" s="38"/>
    </row>
    <row r="44" spans="1:11" ht="28.2" x14ac:dyDescent="0.3">
      <c r="A44" s="9" t="s">
        <v>218</v>
      </c>
      <c r="B44" s="2" t="s">
        <v>219</v>
      </c>
      <c r="C44" s="56" t="s">
        <v>24</v>
      </c>
      <c r="D44" s="57">
        <f>D18*0</f>
        <v>0</v>
      </c>
      <c r="E44" s="41">
        <v>800</v>
      </c>
      <c r="F44" s="10">
        <f t="shared" si="1"/>
        <v>120</v>
      </c>
      <c r="G44" s="10">
        <f t="shared" si="2"/>
        <v>40</v>
      </c>
      <c r="H44" s="10">
        <f t="shared" si="0"/>
        <v>714</v>
      </c>
      <c r="I44" s="57">
        <f t="shared" si="3"/>
        <v>0</v>
      </c>
      <c r="K44" s="38"/>
    </row>
    <row r="45" spans="1:11" ht="28.8" x14ac:dyDescent="0.3">
      <c r="A45" s="63" t="s">
        <v>173</v>
      </c>
      <c r="B45" s="55" t="s">
        <v>174</v>
      </c>
      <c r="C45" s="56" t="s">
        <v>24</v>
      </c>
      <c r="D45" s="57">
        <f>D33*0</f>
        <v>0</v>
      </c>
      <c r="E45" s="41">
        <f>IF(D45="","",_xlfn.XLOOKUP(A45,[4]ריכוז!$A:$A,[4]ריכוז!$D:$D,"אין כזה"))</f>
        <v>1440</v>
      </c>
      <c r="F45" s="10">
        <f t="shared" si="1"/>
        <v>216</v>
      </c>
      <c r="G45" s="10">
        <f t="shared" si="2"/>
        <v>72</v>
      </c>
      <c r="H45" s="10">
        <f t="shared" si="0"/>
        <v>1285.2</v>
      </c>
      <c r="I45" s="57">
        <f t="shared" si="3"/>
        <v>0</v>
      </c>
      <c r="K45" s="38"/>
    </row>
    <row r="46" spans="1:11" x14ac:dyDescent="0.3">
      <c r="A46" s="63" t="s">
        <v>74</v>
      </c>
      <c r="B46" s="55" t="s">
        <v>75</v>
      </c>
      <c r="C46" s="56" t="s">
        <v>2</v>
      </c>
      <c r="D46" s="57">
        <v>0</v>
      </c>
      <c r="E46" s="41">
        <f>IF(D46="","",_xlfn.XLOOKUP(A46,[4]ריכוז!$A:$A,[4]ריכוז!$D:$D,"אין כזה"))</f>
        <v>620</v>
      </c>
      <c r="F46" s="10">
        <f t="shared" si="1"/>
        <v>93</v>
      </c>
      <c r="G46" s="10">
        <f t="shared" si="2"/>
        <v>31</v>
      </c>
      <c r="H46" s="10">
        <f t="shared" si="0"/>
        <v>553.35</v>
      </c>
      <c r="I46" s="57">
        <f t="shared" si="3"/>
        <v>0</v>
      </c>
      <c r="K46" s="38"/>
    </row>
    <row r="47" spans="1:11" x14ac:dyDescent="0.3">
      <c r="A47" s="63" t="s">
        <v>76</v>
      </c>
      <c r="B47" s="55" t="s">
        <v>77</v>
      </c>
      <c r="C47" s="56" t="s">
        <v>2</v>
      </c>
      <c r="D47" s="57">
        <v>0</v>
      </c>
      <c r="E47" s="41">
        <f>IF(D47="","",_xlfn.XLOOKUP(A47,[4]ריכוז!$A:$A,[4]ריכוז!$D:$D,"אין כזה"))</f>
        <v>750</v>
      </c>
      <c r="F47" s="10">
        <f t="shared" si="1"/>
        <v>112.5</v>
      </c>
      <c r="G47" s="10">
        <f t="shared" si="2"/>
        <v>37.5</v>
      </c>
      <c r="H47" s="10">
        <f t="shared" si="0"/>
        <v>669.375</v>
      </c>
      <c r="I47" s="57">
        <f t="shared" si="3"/>
        <v>0</v>
      </c>
      <c r="K47" s="38"/>
    </row>
    <row r="48" spans="1:11" x14ac:dyDescent="0.3">
      <c r="A48" s="63" t="s">
        <v>78</v>
      </c>
      <c r="B48" s="55" t="s">
        <v>79</v>
      </c>
      <c r="C48" s="56" t="s">
        <v>2</v>
      </c>
      <c r="D48" s="57">
        <v>0</v>
      </c>
      <c r="E48" s="41">
        <f>IF(D48="","",_xlfn.XLOOKUP(A48,[4]ריכוז!$A:$A,[4]ריכוז!$D:$D,"אין כזה"))</f>
        <v>1020</v>
      </c>
      <c r="F48" s="10">
        <f t="shared" si="1"/>
        <v>153</v>
      </c>
      <c r="G48" s="10">
        <f t="shared" si="2"/>
        <v>51</v>
      </c>
      <c r="H48" s="10">
        <f t="shared" si="0"/>
        <v>910.35</v>
      </c>
      <c r="I48" s="57">
        <f t="shared" si="3"/>
        <v>0</v>
      </c>
      <c r="K48" s="38"/>
    </row>
    <row r="49" spans="1:11" x14ac:dyDescent="0.3">
      <c r="A49" s="63" t="s">
        <v>80</v>
      </c>
      <c r="B49" s="55" t="s">
        <v>81</v>
      </c>
      <c r="C49" s="56" t="s">
        <v>2</v>
      </c>
      <c r="D49" s="57">
        <v>5</v>
      </c>
      <c r="E49" s="41">
        <f>IF(D49="","",_xlfn.XLOOKUP(A49,[4]ריכוז!$A:$A,[4]ריכוז!$D:$D,"אין כזה"))</f>
        <v>1370</v>
      </c>
      <c r="F49" s="10">
        <f t="shared" si="1"/>
        <v>205.5</v>
      </c>
      <c r="G49" s="10">
        <f t="shared" si="2"/>
        <v>68.5</v>
      </c>
      <c r="H49" s="10">
        <f t="shared" si="0"/>
        <v>1222.7249999999999</v>
      </c>
      <c r="I49" s="57">
        <f t="shared" si="3"/>
        <v>6113.625</v>
      </c>
      <c r="K49" s="38"/>
    </row>
    <row r="50" spans="1:11" x14ac:dyDescent="0.3">
      <c r="A50" s="63" t="s">
        <v>82</v>
      </c>
      <c r="B50" s="55" t="s">
        <v>83</v>
      </c>
      <c r="C50" s="56" t="s">
        <v>2</v>
      </c>
      <c r="D50" s="57">
        <v>0</v>
      </c>
      <c r="E50" s="41">
        <f>IF(D50="","",_xlfn.XLOOKUP(A50,[4]ריכוז!$A:$A,[4]ריכוז!$D:$D,"אין כזה"))</f>
        <v>1650</v>
      </c>
      <c r="F50" s="10">
        <f t="shared" si="1"/>
        <v>247.5</v>
      </c>
      <c r="G50" s="10">
        <f t="shared" si="2"/>
        <v>82.5</v>
      </c>
      <c r="H50" s="10">
        <f t="shared" si="0"/>
        <v>1472.625</v>
      </c>
      <c r="I50" s="57">
        <f t="shared" si="3"/>
        <v>0</v>
      </c>
      <c r="K50" s="38"/>
    </row>
    <row r="51" spans="1:11" x14ac:dyDescent="0.3">
      <c r="A51" s="63" t="s">
        <v>84</v>
      </c>
      <c r="B51" s="55" t="s">
        <v>85</v>
      </c>
      <c r="C51" s="56" t="s">
        <v>2</v>
      </c>
      <c r="D51" s="57">
        <v>0</v>
      </c>
      <c r="E51" s="41">
        <f>IF(D51="","",_xlfn.XLOOKUP(A51,[4]ריכוז!$A:$A,[4]ריכוז!$D:$D,"אין כזה"))</f>
        <v>1820</v>
      </c>
      <c r="F51" s="10">
        <f t="shared" si="1"/>
        <v>273</v>
      </c>
      <c r="G51" s="10">
        <f t="shared" si="2"/>
        <v>91</v>
      </c>
      <c r="H51" s="10">
        <f t="shared" si="0"/>
        <v>1624.35</v>
      </c>
      <c r="I51" s="57">
        <f t="shared" si="3"/>
        <v>0</v>
      </c>
      <c r="K51" s="38"/>
    </row>
    <row r="52" spans="1:11" x14ac:dyDescent="0.3">
      <c r="A52" s="63" t="s">
        <v>86</v>
      </c>
      <c r="B52" s="55" t="s">
        <v>87</v>
      </c>
      <c r="C52" s="56" t="s">
        <v>2</v>
      </c>
      <c r="D52" s="57">
        <v>0</v>
      </c>
      <c r="E52" s="41">
        <f>IF(D52="","",_xlfn.XLOOKUP(A52,[4]ריכוז!$A:$A,[4]ריכוז!$D:$D,"אין כזה"))</f>
        <v>130</v>
      </c>
      <c r="F52" s="10">
        <f t="shared" si="1"/>
        <v>19.5</v>
      </c>
      <c r="G52" s="10">
        <f t="shared" si="2"/>
        <v>6.5</v>
      </c>
      <c r="H52" s="10">
        <f t="shared" si="0"/>
        <v>116.02499999999999</v>
      </c>
      <c r="I52" s="57">
        <f t="shared" si="3"/>
        <v>0</v>
      </c>
      <c r="K52" s="38"/>
    </row>
    <row r="53" spans="1:11" x14ac:dyDescent="0.3">
      <c r="A53" s="63" t="s">
        <v>175</v>
      </c>
      <c r="B53" s="55" t="s">
        <v>176</v>
      </c>
      <c r="C53" s="56" t="s">
        <v>24</v>
      </c>
      <c r="D53" s="57">
        <f>(D44+D45+D42+D43)</f>
        <v>38.555</v>
      </c>
      <c r="E53" s="41">
        <f>IF(D53="","",_xlfn.XLOOKUP(A53,[4]ריכוז!$A:$A,[4]ריכוז!$D:$D,"אין כזה"))</f>
        <v>60</v>
      </c>
      <c r="F53" s="10">
        <f t="shared" si="1"/>
        <v>9</v>
      </c>
      <c r="G53" s="10">
        <f t="shared" si="2"/>
        <v>3</v>
      </c>
      <c r="H53" s="10">
        <f t="shared" si="0"/>
        <v>53.55</v>
      </c>
      <c r="I53" s="57">
        <f t="shared" si="3"/>
        <v>2064.6202499999999</v>
      </c>
      <c r="K53" s="38"/>
    </row>
    <row r="54" spans="1:11" x14ac:dyDescent="0.3">
      <c r="A54" s="63" t="s">
        <v>88</v>
      </c>
      <c r="B54" s="55" t="s">
        <v>89</v>
      </c>
      <c r="C54" s="56" t="s">
        <v>2</v>
      </c>
      <c r="D54" s="57">
        <v>0</v>
      </c>
      <c r="E54" s="41">
        <f>IF(D54="","",_xlfn.XLOOKUP(A54,[4]ריכוז!$A:$A,[4]ריכוז!$D:$D,"אין כזה"))</f>
        <v>109</v>
      </c>
      <c r="F54" s="10">
        <f t="shared" si="1"/>
        <v>16.349999999999998</v>
      </c>
      <c r="G54" s="10">
        <f t="shared" si="2"/>
        <v>5.45</v>
      </c>
      <c r="H54" s="10">
        <f t="shared" si="0"/>
        <v>97.282499999999999</v>
      </c>
      <c r="I54" s="57">
        <f t="shared" si="3"/>
        <v>0</v>
      </c>
      <c r="K54" s="38"/>
    </row>
    <row r="55" spans="1:11" x14ac:dyDescent="0.3">
      <c r="A55" s="63" t="s">
        <v>90</v>
      </c>
      <c r="B55" s="55" t="s">
        <v>91</v>
      </c>
      <c r="C55" s="56" t="s">
        <v>2</v>
      </c>
      <c r="D55" s="57">
        <v>6</v>
      </c>
      <c r="E55" s="41">
        <f>IF(D55="","",_xlfn.XLOOKUP(A55,[4]ריכוז!$A:$A,[4]ריכוז!$D:$D,"אין כזה"))</f>
        <v>121</v>
      </c>
      <c r="F55" s="10">
        <f t="shared" si="1"/>
        <v>18.149999999999999</v>
      </c>
      <c r="G55" s="10">
        <f t="shared" si="2"/>
        <v>6.0500000000000007</v>
      </c>
      <c r="H55" s="10">
        <f t="shared" si="0"/>
        <v>107.99250000000001</v>
      </c>
      <c r="I55" s="57">
        <f t="shared" si="3"/>
        <v>647.95500000000004</v>
      </c>
      <c r="K55" s="38"/>
    </row>
    <row r="56" spans="1:11" ht="14.4" customHeight="1" x14ac:dyDescent="0.3">
      <c r="A56" s="63" t="s">
        <v>195</v>
      </c>
      <c r="B56" s="55" t="s">
        <v>182</v>
      </c>
      <c r="C56" s="56" t="s">
        <v>2</v>
      </c>
      <c r="D56" s="57">
        <v>0</v>
      </c>
      <c r="E56" s="41">
        <f>IF(D56="","",_xlfn.XLOOKUP(A56,[4]ריכוז!$A:$A,[4]ריכוז!$D:$D,"אין כזה"))</f>
        <v>133</v>
      </c>
      <c r="F56" s="10">
        <f t="shared" si="1"/>
        <v>19.95</v>
      </c>
      <c r="G56" s="10">
        <f t="shared" si="2"/>
        <v>6.65</v>
      </c>
      <c r="H56" s="10">
        <f t="shared" si="0"/>
        <v>118.7025</v>
      </c>
      <c r="I56" s="57">
        <f t="shared" si="3"/>
        <v>0</v>
      </c>
      <c r="K56" s="38"/>
    </row>
    <row r="57" spans="1:11" ht="14.4" customHeight="1" x14ac:dyDescent="0.3">
      <c r="A57" s="63" t="s">
        <v>196</v>
      </c>
      <c r="B57" s="55" t="s">
        <v>183</v>
      </c>
      <c r="C57" s="56" t="s">
        <v>2</v>
      </c>
      <c r="D57" s="57">
        <v>0</v>
      </c>
      <c r="E57" s="41">
        <f>IF(D57="","",_xlfn.XLOOKUP(A57,[4]ריכוז!$A:$A,[4]ריכוז!$D:$D,"אין כזה"))</f>
        <v>145</v>
      </c>
      <c r="F57" s="10">
        <f t="shared" si="1"/>
        <v>21.75</v>
      </c>
      <c r="G57" s="10">
        <f t="shared" si="2"/>
        <v>7.25</v>
      </c>
      <c r="H57" s="10">
        <f t="shared" si="0"/>
        <v>129.41249999999999</v>
      </c>
      <c r="I57" s="57">
        <f t="shared" si="3"/>
        <v>0</v>
      </c>
      <c r="K57" s="38"/>
    </row>
    <row r="58" spans="1:11" ht="14.4" customHeight="1" x14ac:dyDescent="0.3">
      <c r="A58" s="63" t="s">
        <v>197</v>
      </c>
      <c r="B58" s="55" t="s">
        <v>184</v>
      </c>
      <c r="C58" s="56" t="s">
        <v>2</v>
      </c>
      <c r="D58" s="57">
        <v>0</v>
      </c>
      <c r="E58" s="41">
        <f>IF(D58="","",_xlfn.XLOOKUP(A58,[4]ריכוז!$A:$A,[4]ריכוז!$D:$D,"אין כזה"))</f>
        <v>157</v>
      </c>
      <c r="F58" s="10">
        <f t="shared" si="1"/>
        <v>23.55</v>
      </c>
      <c r="G58" s="10">
        <f t="shared" si="2"/>
        <v>7.8500000000000005</v>
      </c>
      <c r="H58" s="10">
        <f t="shared" si="0"/>
        <v>140.1225</v>
      </c>
      <c r="I58" s="57">
        <f t="shared" si="3"/>
        <v>0</v>
      </c>
      <c r="K58" s="38"/>
    </row>
    <row r="59" spans="1:11" ht="14.4" customHeight="1" x14ac:dyDescent="0.3">
      <c r="A59" s="63" t="s">
        <v>198</v>
      </c>
      <c r="B59" s="55" t="s">
        <v>185</v>
      </c>
      <c r="C59" s="56" t="s">
        <v>2</v>
      </c>
      <c r="D59" s="57">
        <v>0</v>
      </c>
      <c r="E59" s="41">
        <f>IF(D59="","",_xlfn.XLOOKUP(A59,[4]ריכוז!$A:$A,[4]ריכוז!$D:$D,"אין כזה"))</f>
        <v>169</v>
      </c>
      <c r="F59" s="10">
        <f t="shared" si="1"/>
        <v>25.349999999999998</v>
      </c>
      <c r="G59" s="10">
        <f t="shared" si="2"/>
        <v>8.4500000000000011</v>
      </c>
      <c r="H59" s="10">
        <f t="shared" si="0"/>
        <v>150.83250000000001</v>
      </c>
      <c r="I59" s="57">
        <f t="shared" si="3"/>
        <v>0</v>
      </c>
      <c r="K59" s="38"/>
    </row>
    <row r="60" spans="1:11" ht="14.4" customHeight="1" x14ac:dyDescent="0.3">
      <c r="A60" s="63" t="s">
        <v>199</v>
      </c>
      <c r="B60" s="55" t="s">
        <v>186</v>
      </c>
      <c r="C60" s="56" t="s">
        <v>2</v>
      </c>
      <c r="D60" s="57">
        <v>0</v>
      </c>
      <c r="E60" s="41">
        <f>IF(D60="","",_xlfn.XLOOKUP(A60,[4]ריכוז!$A:$A,[4]ריכוז!$D:$D,"אין כזה"))</f>
        <v>181</v>
      </c>
      <c r="F60" s="10">
        <f t="shared" si="1"/>
        <v>27.15</v>
      </c>
      <c r="G60" s="10">
        <f t="shared" si="2"/>
        <v>9.0500000000000007</v>
      </c>
      <c r="H60" s="10">
        <f t="shared" si="0"/>
        <v>161.54250000000002</v>
      </c>
      <c r="I60" s="57">
        <f t="shared" si="3"/>
        <v>0</v>
      </c>
      <c r="K60" s="38"/>
    </row>
    <row r="61" spans="1:11" ht="14.4" customHeight="1" x14ac:dyDescent="0.3">
      <c r="A61" s="63" t="s">
        <v>200</v>
      </c>
      <c r="B61" s="55" t="s">
        <v>187</v>
      </c>
      <c r="C61" s="56" t="s">
        <v>2</v>
      </c>
      <c r="D61" s="57">
        <v>2</v>
      </c>
      <c r="E61" s="41">
        <f>IF(D61="","",_xlfn.XLOOKUP(A61,[4]ריכוז!$A:$A,[4]ריכוז!$D:$D,"אין כזה"))</f>
        <v>193</v>
      </c>
      <c r="F61" s="10">
        <f t="shared" si="1"/>
        <v>28.95</v>
      </c>
      <c r="G61" s="10">
        <f t="shared" si="2"/>
        <v>9.65</v>
      </c>
      <c r="H61" s="10">
        <f t="shared" si="0"/>
        <v>172.2525</v>
      </c>
      <c r="I61" s="57">
        <f t="shared" si="3"/>
        <v>344.505</v>
      </c>
      <c r="K61" s="38"/>
    </row>
    <row r="62" spans="1:11" s="27" customFormat="1" ht="15.6" x14ac:dyDescent="0.3">
      <c r="A62" s="59" t="s">
        <v>92</v>
      </c>
      <c r="B62" s="60" t="s">
        <v>93</v>
      </c>
      <c r="C62" s="61" t="s">
        <v>3</v>
      </c>
      <c r="D62" s="62" t="s">
        <v>3</v>
      </c>
      <c r="E62" s="41" t="str">
        <f>IF(D62="","",_xlfn.XLOOKUP(A62,[4]ריכוז!$A:$A,[4]ריכוז!$D:$D,"אין כזה"))</f>
        <v/>
      </c>
      <c r="F62" s="10" t="str">
        <f t="shared" si="1"/>
        <v/>
      </c>
      <c r="G62" s="10" t="str">
        <f t="shared" si="2"/>
        <v/>
      </c>
      <c r="H62" s="10" t="str">
        <f t="shared" si="0"/>
        <v/>
      </c>
      <c r="I62" s="57" t="str">
        <f t="shared" si="3"/>
        <v/>
      </c>
      <c r="K62" s="38"/>
    </row>
    <row r="63" spans="1:11" ht="15" thickBot="1" x14ac:dyDescent="0.35">
      <c r="A63" s="54" t="s">
        <v>94</v>
      </c>
      <c r="B63" s="55" t="s">
        <v>95</v>
      </c>
      <c r="C63" s="56" t="s">
        <v>24</v>
      </c>
      <c r="D63" s="141">
        <f>D33*2/3+D18*0.5+D19*0.5</f>
        <v>20.905833333333334</v>
      </c>
      <c r="E63" s="41">
        <f>IF(D63="","",_xlfn.XLOOKUP(A63,[4]ריכוז!$A:$A,[4]ריכוז!$D:$D,"אין כזה"))</f>
        <v>53</v>
      </c>
      <c r="F63" s="10">
        <f t="shared" si="1"/>
        <v>7.9499999999999993</v>
      </c>
      <c r="G63" s="10">
        <f t="shared" si="2"/>
        <v>2.6500000000000004</v>
      </c>
      <c r="H63" s="10">
        <f t="shared" si="0"/>
        <v>47.302500000000002</v>
      </c>
      <c r="I63" s="57">
        <f t="shared" si="3"/>
        <v>988.89818125000011</v>
      </c>
      <c r="K63" s="38"/>
    </row>
    <row r="64" spans="1:11" ht="43.2" x14ac:dyDescent="0.3">
      <c r="A64" s="54" t="s">
        <v>96</v>
      </c>
      <c r="B64" s="55" t="s">
        <v>97</v>
      </c>
      <c r="C64" s="56" t="s">
        <v>24</v>
      </c>
      <c r="D64" s="57">
        <v>0</v>
      </c>
      <c r="E64" s="41">
        <f>IF(D64="","",_xlfn.XLOOKUP(A64,[4]ריכוז!$A:$A,[4]ריכוז!$D:$D,"אין כזה"))</f>
        <v>880</v>
      </c>
      <c r="F64" s="10">
        <f t="shared" si="1"/>
        <v>132</v>
      </c>
      <c r="G64" s="10">
        <f t="shared" si="2"/>
        <v>44</v>
      </c>
      <c r="H64" s="10">
        <f t="shared" si="0"/>
        <v>785.4</v>
      </c>
      <c r="I64" s="57">
        <f t="shared" si="3"/>
        <v>0</v>
      </c>
      <c r="K64" s="38"/>
    </row>
    <row r="65" spans="1:11" ht="43.2" x14ac:dyDescent="0.3">
      <c r="A65" s="54" t="s">
        <v>215</v>
      </c>
      <c r="B65" s="55" t="s">
        <v>98</v>
      </c>
      <c r="C65" s="56" t="s">
        <v>24</v>
      </c>
      <c r="D65" s="138">
        <f>D63</f>
        <v>20.905833333333334</v>
      </c>
      <c r="E65" s="41">
        <f>IF(D65="","",_xlfn.XLOOKUP(A65,[4]ריכוז!$A:$A,[4]ריכוז!$D:$D,"אין כזה"))</f>
        <v>650</v>
      </c>
      <c r="F65" s="10">
        <f t="shared" si="1"/>
        <v>97.5</v>
      </c>
      <c r="G65" s="10">
        <f t="shared" si="2"/>
        <v>32.5</v>
      </c>
      <c r="H65" s="10">
        <f t="shared" si="0"/>
        <v>580.125</v>
      </c>
      <c r="I65" s="57">
        <f t="shared" si="3"/>
        <v>12127.9965625</v>
      </c>
      <c r="K65" s="38"/>
    </row>
    <row r="66" spans="1:11" s="27" customFormat="1" ht="15.6" x14ac:dyDescent="0.3">
      <c r="A66" s="59" t="s">
        <v>99</v>
      </c>
      <c r="B66" s="60" t="s">
        <v>100</v>
      </c>
      <c r="C66" s="61" t="s">
        <v>3</v>
      </c>
      <c r="D66" s="62" t="s">
        <v>3</v>
      </c>
      <c r="E66" s="41" t="str">
        <f>IF(D66="","",_xlfn.XLOOKUP(A66,[4]ריכוז!$A:$A,[4]ריכוז!$D:$D,"אין כזה"))</f>
        <v/>
      </c>
      <c r="F66" s="10" t="str">
        <f t="shared" si="1"/>
        <v/>
      </c>
      <c r="G66" s="10" t="str">
        <f t="shared" si="2"/>
        <v/>
      </c>
      <c r="H66" s="10" t="str">
        <f t="shared" si="0"/>
        <v/>
      </c>
      <c r="I66" s="57" t="str">
        <f t="shared" si="3"/>
        <v/>
      </c>
      <c r="K66" s="38"/>
    </row>
    <row r="67" spans="1:11" x14ac:dyDescent="0.3">
      <c r="A67" s="63" t="s">
        <v>101</v>
      </c>
      <c r="B67" s="55" t="s">
        <v>102</v>
      </c>
      <c r="C67" s="56" t="s">
        <v>24</v>
      </c>
      <c r="D67" s="57">
        <v>0</v>
      </c>
      <c r="E67" s="41">
        <f>IF(D67="","",_xlfn.XLOOKUP(A67,[4]ריכוז!$A:$A,[4]ריכוז!$D:$D,"אין כזה"))</f>
        <v>265</v>
      </c>
      <c r="F67" s="10">
        <f t="shared" si="1"/>
        <v>39.75</v>
      </c>
      <c r="G67" s="10">
        <f t="shared" si="2"/>
        <v>13.25</v>
      </c>
      <c r="H67" s="10">
        <f t="shared" si="0"/>
        <v>236.51249999999999</v>
      </c>
      <c r="I67" s="57">
        <f t="shared" si="3"/>
        <v>0</v>
      </c>
      <c r="K67" s="38"/>
    </row>
    <row r="68" spans="1:11" x14ac:dyDescent="0.3">
      <c r="A68" s="64" t="s">
        <v>103</v>
      </c>
      <c r="B68" s="65" t="s">
        <v>104</v>
      </c>
      <c r="C68" s="56" t="s">
        <v>24</v>
      </c>
      <c r="D68" s="138">
        <f>-D70</f>
        <v>26.643000000000001</v>
      </c>
      <c r="E68" s="41">
        <f>IF(D68="","",_xlfn.XLOOKUP(A68,[4]ריכוז!$A:$A,[4]ריכוז!$D:$D,"אין כזה"))</f>
        <v>375</v>
      </c>
      <c r="F68" s="10">
        <f t="shared" si="1"/>
        <v>56.25</v>
      </c>
      <c r="G68" s="10">
        <f t="shared" si="2"/>
        <v>18.75</v>
      </c>
      <c r="H68" s="10">
        <f t="shared" si="0"/>
        <v>334.6875</v>
      </c>
      <c r="I68" s="57">
        <f t="shared" si="3"/>
        <v>8917.0790625000009</v>
      </c>
      <c r="K68" s="38"/>
    </row>
    <row r="69" spans="1:11" x14ac:dyDescent="0.3">
      <c r="A69" s="64" t="s">
        <v>105</v>
      </c>
      <c r="B69" s="65" t="s">
        <v>106</v>
      </c>
      <c r="C69" s="56" t="s">
        <v>24</v>
      </c>
      <c r="D69" s="57">
        <v>0</v>
      </c>
      <c r="E69" s="41">
        <f>IF(D69="","",_xlfn.XLOOKUP(A69,[4]ריכוז!$A:$A,[4]ריכוז!$D:$D,"אין כזה"))</f>
        <v>317</v>
      </c>
      <c r="F69" s="10">
        <f t="shared" si="1"/>
        <v>47.55</v>
      </c>
      <c r="G69" s="10">
        <f t="shared" si="2"/>
        <v>15.850000000000001</v>
      </c>
      <c r="H69" s="10">
        <f t="shared" si="0"/>
        <v>282.92250000000001</v>
      </c>
      <c r="I69" s="57">
        <f t="shared" si="3"/>
        <v>0</v>
      </c>
      <c r="K69" s="38"/>
    </row>
    <row r="70" spans="1:11" x14ac:dyDescent="0.3">
      <c r="A70" s="64" t="s">
        <v>107</v>
      </c>
      <c r="B70" s="65" t="s">
        <v>108</v>
      </c>
      <c r="C70" s="56" t="s">
        <v>24</v>
      </c>
      <c r="D70" s="57">
        <v>-26.643000000000001</v>
      </c>
      <c r="E70" s="41">
        <f>IF(D70="","",_xlfn.XLOOKUP(A70,[4]ריכוז!$A:$A,[4]ריכוז!$D:$D,"אין כזה"))</f>
        <v>172</v>
      </c>
      <c r="F70" s="10">
        <f t="shared" si="1"/>
        <v>25.8</v>
      </c>
      <c r="G70" s="10">
        <f t="shared" si="2"/>
        <v>8.6</v>
      </c>
      <c r="H70" s="10">
        <f t="shared" si="0"/>
        <v>153.51</v>
      </c>
      <c r="I70" s="57">
        <f t="shared" si="3"/>
        <v>-4089.96693</v>
      </c>
      <c r="K70" s="38"/>
    </row>
    <row r="71" spans="1:11" x14ac:dyDescent="0.3">
      <c r="A71" s="63" t="s">
        <v>109</v>
      </c>
      <c r="B71" s="55" t="s">
        <v>110</v>
      </c>
      <c r="C71" s="56" t="s">
        <v>24</v>
      </c>
      <c r="D71" s="57">
        <f>-D67</f>
        <v>0</v>
      </c>
      <c r="E71" s="41">
        <f>IF(D71="","",_xlfn.XLOOKUP(A71,[4]ריכוז!$A:$A,[4]ריכוז!$D:$D,"אין כזה"))</f>
        <v>94</v>
      </c>
      <c r="F71" s="10">
        <f t="shared" si="1"/>
        <v>14.1</v>
      </c>
      <c r="G71" s="10">
        <f t="shared" si="2"/>
        <v>4.7</v>
      </c>
      <c r="H71" s="10">
        <f t="shared" si="0"/>
        <v>83.894999999999996</v>
      </c>
      <c r="I71" s="57">
        <f t="shared" si="3"/>
        <v>0</v>
      </c>
      <c r="K71" s="38"/>
    </row>
    <row r="72" spans="1:11" x14ac:dyDescent="0.3">
      <c r="A72" s="63" t="s">
        <v>111</v>
      </c>
      <c r="B72" s="55" t="s">
        <v>112</v>
      </c>
      <c r="C72" s="56" t="s">
        <v>24</v>
      </c>
      <c r="D72" s="57">
        <v>0</v>
      </c>
      <c r="E72" s="41">
        <f>IF(D72="","",_xlfn.XLOOKUP(A72,[4]ריכוז!$A:$A,[4]ריכוז!$D:$D,"אין כזה"))</f>
        <v>157</v>
      </c>
      <c r="F72" s="10">
        <f t="shared" si="1"/>
        <v>23.55</v>
      </c>
      <c r="G72" s="10">
        <f t="shared" si="2"/>
        <v>7.8500000000000005</v>
      </c>
      <c r="H72" s="10">
        <f t="shared" si="0"/>
        <v>140.1225</v>
      </c>
      <c r="I72" s="57">
        <f t="shared" si="3"/>
        <v>0</v>
      </c>
      <c r="K72" s="38"/>
    </row>
    <row r="73" spans="1:11" s="27" customFormat="1" ht="15.6" x14ac:dyDescent="0.3">
      <c r="A73" s="59" t="s">
        <v>113</v>
      </c>
      <c r="B73" s="60" t="s">
        <v>114</v>
      </c>
      <c r="C73" s="61" t="s">
        <v>3</v>
      </c>
      <c r="D73" s="62" t="s">
        <v>3</v>
      </c>
      <c r="E73" s="41" t="str">
        <f>IF(D73="","",_xlfn.XLOOKUP(A73,[4]ריכוז!$A:$A,[4]ריכוז!$D:$D,"אין כזה"))</f>
        <v/>
      </c>
      <c r="F73" s="10" t="str">
        <f t="shared" si="1"/>
        <v/>
      </c>
      <c r="G73" s="10" t="str">
        <f t="shared" si="2"/>
        <v/>
      </c>
      <c r="H73" s="10" t="str">
        <f t="shared" si="0"/>
        <v/>
      </c>
      <c r="I73" s="57" t="str">
        <f t="shared" si="3"/>
        <v/>
      </c>
      <c r="K73" s="38"/>
    </row>
    <row r="74" spans="1:11" s="27" customFormat="1" ht="15.6" x14ac:dyDescent="0.3">
      <c r="A74" s="59" t="s">
        <v>115</v>
      </c>
      <c r="B74" s="60" t="s">
        <v>116</v>
      </c>
      <c r="C74" s="61" t="s">
        <v>3</v>
      </c>
      <c r="D74" s="62" t="s">
        <v>3</v>
      </c>
      <c r="E74" s="41" t="str">
        <f>IF(D74="","",_xlfn.XLOOKUP(A74,[4]ריכוז!$A:$A,[4]ריכוז!$D:$D,"אין כזה"))</f>
        <v/>
      </c>
      <c r="F74" s="10" t="str">
        <f t="shared" si="1"/>
        <v/>
      </c>
      <c r="G74" s="10" t="str">
        <f t="shared" si="2"/>
        <v/>
      </c>
      <c r="H74" s="10" t="str">
        <f t="shared" si="0"/>
        <v/>
      </c>
      <c r="I74" s="57" t="str">
        <f t="shared" si="3"/>
        <v/>
      </c>
      <c r="K74" s="38"/>
    </row>
    <row r="75" spans="1:11" ht="28.8" x14ac:dyDescent="0.3">
      <c r="A75" s="63" t="s">
        <v>117</v>
      </c>
      <c r="B75" s="55" t="s">
        <v>118</v>
      </c>
      <c r="C75" s="56" t="s">
        <v>17</v>
      </c>
      <c r="D75" s="57">
        <v>0</v>
      </c>
      <c r="E75" s="41">
        <f>IF(D75="","",_xlfn.XLOOKUP(A75,[4]ריכוז!$A:$A,[4]ריכוז!$D:$D,"אין כזה"))</f>
        <v>3500</v>
      </c>
      <c r="F75" s="10">
        <f t="shared" si="1"/>
        <v>525</v>
      </c>
      <c r="G75" s="10">
        <f t="shared" si="2"/>
        <v>175</v>
      </c>
      <c r="H75" s="10">
        <f t="shared" si="0"/>
        <v>3123.75</v>
      </c>
      <c r="I75" s="57">
        <f t="shared" si="3"/>
        <v>0</v>
      </c>
      <c r="K75" s="38"/>
    </row>
    <row r="76" spans="1:11" ht="43.2" x14ac:dyDescent="0.3">
      <c r="A76" s="63" t="s">
        <v>119</v>
      </c>
      <c r="B76" s="55" t="s">
        <v>120</v>
      </c>
      <c r="C76" s="56" t="s">
        <v>4</v>
      </c>
      <c r="D76" s="57">
        <v>0</v>
      </c>
      <c r="E76" s="41">
        <f>IF(D76="","",_xlfn.XLOOKUP(A76,[4]ריכוז!$A:$A,[4]ריכוז!$D:$D,"אין כזה"))</f>
        <v>172</v>
      </c>
      <c r="F76" s="10">
        <f t="shared" si="1"/>
        <v>25.8</v>
      </c>
      <c r="G76" s="10">
        <f t="shared" si="2"/>
        <v>8.6</v>
      </c>
      <c r="H76" s="10">
        <f t="shared" si="0"/>
        <v>153.51</v>
      </c>
      <c r="I76" s="57">
        <f t="shared" si="3"/>
        <v>0</v>
      </c>
      <c r="K76" s="38"/>
    </row>
    <row r="77" spans="1:11" x14ac:dyDescent="0.3">
      <c r="A77" s="63" t="s">
        <v>177</v>
      </c>
      <c r="B77" s="55" t="s">
        <v>178</v>
      </c>
      <c r="C77" s="56" t="s">
        <v>24</v>
      </c>
      <c r="D77" s="57">
        <f>SUM(D17:D19,D25:D27,D29:D30,D32:D34,D36:D38)</f>
        <v>38.555</v>
      </c>
      <c r="E77" s="41">
        <f>IF(D77="","",_xlfn.XLOOKUP(A77,[4]ריכוז!$A:$A,[4]ריכוז!$D:$D,"אין כזה"))</f>
        <v>48</v>
      </c>
      <c r="F77" s="10">
        <f t="shared" si="1"/>
        <v>7.1999999999999993</v>
      </c>
      <c r="G77" s="10">
        <f t="shared" si="2"/>
        <v>2.4000000000000004</v>
      </c>
      <c r="H77" s="10">
        <f t="shared" si="0"/>
        <v>42.84</v>
      </c>
      <c r="I77" s="57">
        <f t="shared" si="3"/>
        <v>1651.6962000000001</v>
      </c>
      <c r="K77" s="38"/>
    </row>
    <row r="78" spans="1:11" s="27" customFormat="1" ht="15.6" x14ac:dyDescent="0.3">
      <c r="A78" s="59" t="s">
        <v>121</v>
      </c>
      <c r="B78" s="60" t="s">
        <v>122</v>
      </c>
      <c r="C78" s="61" t="s">
        <v>3</v>
      </c>
      <c r="D78" s="62" t="s">
        <v>3</v>
      </c>
      <c r="E78" s="41" t="str">
        <f>IF(D78="","",_xlfn.XLOOKUP(A78,[4]ריכוז!$A:$A,[4]ריכוז!$D:$D,"אין כזה"))</f>
        <v/>
      </c>
      <c r="F78" s="10" t="str">
        <f t="shared" si="1"/>
        <v/>
      </c>
      <c r="G78" s="10" t="str">
        <f t="shared" si="2"/>
        <v/>
      </c>
      <c r="H78" s="10" t="str">
        <f t="shared" ref="H78:H92" si="4">IF(E78="","",E78*1.05*0.85)</f>
        <v/>
      </c>
      <c r="I78" s="57" t="str">
        <f t="shared" si="3"/>
        <v/>
      </c>
      <c r="K78" s="38"/>
    </row>
    <row r="79" spans="1:11" s="27" customFormat="1" ht="15.6" x14ac:dyDescent="0.3">
      <c r="A79" s="59" t="s">
        <v>123</v>
      </c>
      <c r="B79" s="60" t="s">
        <v>124</v>
      </c>
      <c r="C79" s="61" t="s">
        <v>3</v>
      </c>
      <c r="D79" s="62" t="s">
        <v>3</v>
      </c>
      <c r="E79" s="41" t="str">
        <f>IF(D79="","",_xlfn.XLOOKUP(A79,[4]ריכוז!$A:$A,[4]ריכוז!$D:$D,"אין כזה"))</f>
        <v/>
      </c>
      <c r="F79" s="10" t="str">
        <f t="shared" si="1"/>
        <v/>
      </c>
      <c r="G79" s="10" t="str">
        <f t="shared" si="2"/>
        <v/>
      </c>
      <c r="H79" s="10" t="str">
        <f t="shared" si="4"/>
        <v/>
      </c>
      <c r="I79" s="57" t="str">
        <f t="shared" si="3"/>
        <v/>
      </c>
      <c r="K79" s="38"/>
    </row>
    <row r="80" spans="1:11" s="27" customFormat="1" ht="15.6" x14ac:dyDescent="0.3">
      <c r="A80" s="9" t="s">
        <v>208</v>
      </c>
      <c r="B80" s="55" t="s">
        <v>209</v>
      </c>
      <c r="C80" s="56" t="s">
        <v>125</v>
      </c>
      <c r="D80" s="57">
        <v>3</v>
      </c>
      <c r="E80" s="41">
        <v>130</v>
      </c>
      <c r="F80" s="10">
        <f t="shared" si="1"/>
        <v>19.5</v>
      </c>
      <c r="G80" s="10">
        <f t="shared" si="2"/>
        <v>6.5</v>
      </c>
      <c r="H80" s="10">
        <f t="shared" si="4"/>
        <v>116.02499999999999</v>
      </c>
      <c r="I80" s="57">
        <f t="shared" si="3"/>
        <v>348.07499999999999</v>
      </c>
      <c r="K80" s="38"/>
    </row>
    <row r="81" spans="1:15" s="27" customFormat="1" ht="15.6" x14ac:dyDescent="0.3">
      <c r="A81" s="9" t="s">
        <v>169</v>
      </c>
      <c r="B81" s="55" t="s">
        <v>170</v>
      </c>
      <c r="C81" s="56" t="s">
        <v>125</v>
      </c>
      <c r="D81" s="57">
        <v>9</v>
      </c>
      <c r="E81" s="41">
        <f>IF(D81="","",_xlfn.XLOOKUP(A81,[4]ריכוז!$A:$A,[4]ריכוז!$D:$D,"אין כזה"))</f>
        <v>145</v>
      </c>
      <c r="F81" s="10">
        <f t="shared" si="1"/>
        <v>21.75</v>
      </c>
      <c r="G81" s="10">
        <f t="shared" si="2"/>
        <v>7.25</v>
      </c>
      <c r="H81" s="10">
        <f t="shared" si="4"/>
        <v>129.41249999999999</v>
      </c>
      <c r="I81" s="57">
        <f t="shared" si="3"/>
        <v>1164.7124999999999</v>
      </c>
      <c r="K81" s="38"/>
    </row>
    <row r="82" spans="1:15" s="27" customFormat="1" ht="15.6" x14ac:dyDescent="0.3">
      <c r="A82" s="59" t="s">
        <v>126</v>
      </c>
      <c r="B82" s="60" t="s">
        <v>127</v>
      </c>
      <c r="C82" s="61" t="s">
        <v>3</v>
      </c>
      <c r="D82" s="62" t="s">
        <v>3</v>
      </c>
      <c r="E82" s="41" t="str">
        <f>IF(D82="","",_xlfn.XLOOKUP(A82,[4]ריכוז!$A:$A,[4]ריכוז!$D:$D,"אין כזה"))</f>
        <v/>
      </c>
      <c r="F82" s="10" t="str">
        <f t="shared" ref="F82:F92" si="5">IF(E82="","",E82*0.15)</f>
        <v/>
      </c>
      <c r="G82" s="10" t="str">
        <f t="shared" ref="G82:G92" si="6">IF(E82="","",E82*0.05)</f>
        <v/>
      </c>
      <c r="H82" s="10" t="str">
        <f t="shared" si="4"/>
        <v/>
      </c>
      <c r="I82" s="57" t="str">
        <f t="shared" ref="I82:I91" si="7">IF(D82="","",H82*D82)</f>
        <v/>
      </c>
      <c r="K82" s="38"/>
    </row>
    <row r="83" spans="1:15" ht="28.8" x14ac:dyDescent="0.3">
      <c r="A83" s="63" t="s">
        <v>128</v>
      </c>
      <c r="B83" s="55" t="s">
        <v>129</v>
      </c>
      <c r="C83" s="56" t="s">
        <v>2</v>
      </c>
      <c r="D83" s="138">
        <v>2</v>
      </c>
      <c r="E83" s="41">
        <f>IF(D83="","",_xlfn.XLOOKUP(A83,[4]ריכוז!$A:$A,[4]ריכוז!$D:$D,"אין כזה"))</f>
        <v>1460</v>
      </c>
      <c r="F83" s="10">
        <f t="shared" si="5"/>
        <v>219</v>
      </c>
      <c r="G83" s="10">
        <f t="shared" si="6"/>
        <v>73</v>
      </c>
      <c r="H83" s="10">
        <f t="shared" si="4"/>
        <v>1303.05</v>
      </c>
      <c r="I83" s="57">
        <f t="shared" si="7"/>
        <v>2606.1</v>
      </c>
      <c r="K83" s="38"/>
    </row>
    <row r="84" spans="1:15" ht="28.8" x14ac:dyDescent="0.3">
      <c r="A84" s="63" t="s">
        <v>130</v>
      </c>
      <c r="B84" s="55" t="s">
        <v>131</v>
      </c>
      <c r="C84" s="56" t="s">
        <v>2</v>
      </c>
      <c r="D84" s="57">
        <v>0</v>
      </c>
      <c r="E84" s="41">
        <f>IF(D84="","",_xlfn.XLOOKUP(A84,[4]ריכוז!$A:$A,[4]ריכוז!$D:$D,"אין כזה"))</f>
        <v>1810</v>
      </c>
      <c r="F84" s="10">
        <f t="shared" si="5"/>
        <v>271.5</v>
      </c>
      <c r="G84" s="10">
        <f t="shared" si="6"/>
        <v>90.5</v>
      </c>
      <c r="H84" s="10">
        <f t="shared" si="4"/>
        <v>1615.425</v>
      </c>
      <c r="I84" s="57">
        <f t="shared" si="7"/>
        <v>0</v>
      </c>
      <c r="K84" s="38"/>
    </row>
    <row r="85" spans="1:15" ht="28.2" x14ac:dyDescent="0.3">
      <c r="A85" s="9" t="s">
        <v>204</v>
      </c>
      <c r="B85" s="2" t="s">
        <v>205</v>
      </c>
      <c r="C85" s="3" t="s">
        <v>2</v>
      </c>
      <c r="D85" s="57">
        <v>0</v>
      </c>
      <c r="E85" s="41">
        <v>2200</v>
      </c>
      <c r="F85" s="10">
        <f t="shared" si="5"/>
        <v>330</v>
      </c>
      <c r="G85" s="10">
        <f t="shared" si="6"/>
        <v>110</v>
      </c>
      <c r="H85" s="10">
        <f t="shared" si="4"/>
        <v>1963.5</v>
      </c>
      <c r="I85" s="57">
        <f t="shared" si="7"/>
        <v>0</v>
      </c>
      <c r="K85" s="38"/>
    </row>
    <row r="86" spans="1:15" s="27" customFormat="1" ht="15.6" x14ac:dyDescent="0.3">
      <c r="A86" s="59" t="s">
        <v>132</v>
      </c>
      <c r="B86" s="60" t="s">
        <v>133</v>
      </c>
      <c r="C86" s="61" t="s">
        <v>3</v>
      </c>
      <c r="D86" s="62" t="s">
        <v>3</v>
      </c>
      <c r="E86" s="41" t="str">
        <f>IF(D86="","",_xlfn.XLOOKUP(A86,[4]ריכוז!$A:$A,[4]ריכוז!$D:$D,"אין כזה"))</f>
        <v/>
      </c>
      <c r="F86" s="10" t="str">
        <f t="shared" si="5"/>
        <v/>
      </c>
      <c r="G86" s="10" t="str">
        <f t="shared" si="6"/>
        <v/>
      </c>
      <c r="H86" s="10" t="str">
        <f t="shared" si="4"/>
        <v/>
      </c>
      <c r="I86" s="57" t="str">
        <f t="shared" si="7"/>
        <v/>
      </c>
      <c r="K86" s="38"/>
    </row>
    <row r="87" spans="1:15" s="27" customFormat="1" ht="15.6" x14ac:dyDescent="0.3">
      <c r="A87" s="59" t="s">
        <v>134</v>
      </c>
      <c r="B87" s="60" t="s">
        <v>135</v>
      </c>
      <c r="C87" s="61" t="s">
        <v>3</v>
      </c>
      <c r="D87" s="62" t="s">
        <v>3</v>
      </c>
      <c r="E87" s="41" t="str">
        <f>IF(D87="","",_xlfn.XLOOKUP(A87,[4]ריכוז!$A:$A,[4]ריכוז!$D:$D,"אין כזה"))</f>
        <v/>
      </c>
      <c r="F87" s="10" t="str">
        <f t="shared" si="5"/>
        <v/>
      </c>
      <c r="G87" s="10" t="str">
        <f t="shared" si="6"/>
        <v/>
      </c>
      <c r="H87" s="10" t="str">
        <f t="shared" si="4"/>
        <v/>
      </c>
      <c r="I87" s="57" t="str">
        <f t="shared" si="7"/>
        <v/>
      </c>
      <c r="K87" s="38"/>
    </row>
    <row r="88" spans="1:15" ht="43.2" x14ac:dyDescent="0.3">
      <c r="A88" s="63" t="s">
        <v>136</v>
      </c>
      <c r="B88" s="55" t="s">
        <v>137</v>
      </c>
      <c r="C88" s="56" t="s">
        <v>24</v>
      </c>
      <c r="D88" s="57">
        <v>12.05</v>
      </c>
      <c r="E88" s="41">
        <f>IF(D88="","",_xlfn.XLOOKUP(A88,[4]ריכוז!$A:$A,[4]ריכוז!$D:$D,"אין כזה"))</f>
        <v>129.78142076502732</v>
      </c>
      <c r="F88" s="10">
        <f t="shared" si="5"/>
        <v>19.467213114754099</v>
      </c>
      <c r="G88" s="10">
        <f t="shared" si="6"/>
        <v>6.4890710382513666</v>
      </c>
      <c r="H88" s="10">
        <f t="shared" si="4"/>
        <v>115.82991803278689</v>
      </c>
      <c r="I88" s="57">
        <f t="shared" si="7"/>
        <v>1395.7505122950822</v>
      </c>
      <c r="K88" s="38"/>
    </row>
    <row r="89" spans="1:15" x14ac:dyDescent="0.3">
      <c r="A89" s="54" t="s">
        <v>138</v>
      </c>
      <c r="B89" s="55" t="s">
        <v>139</v>
      </c>
      <c r="C89" s="56" t="s">
        <v>2</v>
      </c>
      <c r="D89" s="57">
        <v>1</v>
      </c>
      <c r="E89" s="41">
        <f>IF(D89="","",_xlfn.XLOOKUP(A89,[4]ריכוז!$A:$A,[4]ריכוז!$D:$D,"אין כזה"))</f>
        <v>2375.3501400560222</v>
      </c>
      <c r="F89" s="10">
        <f t="shared" si="5"/>
        <v>356.30252100840329</v>
      </c>
      <c r="G89" s="10">
        <f t="shared" si="6"/>
        <v>118.76750700280111</v>
      </c>
      <c r="H89" s="10">
        <f t="shared" si="4"/>
        <v>2120</v>
      </c>
      <c r="I89" s="57">
        <f t="shared" si="7"/>
        <v>2120</v>
      </c>
      <c r="K89" s="38"/>
    </row>
    <row r="90" spans="1:15" x14ac:dyDescent="0.3">
      <c r="A90" s="54" t="s">
        <v>140</v>
      </c>
      <c r="B90" s="55" t="s">
        <v>141</v>
      </c>
      <c r="C90" s="56" t="s">
        <v>2</v>
      </c>
      <c r="D90" s="57">
        <v>6</v>
      </c>
      <c r="E90" s="41">
        <f>IF(D90="","",_xlfn.XLOOKUP(A90,[4]ריכוז!$A:$A,[4]ריכוז!$D:$D,"אין כזה"))</f>
        <v>950.14005602240888</v>
      </c>
      <c r="F90" s="10">
        <f t="shared" si="5"/>
        <v>142.52100840336132</v>
      </c>
      <c r="G90" s="10">
        <f t="shared" si="6"/>
        <v>47.50700280112045</v>
      </c>
      <c r="H90" s="10">
        <f t="shared" si="4"/>
        <v>848</v>
      </c>
      <c r="I90" s="57">
        <f t="shared" si="7"/>
        <v>5088</v>
      </c>
      <c r="K90" s="38"/>
    </row>
    <row r="91" spans="1:15" ht="28.8" x14ac:dyDescent="0.3">
      <c r="A91" s="54" t="s">
        <v>165</v>
      </c>
      <c r="B91" s="55" t="s">
        <v>166</v>
      </c>
      <c r="C91" s="56" t="s">
        <v>167</v>
      </c>
      <c r="D91" s="139">
        <f>SUM(I17:I20,I25:I27,I29:I30,I32:I34,I36:I38,I42:I45,I64:I65,I89:I90)/0.85/1.05</f>
        <v>134242.33214285714</v>
      </c>
      <c r="E91" s="41">
        <f>IF(D91="","",_xlfn.XLOOKUP(A91,[4]ריכוז!$A:$A,[4]ריכוז!$D:$D,"אין כזה"))</f>
        <v>0.06</v>
      </c>
      <c r="F91" s="10">
        <f t="shared" si="5"/>
        <v>8.9999999999999993E-3</v>
      </c>
      <c r="G91" s="10">
        <f t="shared" si="6"/>
        <v>3.0000000000000001E-3</v>
      </c>
      <c r="H91" s="10">
        <f t="shared" si="4"/>
        <v>5.355E-2</v>
      </c>
      <c r="I91" s="57">
        <f t="shared" si="7"/>
        <v>7188.6768862499994</v>
      </c>
      <c r="K91" s="38"/>
    </row>
    <row r="92" spans="1:15" ht="55.8" x14ac:dyDescent="0.3">
      <c r="A92" s="48" t="s">
        <v>162</v>
      </c>
      <c r="B92" s="2" t="s">
        <v>163</v>
      </c>
      <c r="C92" s="3" t="s">
        <v>164</v>
      </c>
      <c r="D92" s="3">
        <v>0</v>
      </c>
      <c r="E92" s="41">
        <f>IF(D92="","",_xlfn.XLOOKUP(A92,[4]ריכוז!$A:$A,[4]ריכוז!$D:$D,"אין כזה"))</f>
        <v>3500</v>
      </c>
      <c r="F92" s="10">
        <f t="shared" si="5"/>
        <v>525</v>
      </c>
      <c r="G92" s="10">
        <f t="shared" si="6"/>
        <v>175</v>
      </c>
      <c r="H92" s="10">
        <f t="shared" si="4"/>
        <v>3123.75</v>
      </c>
      <c r="I92" s="57">
        <f>H92*D92</f>
        <v>0</v>
      </c>
      <c r="K92" s="38"/>
      <c r="L92"/>
      <c r="M92"/>
      <c r="N92"/>
      <c r="O92"/>
    </row>
    <row r="93" spans="1:15" x14ac:dyDescent="0.3">
      <c r="A93" s="21" t="s">
        <v>3</v>
      </c>
      <c r="B93" s="22" t="s">
        <v>152</v>
      </c>
      <c r="C93" s="23"/>
      <c r="D93" s="24"/>
      <c r="E93" s="25"/>
      <c r="F93" s="24"/>
      <c r="G93" s="24"/>
      <c r="H93" s="24"/>
      <c r="I93" s="31">
        <f>SUMIF(A:A,"01.*",I:I)</f>
        <v>0</v>
      </c>
      <c r="K93"/>
      <c r="L93"/>
      <c r="M93"/>
      <c r="N93"/>
      <c r="O93"/>
    </row>
    <row r="94" spans="1:15" x14ac:dyDescent="0.3">
      <c r="A94" s="21" t="s">
        <v>3</v>
      </c>
      <c r="B94" s="22" t="s">
        <v>153</v>
      </c>
      <c r="C94" s="23"/>
      <c r="D94" s="24"/>
      <c r="E94" s="25"/>
      <c r="F94" s="24"/>
      <c r="G94" s="24"/>
      <c r="H94" s="24"/>
      <c r="I94" s="31">
        <f>SUMIF(A:A,"05.*",I:I)</f>
        <v>0</v>
      </c>
      <c r="K94"/>
      <c r="L94"/>
      <c r="M94"/>
      <c r="N94"/>
      <c r="O94"/>
    </row>
    <row r="95" spans="1:15" x14ac:dyDescent="0.3">
      <c r="A95" s="21" t="s">
        <v>3</v>
      </c>
      <c r="B95" s="22" t="s">
        <v>154</v>
      </c>
      <c r="C95" s="23"/>
      <c r="D95" s="24"/>
      <c r="E95" s="25"/>
      <c r="F95" s="24"/>
      <c r="G95" s="24"/>
      <c r="H95" s="24"/>
      <c r="I95" s="31">
        <f>SUMIF(A:A,"09.*",I:I)</f>
        <v>3396.9263999999998</v>
      </c>
      <c r="K95"/>
      <c r="L95"/>
      <c r="M95"/>
      <c r="N95"/>
      <c r="O95"/>
    </row>
    <row r="96" spans="1:15" x14ac:dyDescent="0.3">
      <c r="A96" s="21" t="s">
        <v>3</v>
      </c>
      <c r="B96" s="22" t="s">
        <v>155</v>
      </c>
      <c r="C96" s="23"/>
      <c r="D96" s="24"/>
      <c r="E96" s="25"/>
      <c r="F96" s="24"/>
      <c r="G96" s="24"/>
      <c r="H96" s="24"/>
      <c r="I96" s="31">
        <f>SUMIF(A:A,"11.*",I:I)</f>
        <v>7898.625</v>
      </c>
      <c r="K96"/>
      <c r="L96"/>
      <c r="M96"/>
      <c r="N96"/>
      <c r="O96"/>
    </row>
    <row r="97" spans="1:15" x14ac:dyDescent="0.3">
      <c r="A97" s="21" t="s">
        <v>3</v>
      </c>
      <c r="B97" s="22" t="s">
        <v>156</v>
      </c>
      <c r="C97" s="23"/>
      <c r="D97" s="24"/>
      <c r="E97" s="25"/>
      <c r="F97" s="24"/>
      <c r="G97" s="24"/>
      <c r="H97" s="24"/>
      <c r="I97" s="31">
        <f>SUMIF(A:A,"12.*",I:I)</f>
        <v>144690.73468750005</v>
      </c>
      <c r="K97"/>
      <c r="L97"/>
      <c r="M97"/>
      <c r="N97"/>
      <c r="O97"/>
    </row>
    <row r="98" spans="1:15" x14ac:dyDescent="0.3">
      <c r="A98" s="21" t="s">
        <v>3</v>
      </c>
      <c r="B98" s="22" t="s">
        <v>157</v>
      </c>
      <c r="C98" s="23"/>
      <c r="D98" s="24"/>
      <c r="E98" s="25"/>
      <c r="F98" s="24"/>
      <c r="G98" s="24"/>
      <c r="H98" s="24"/>
      <c r="I98" s="31">
        <f>SUMIF(A:A,"15.*",I:I)</f>
        <v>0</v>
      </c>
      <c r="K98"/>
      <c r="L98"/>
      <c r="M98"/>
      <c r="N98"/>
      <c r="O98"/>
    </row>
    <row r="99" spans="1:15" x14ac:dyDescent="0.3">
      <c r="A99" s="21"/>
      <c r="B99" s="90" t="s">
        <v>181</v>
      </c>
      <c r="C99" s="23"/>
      <c r="D99" s="24"/>
      <c r="E99" s="25"/>
      <c r="F99" s="24"/>
      <c r="G99" s="24"/>
      <c r="H99" s="24"/>
      <c r="I99" s="31">
        <f>SUMIF(A:A,"30.*",I:I)</f>
        <v>1651.6962000000001</v>
      </c>
      <c r="K99"/>
      <c r="L99"/>
      <c r="M99"/>
      <c r="N99"/>
      <c r="O99"/>
    </row>
    <row r="100" spans="1:15" x14ac:dyDescent="0.3">
      <c r="A100" s="21" t="s">
        <v>3</v>
      </c>
      <c r="B100" s="22" t="s">
        <v>158</v>
      </c>
      <c r="C100" s="23"/>
      <c r="D100" s="24"/>
      <c r="E100" s="25"/>
      <c r="F100" s="24"/>
      <c r="G100" s="24"/>
      <c r="H100" s="24"/>
      <c r="I100" s="31">
        <f>SUMIF(A:A,"60.*",I:I)</f>
        <v>4386.6374999999998</v>
      </c>
      <c r="K100"/>
      <c r="L100"/>
      <c r="M100"/>
      <c r="N100"/>
      <c r="O100"/>
    </row>
    <row r="101" spans="1:15" x14ac:dyDescent="0.3">
      <c r="A101" s="21" t="s">
        <v>3</v>
      </c>
      <c r="B101" s="22" t="s">
        <v>159</v>
      </c>
      <c r="C101" s="23"/>
      <c r="D101" s="24"/>
      <c r="E101" s="25"/>
      <c r="F101" s="24"/>
      <c r="G101" s="24"/>
      <c r="H101" s="24"/>
      <c r="I101" s="31">
        <f>SUMIF(A:A,"85.*",I:I)</f>
        <v>1395.7505122950822</v>
      </c>
      <c r="K101"/>
      <c r="L101"/>
      <c r="M101"/>
      <c r="N101"/>
      <c r="O101"/>
    </row>
    <row r="102" spans="1:15" x14ac:dyDescent="0.3">
      <c r="A102" s="28" t="s">
        <v>3</v>
      </c>
      <c r="B102" s="29" t="s">
        <v>160</v>
      </c>
      <c r="C102" s="23"/>
      <c r="D102" s="24"/>
      <c r="E102" s="25"/>
      <c r="F102" s="30"/>
      <c r="G102" s="30"/>
      <c r="H102" s="30"/>
      <c r="I102" s="30">
        <f>SUM(I93:I101)</f>
        <v>163420.37029979515</v>
      </c>
      <c r="K102"/>
      <c r="L102"/>
      <c r="M102"/>
      <c r="N102"/>
      <c r="O102"/>
    </row>
    <row r="103" spans="1:15" x14ac:dyDescent="0.3">
      <c r="A103" s="28" t="s">
        <v>3</v>
      </c>
      <c r="B103" s="29" t="s">
        <v>161</v>
      </c>
      <c r="C103" s="23"/>
      <c r="D103" s="24"/>
      <c r="E103" s="25"/>
      <c r="F103" s="30"/>
      <c r="G103" s="30"/>
      <c r="H103" s="30"/>
      <c r="I103" s="30">
        <f t="shared" ref="I103" si="8">(I102 * (1 / 100 * 18))</f>
        <v>29415.666653963126</v>
      </c>
      <c r="K103"/>
      <c r="L103"/>
      <c r="M103"/>
      <c r="N103"/>
      <c r="O103"/>
    </row>
    <row r="104" spans="1:15" x14ac:dyDescent="0.3">
      <c r="A104" s="32" t="s">
        <v>3</v>
      </c>
      <c r="B104" s="33" t="s">
        <v>160</v>
      </c>
      <c r="C104" s="34"/>
      <c r="D104" s="35"/>
      <c r="E104" s="36"/>
      <c r="F104" s="37"/>
      <c r="G104" s="37"/>
      <c r="H104" s="37"/>
      <c r="I104" s="37">
        <f t="shared" ref="I104" si="9">I102 + I103</f>
        <v>192836.03695375827</v>
      </c>
      <c r="K104"/>
      <c r="L104"/>
      <c r="M104"/>
      <c r="N104"/>
      <c r="O104"/>
    </row>
  </sheetData>
  <conditionalFormatting sqref="A7:D12 C44:D44 A45:D84 A21:D43 A20:C20 A14:D19 A13:C13">
    <cfRule type="expression" dxfId="36" priority="4">
      <formula>$K7="אין"</formula>
    </cfRule>
  </conditionalFormatting>
  <conditionalFormatting sqref="F7:K92 D85 A86:D90 A92:D92 A91:C91">
    <cfRule type="expression" dxfId="35" priority="5">
      <formula>$K7="אין"</formula>
    </cfRule>
  </conditionalFormatting>
  <conditionalFormatting sqref="D20">
    <cfRule type="expression" dxfId="14" priority="3">
      <formula>$K20="אין"</formula>
    </cfRule>
  </conditionalFormatting>
  <conditionalFormatting sqref="D91">
    <cfRule type="expression" dxfId="13" priority="2">
      <formula>$K91="אין"</formula>
    </cfRule>
  </conditionalFormatting>
  <conditionalFormatting sqref="D13">
    <cfRule type="expression" dxfId="11" priority="1">
      <formula>$K13="אין"</formula>
    </cfRule>
  </conditionalFormatting>
  <pageMargins left="0.25" right="0.25" top="0.75" bottom="0.75" header="0.3" footer="0.3"/>
  <pageSetup paperSize="9" scale="78" fitToHeight="0"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1633F-F3A0-40AB-97A4-F8E53DE6CEE0}">
  <sheetPr>
    <tabColor rgb="FFFFFF00"/>
    <pageSetUpPr fitToPage="1"/>
  </sheetPr>
  <dimension ref="A1:O104"/>
  <sheetViews>
    <sheetView rightToLeft="1" zoomScale="70" zoomScaleNormal="70" workbookViewId="0">
      <selection activeCell="D13" sqref="D13"/>
    </sheetView>
  </sheetViews>
  <sheetFormatPr defaultColWidth="8.69921875" defaultRowHeight="14.4" x14ac:dyDescent="0.3"/>
  <cols>
    <col min="1" max="1" width="11.69921875" style="38" customWidth="1"/>
    <col min="2" max="2" width="63" style="13" customWidth="1"/>
    <col min="3" max="3" width="8.19921875" style="39" customWidth="1"/>
    <col min="4" max="4" width="10.09765625" style="14" customWidth="1"/>
    <col min="5" max="5" width="11.19921875" style="15" bestFit="1" customWidth="1"/>
    <col min="6" max="6" width="10.19921875" style="14" customWidth="1"/>
    <col min="7" max="7" width="12.19921875" style="14" customWidth="1"/>
    <col min="8" max="8" width="14" style="13" bestFit="1" customWidth="1"/>
    <col min="9" max="9" width="13.3984375" style="13" bestFit="1" customWidth="1"/>
    <col min="10" max="10" width="8.69921875" style="13"/>
    <col min="11" max="11" width="13.19921875" style="13" bestFit="1" customWidth="1"/>
    <col min="12" max="12" width="11.19921875" style="13" bestFit="1" customWidth="1"/>
    <col min="13" max="16384" width="8.69921875" style="13"/>
  </cols>
  <sheetData>
    <row r="1" spans="1:11" ht="17.399999999999999" x14ac:dyDescent="0.3">
      <c r="A1" s="12"/>
      <c r="C1" s="89" t="s">
        <v>223</v>
      </c>
      <c r="D1" s="40">
        <v>1540</v>
      </c>
    </row>
    <row r="3" spans="1:11" ht="21" x14ac:dyDescent="0.4">
      <c r="A3" s="16"/>
      <c r="B3" s="17"/>
      <c r="C3" s="18"/>
      <c r="D3" s="19"/>
      <c r="E3" s="20"/>
      <c r="F3" s="19"/>
      <c r="G3" s="19"/>
      <c r="H3" s="19"/>
      <c r="I3" s="19"/>
    </row>
    <row r="4" spans="1:11" x14ac:dyDescent="0.3">
      <c r="A4" s="21"/>
      <c r="B4" s="22"/>
      <c r="C4" s="23"/>
      <c r="D4" s="24"/>
      <c r="E4" s="25"/>
      <c r="F4" s="24"/>
      <c r="G4" s="24"/>
      <c r="H4" s="24"/>
      <c r="I4" s="24"/>
    </row>
    <row r="5" spans="1:11" ht="15" thickBot="1" x14ac:dyDescent="0.35">
      <c r="A5" s="21"/>
      <c r="B5" s="22"/>
      <c r="C5" s="23"/>
      <c r="D5" s="24"/>
      <c r="E5" s="25"/>
      <c r="F5" s="24"/>
      <c r="G5" s="26"/>
      <c r="H5" s="26"/>
      <c r="I5" s="24"/>
    </row>
    <row r="6" spans="1:11" ht="29.4" thickTop="1" x14ac:dyDescent="0.3">
      <c r="A6" s="50" t="s">
        <v>0</v>
      </c>
      <c r="B6" s="51" t="s">
        <v>1</v>
      </c>
      <c r="C6" s="52" t="s">
        <v>2</v>
      </c>
      <c r="D6" s="53" t="s">
        <v>147</v>
      </c>
      <c r="E6" s="66" t="s">
        <v>142</v>
      </c>
      <c r="F6" s="66" t="s">
        <v>143</v>
      </c>
      <c r="G6" s="66" t="s">
        <v>144</v>
      </c>
      <c r="H6" s="66" t="s">
        <v>145</v>
      </c>
      <c r="I6" s="53" t="s">
        <v>151</v>
      </c>
    </row>
    <row r="7" spans="1:11" x14ac:dyDescent="0.3">
      <c r="A7" s="63" t="s">
        <v>179</v>
      </c>
      <c r="B7" s="55" t="s">
        <v>180</v>
      </c>
      <c r="C7" s="56" t="s">
        <v>125</v>
      </c>
      <c r="D7" s="14">
        <v>2</v>
      </c>
      <c r="E7" s="41">
        <f>IF(D7="","",_xlfn.XLOOKUP(A7,[4]ריכוז!$A:$A,[4]ריכוז!$D:$D,"אין כזה"))</f>
        <v>150</v>
      </c>
      <c r="F7" s="10">
        <f>IF(E7="","",E7*0.15)</f>
        <v>22.5</v>
      </c>
      <c r="G7" s="10">
        <f>IF(E7="","",E7*0.05)</f>
        <v>7.5</v>
      </c>
      <c r="H7" s="10">
        <f>IF(E7="","",E7*1.05*0.85)</f>
        <v>133.875</v>
      </c>
      <c r="I7" s="57">
        <f>IF(D7="","",H7*D7)</f>
        <v>267.75</v>
      </c>
      <c r="K7" s="38"/>
    </row>
    <row r="8" spans="1:11" s="27" customFormat="1" ht="15.6" x14ac:dyDescent="0.3">
      <c r="A8" s="59" t="s">
        <v>5</v>
      </c>
      <c r="B8" s="60" t="s">
        <v>6</v>
      </c>
      <c r="C8" s="61" t="s">
        <v>3</v>
      </c>
      <c r="D8" s="62" t="s">
        <v>3</v>
      </c>
      <c r="E8" s="41" t="str">
        <f>IF(D8="","",_xlfn.XLOOKUP(A8,[4]ריכוז!$A:$A,[4]ריכוז!$D:$D,"אין כזה"))</f>
        <v/>
      </c>
      <c r="F8" s="62" t="s">
        <v>3</v>
      </c>
      <c r="G8" s="62"/>
      <c r="H8" s="10" t="str">
        <f t="shared" ref="H8:H77" si="0">IF(E8="","",E8*1.05*0.85)</f>
        <v/>
      </c>
      <c r="I8" s="62"/>
      <c r="K8" s="38"/>
    </row>
    <row r="9" spans="1:11" s="27" customFormat="1" ht="15.6" x14ac:dyDescent="0.3">
      <c r="A9" s="59" t="s">
        <v>7</v>
      </c>
      <c r="B9" s="60" t="s">
        <v>8</v>
      </c>
      <c r="C9" s="61" t="s">
        <v>3</v>
      </c>
      <c r="D9" s="62" t="s">
        <v>3</v>
      </c>
      <c r="E9" s="41" t="str">
        <f>IF(D9="","",_xlfn.XLOOKUP(A9,[4]ריכוז!$A:$A,[4]ריכוז!$D:$D,"אין כזה"))</f>
        <v/>
      </c>
      <c r="F9" s="62" t="s">
        <v>3</v>
      </c>
      <c r="G9" s="62"/>
      <c r="H9" s="10" t="str">
        <f t="shared" si="0"/>
        <v/>
      </c>
      <c r="I9" s="62"/>
      <c r="K9" s="38"/>
    </row>
    <row r="10" spans="1:11" ht="57.6" x14ac:dyDescent="0.3">
      <c r="A10" s="63" t="s">
        <v>9</v>
      </c>
      <c r="B10" s="55" t="s">
        <v>10</v>
      </c>
      <c r="C10" s="56" t="s">
        <v>4</v>
      </c>
      <c r="D10" s="57">
        <f>3.15+2.8*2+1.55*2*3+2.7*2*3</f>
        <v>34.25</v>
      </c>
      <c r="E10" s="41">
        <f>IF(D10="","",_xlfn.XLOOKUP(A10,[4]ריכוז!$A:$A,[4]ריכוז!$D:$D,"אין כזה"))</f>
        <v>64</v>
      </c>
      <c r="F10" s="10">
        <f>IF(E10="","",E10*0.15)</f>
        <v>9.6</v>
      </c>
      <c r="G10" s="10">
        <f>IF(E10="","",E10*0.05)</f>
        <v>3.2</v>
      </c>
      <c r="H10" s="10">
        <f t="shared" si="0"/>
        <v>57.12</v>
      </c>
      <c r="I10" s="57">
        <f>IF(D10="","",H10*D10)</f>
        <v>1956.36</v>
      </c>
      <c r="K10" s="38"/>
    </row>
    <row r="11" spans="1:11" s="27" customFormat="1" ht="15.6" x14ac:dyDescent="0.3">
      <c r="A11" s="59" t="s">
        <v>11</v>
      </c>
      <c r="B11" s="60" t="s">
        <v>12</v>
      </c>
      <c r="C11" s="61" t="s">
        <v>3</v>
      </c>
      <c r="D11" s="62"/>
      <c r="E11" s="41" t="str">
        <f>IF(D11="","",_xlfn.XLOOKUP(A11,[4]ריכוז!$A:$A,[4]ריכוז!$D:$D,"אין כזה"))</f>
        <v/>
      </c>
      <c r="F11" s="10" t="str">
        <f t="shared" ref="F11:F81" si="1">IF(E11="","",E11*0.15)</f>
        <v/>
      </c>
      <c r="G11" s="10" t="str">
        <f t="shared" ref="G11:G81" si="2">IF(E11="","",E11*0.05)</f>
        <v/>
      </c>
      <c r="H11" s="10" t="str">
        <f t="shared" si="0"/>
        <v/>
      </c>
      <c r="I11" s="57" t="str">
        <f t="shared" ref="I11:I81" si="3">IF(D11="","",H11*D11)</f>
        <v/>
      </c>
      <c r="K11" s="38"/>
    </row>
    <row r="12" spans="1:11" s="27" customFormat="1" ht="15.6" x14ac:dyDescent="0.3">
      <c r="A12" s="59" t="s">
        <v>13</v>
      </c>
      <c r="B12" s="60" t="s">
        <v>14</v>
      </c>
      <c r="C12" s="61" t="s">
        <v>3</v>
      </c>
      <c r="D12" s="62" t="s">
        <v>3</v>
      </c>
      <c r="E12" s="41" t="str">
        <f>IF(D12="","",_xlfn.XLOOKUP(A12,[4]ריכוז!$A:$A,[4]ריכוז!$D:$D,"אין כזה"))</f>
        <v/>
      </c>
      <c r="F12" s="10" t="str">
        <f t="shared" si="1"/>
        <v/>
      </c>
      <c r="G12" s="10" t="str">
        <f t="shared" si="2"/>
        <v/>
      </c>
      <c r="H12" s="10" t="str">
        <f t="shared" si="0"/>
        <v/>
      </c>
      <c r="I12" s="57" t="str">
        <f t="shared" si="3"/>
        <v/>
      </c>
      <c r="K12" s="38"/>
    </row>
    <row r="13" spans="1:11" ht="43.2" x14ac:dyDescent="0.3">
      <c r="A13" s="63" t="s">
        <v>15</v>
      </c>
      <c r="B13" s="55" t="s">
        <v>16</v>
      </c>
      <c r="C13" s="56" t="s">
        <v>17</v>
      </c>
      <c r="D13" s="142">
        <v>4</v>
      </c>
      <c r="E13" s="41">
        <f>IF(D13="","",_xlfn.XLOOKUP(A13,[4]ריכוז!$A:$A,[4]ריכוז!$D:$D,"אין כזה"))</f>
        <v>1770</v>
      </c>
      <c r="F13" s="10">
        <f t="shared" si="1"/>
        <v>265.5</v>
      </c>
      <c r="G13" s="10">
        <f t="shared" si="2"/>
        <v>88.5</v>
      </c>
      <c r="H13" s="10">
        <f t="shared" si="0"/>
        <v>1579.7249999999999</v>
      </c>
      <c r="I13" s="57">
        <f t="shared" si="3"/>
        <v>6318.9</v>
      </c>
      <c r="K13" s="38"/>
    </row>
    <row r="14" spans="1:11" x14ac:dyDescent="0.3">
      <c r="A14" s="54"/>
      <c r="B14" s="55"/>
      <c r="C14" s="56"/>
      <c r="D14" s="57"/>
      <c r="E14" s="41" t="str">
        <f>IF(D14="","",_xlfn.XLOOKUP(A14,[4]ריכוז!$A:$A,[4]ריכוז!$D:$D,"אין כזה"))</f>
        <v/>
      </c>
      <c r="F14" s="10" t="str">
        <f t="shared" si="1"/>
        <v/>
      </c>
      <c r="G14" s="10" t="str">
        <f t="shared" si="2"/>
        <v/>
      </c>
      <c r="H14" s="10" t="str">
        <f t="shared" si="0"/>
        <v/>
      </c>
      <c r="I14" s="57" t="str">
        <f t="shared" si="3"/>
        <v/>
      </c>
      <c r="K14" s="38"/>
    </row>
    <row r="15" spans="1:11" s="27" customFormat="1" ht="15.6" x14ac:dyDescent="0.3">
      <c r="A15" s="59" t="s">
        <v>18</v>
      </c>
      <c r="B15" s="60" t="s">
        <v>19</v>
      </c>
      <c r="C15" s="61" t="s">
        <v>3</v>
      </c>
      <c r="D15" s="62" t="s">
        <v>3</v>
      </c>
      <c r="E15" s="41" t="str">
        <f>IF(D15="","",_xlfn.XLOOKUP(A15,[4]ריכוז!$A:$A,[4]ריכוז!$D:$D,"אין כזה"))</f>
        <v/>
      </c>
      <c r="F15" s="10" t="str">
        <f t="shared" si="1"/>
        <v/>
      </c>
      <c r="G15" s="10" t="str">
        <f t="shared" si="2"/>
        <v/>
      </c>
      <c r="H15" s="10" t="str">
        <f t="shared" si="0"/>
        <v/>
      </c>
      <c r="I15" s="57" t="str">
        <f t="shared" si="3"/>
        <v/>
      </c>
      <c r="K15" s="38"/>
    </row>
    <row r="16" spans="1:11" s="27" customFormat="1" ht="15.6" x14ac:dyDescent="0.3">
      <c r="A16" s="59" t="s">
        <v>20</v>
      </c>
      <c r="B16" s="60" t="s">
        <v>21</v>
      </c>
      <c r="C16" s="61" t="s">
        <v>3</v>
      </c>
      <c r="D16" s="62" t="s">
        <v>3</v>
      </c>
      <c r="E16" s="41" t="str">
        <f>IF(D16="","",_xlfn.XLOOKUP(A16,[4]ריכוז!$A:$A,[4]ריכוז!$D:$D,"אין כזה"))</f>
        <v/>
      </c>
      <c r="F16" s="10" t="str">
        <f t="shared" si="1"/>
        <v/>
      </c>
      <c r="G16" s="10" t="str">
        <f t="shared" si="2"/>
        <v/>
      </c>
      <c r="H16" s="10" t="str">
        <f t="shared" si="0"/>
        <v/>
      </c>
      <c r="I16" s="57" t="str">
        <f t="shared" si="3"/>
        <v/>
      </c>
      <c r="K16" s="38"/>
    </row>
    <row r="17" spans="1:11" ht="28.8" x14ac:dyDescent="0.3">
      <c r="A17" s="63" t="s">
        <v>22</v>
      </c>
      <c r="B17" s="55" t="s">
        <v>23</v>
      </c>
      <c r="C17" s="56" t="s">
        <v>24</v>
      </c>
      <c r="D17" s="57">
        <v>0</v>
      </c>
      <c r="E17" s="41">
        <f>IF(D17="","",_xlfn.XLOOKUP(A17,[4]ריכוז!$A:$A,[4]ריכוז!$D:$D,"אין כזה"))</f>
        <v>1760</v>
      </c>
      <c r="F17" s="10">
        <f t="shared" si="1"/>
        <v>264</v>
      </c>
      <c r="G17" s="10">
        <f t="shared" si="2"/>
        <v>88</v>
      </c>
      <c r="H17" s="10">
        <f t="shared" si="0"/>
        <v>1570.8</v>
      </c>
      <c r="I17" s="57">
        <f t="shared" si="3"/>
        <v>0</v>
      </c>
      <c r="K17" s="38"/>
    </row>
    <row r="18" spans="1:11" ht="28.8" x14ac:dyDescent="0.3">
      <c r="A18" s="63" t="s">
        <v>25</v>
      </c>
      <c r="B18" s="55" t="s">
        <v>26</v>
      </c>
      <c r="C18" s="56" t="s">
        <v>24</v>
      </c>
      <c r="D18" s="57">
        <v>11.16</v>
      </c>
      <c r="E18" s="41">
        <f>IF(D18="","",_xlfn.XLOOKUP(A18,[4]ריכוז!$A:$A,[4]ריכוז!$D:$D,"אין כזה"))</f>
        <v>1980</v>
      </c>
      <c r="F18" s="10">
        <f t="shared" si="1"/>
        <v>297</v>
      </c>
      <c r="G18" s="10">
        <f t="shared" si="2"/>
        <v>99</v>
      </c>
      <c r="H18" s="10">
        <f t="shared" si="0"/>
        <v>1767.1499999999999</v>
      </c>
      <c r="I18" s="57">
        <f t="shared" si="3"/>
        <v>19721.394</v>
      </c>
      <c r="K18" s="38"/>
    </row>
    <row r="19" spans="1:11" ht="28.8" x14ac:dyDescent="0.3">
      <c r="A19" s="63" t="s">
        <v>27</v>
      </c>
      <c r="B19" s="55" t="s">
        <v>28</v>
      </c>
      <c r="C19" s="56" t="s">
        <v>24</v>
      </c>
      <c r="D19" s="57">
        <v>0</v>
      </c>
      <c r="E19" s="41">
        <f>IF(D19="","",_xlfn.XLOOKUP(A19,[4]ריכוז!$A:$A,[4]ריכוז!$D:$D,"אין כזה"))</f>
        <v>2210</v>
      </c>
      <c r="F19" s="10">
        <f t="shared" si="1"/>
        <v>331.5</v>
      </c>
      <c r="G19" s="10">
        <f t="shared" si="2"/>
        <v>110.5</v>
      </c>
      <c r="H19" s="10">
        <f t="shared" si="0"/>
        <v>1972.425</v>
      </c>
      <c r="I19" s="57">
        <f t="shared" si="3"/>
        <v>0</v>
      </c>
      <c r="K19" s="38"/>
    </row>
    <row r="20" spans="1:11" ht="28.8" x14ac:dyDescent="0.3">
      <c r="A20" s="63" t="s">
        <v>29</v>
      </c>
      <c r="B20" s="55" t="s">
        <v>30</v>
      </c>
      <c r="C20" s="56" t="s">
        <v>17</v>
      </c>
      <c r="D20" s="138">
        <f>D18*E18</f>
        <v>22096.799999999999</v>
      </c>
      <c r="E20" s="41">
        <f>IF(D20="","",_xlfn.XLOOKUP(A20,[4]ריכוז!$A:$A,[4]ריכוז!$D:$D,"אין כזה"))</f>
        <v>0.15</v>
      </c>
      <c r="F20" s="10">
        <f t="shared" si="1"/>
        <v>2.2499999999999999E-2</v>
      </c>
      <c r="G20" s="10">
        <f t="shared" si="2"/>
        <v>7.4999999999999997E-3</v>
      </c>
      <c r="H20" s="10">
        <f t="shared" si="0"/>
        <v>0.13387499999999999</v>
      </c>
      <c r="I20" s="57">
        <f t="shared" si="3"/>
        <v>2958.2090999999996</v>
      </c>
      <c r="K20" s="38"/>
    </row>
    <row r="21" spans="1:11" x14ac:dyDescent="0.3">
      <c r="A21" s="63" t="s">
        <v>31</v>
      </c>
      <c r="B21" s="55" t="s">
        <v>32</v>
      </c>
      <c r="C21" s="56" t="s">
        <v>2</v>
      </c>
      <c r="D21" s="57">
        <v>0</v>
      </c>
      <c r="E21" s="41">
        <f>IF(D21="","",_xlfn.XLOOKUP(A21,[4]ריכוז!$A:$A,[4]ריכוז!$D:$D,"אין כזה"))</f>
        <v>140</v>
      </c>
      <c r="F21" s="10">
        <f t="shared" si="1"/>
        <v>21</v>
      </c>
      <c r="G21" s="10">
        <f t="shared" si="2"/>
        <v>7</v>
      </c>
      <c r="H21" s="10">
        <f t="shared" si="0"/>
        <v>124.95</v>
      </c>
      <c r="I21" s="57">
        <f t="shared" si="3"/>
        <v>0</v>
      </c>
      <c r="K21" s="38"/>
    </row>
    <row r="22" spans="1:11" x14ac:dyDescent="0.3">
      <c r="A22" s="63" t="s">
        <v>33</v>
      </c>
      <c r="B22" s="55" t="s">
        <v>34</v>
      </c>
      <c r="C22" s="56" t="s">
        <v>2</v>
      </c>
      <c r="D22" s="57">
        <v>0</v>
      </c>
      <c r="E22" s="41">
        <f>IF(D22="","",_xlfn.XLOOKUP(A22,[4]ריכוז!$A:$A,[4]ריכוז!$D:$D,"אין כזה"))</f>
        <v>240</v>
      </c>
      <c r="F22" s="10">
        <f t="shared" si="1"/>
        <v>36</v>
      </c>
      <c r="G22" s="10">
        <f t="shared" si="2"/>
        <v>12</v>
      </c>
      <c r="H22" s="10">
        <f t="shared" si="0"/>
        <v>214.2</v>
      </c>
      <c r="I22" s="57">
        <f t="shared" si="3"/>
        <v>0</v>
      </c>
      <c r="K22" s="38"/>
    </row>
    <row r="23" spans="1:11" x14ac:dyDescent="0.3">
      <c r="A23" s="63" t="s">
        <v>35</v>
      </c>
      <c r="B23" s="55" t="s">
        <v>36</v>
      </c>
      <c r="C23" s="56" t="s">
        <v>2</v>
      </c>
      <c r="D23" s="57">
        <v>3</v>
      </c>
      <c r="E23" s="41">
        <f>IF(D23="","",_xlfn.XLOOKUP(A23,[4]ריכוז!$A:$A,[4]ריכוז!$D:$D,"אין כזה"))</f>
        <v>310</v>
      </c>
      <c r="F23" s="10">
        <f t="shared" si="1"/>
        <v>46.5</v>
      </c>
      <c r="G23" s="10">
        <f t="shared" si="2"/>
        <v>15.5</v>
      </c>
      <c r="H23" s="10">
        <f t="shared" si="0"/>
        <v>276.67500000000001</v>
      </c>
      <c r="I23" s="57">
        <f t="shared" si="3"/>
        <v>830.02500000000009</v>
      </c>
      <c r="K23" s="38"/>
    </row>
    <row r="24" spans="1:11" s="27" customFormat="1" ht="15.6" x14ac:dyDescent="0.3">
      <c r="A24" s="59" t="s">
        <v>37</v>
      </c>
      <c r="B24" s="60" t="s">
        <v>38</v>
      </c>
      <c r="C24" s="61" t="s">
        <v>3</v>
      </c>
      <c r="D24" s="62" t="s">
        <v>3</v>
      </c>
      <c r="E24" s="41" t="str">
        <f>IF(D24="","",_xlfn.XLOOKUP(A24,[4]ריכוז!$A:$A,[4]ריכוז!$D:$D,"אין כזה"))</f>
        <v/>
      </c>
      <c r="F24" s="10" t="str">
        <f t="shared" si="1"/>
        <v/>
      </c>
      <c r="G24" s="10" t="str">
        <f t="shared" si="2"/>
        <v/>
      </c>
      <c r="H24" s="10" t="str">
        <f t="shared" si="0"/>
        <v/>
      </c>
      <c r="I24" s="57" t="str">
        <f t="shared" si="3"/>
        <v/>
      </c>
      <c r="K24" s="38"/>
    </row>
    <row r="25" spans="1:11" ht="28.8" x14ac:dyDescent="0.3">
      <c r="A25" s="63" t="s">
        <v>39</v>
      </c>
      <c r="B25" s="55" t="s">
        <v>40</v>
      </c>
      <c r="C25" s="56" t="s">
        <v>24</v>
      </c>
      <c r="D25" s="57">
        <v>0</v>
      </c>
      <c r="E25" s="41">
        <f>IF(D25="","",_xlfn.XLOOKUP(A25,[4]ריכוז!$A:$A,[4]ריכוז!$D:$D,"אין כזה"))</f>
        <v>2220</v>
      </c>
      <c r="F25" s="10">
        <f t="shared" si="1"/>
        <v>333</v>
      </c>
      <c r="G25" s="10">
        <f t="shared" si="2"/>
        <v>111</v>
      </c>
      <c r="H25" s="10">
        <f t="shared" si="0"/>
        <v>1981.35</v>
      </c>
      <c r="I25" s="57">
        <f t="shared" si="3"/>
        <v>0</v>
      </c>
      <c r="K25" s="38"/>
    </row>
    <row r="26" spans="1:11" ht="28.8" x14ac:dyDescent="0.3">
      <c r="A26" s="63" t="s">
        <v>188</v>
      </c>
      <c r="B26" s="55" t="s">
        <v>40</v>
      </c>
      <c r="C26" s="56" t="s">
        <v>24</v>
      </c>
      <c r="D26" s="57">
        <v>0</v>
      </c>
      <c r="E26" s="41">
        <f>IF(D26="","",_xlfn.XLOOKUP(A26,[4]ריכוז!$A:$A,[4]ריכוז!$D:$D,"אין כזה"))</f>
        <v>2790</v>
      </c>
      <c r="F26" s="10">
        <f t="shared" si="1"/>
        <v>418.5</v>
      </c>
      <c r="G26" s="10">
        <f t="shared" si="2"/>
        <v>139.5</v>
      </c>
      <c r="H26" s="10">
        <f t="shared" si="0"/>
        <v>2490.0749999999998</v>
      </c>
      <c r="I26" s="57">
        <f t="shared" si="3"/>
        <v>0</v>
      </c>
      <c r="K26" s="38"/>
    </row>
    <row r="27" spans="1:11" ht="28.8" x14ac:dyDescent="0.3">
      <c r="A27" s="63" t="s">
        <v>41</v>
      </c>
      <c r="B27" s="55" t="s">
        <v>42</v>
      </c>
      <c r="C27" s="56" t="s">
        <v>24</v>
      </c>
      <c r="D27" s="57">
        <v>0</v>
      </c>
      <c r="E27" s="41">
        <f>IF(D27="","",_xlfn.XLOOKUP(A27,[4]ריכוז!$A:$A,[4]ריכוז!$D:$D,"אין כזה"))</f>
        <v>2700</v>
      </c>
      <c r="F27" s="10">
        <f t="shared" si="1"/>
        <v>405</v>
      </c>
      <c r="G27" s="10">
        <f t="shared" si="2"/>
        <v>135</v>
      </c>
      <c r="H27" s="10">
        <f t="shared" si="0"/>
        <v>2409.75</v>
      </c>
      <c r="I27" s="57">
        <f t="shared" si="3"/>
        <v>0</v>
      </c>
      <c r="K27" s="38"/>
    </row>
    <row r="28" spans="1:11" s="27" customFormat="1" ht="15.6" x14ac:dyDescent="0.3">
      <c r="A28" s="59" t="s">
        <v>43</v>
      </c>
      <c r="B28" s="60" t="s">
        <v>44</v>
      </c>
      <c r="C28" s="61" t="s">
        <v>3</v>
      </c>
      <c r="D28" s="62" t="s">
        <v>3</v>
      </c>
      <c r="E28" s="41" t="str">
        <f>IF(D28="","",_xlfn.XLOOKUP(A28,[4]ריכוז!$A:$A,[4]ריכוז!$D:$D,"אין כזה"))</f>
        <v/>
      </c>
      <c r="F28" s="10" t="str">
        <f t="shared" si="1"/>
        <v/>
      </c>
      <c r="G28" s="10" t="str">
        <f t="shared" si="2"/>
        <v/>
      </c>
      <c r="H28" s="10" t="str">
        <f t="shared" si="0"/>
        <v/>
      </c>
      <c r="I28" s="57" t="str">
        <f t="shared" si="3"/>
        <v/>
      </c>
      <c r="K28" s="38"/>
    </row>
    <row r="29" spans="1:11" ht="28.8" x14ac:dyDescent="0.3">
      <c r="A29" s="63" t="s">
        <v>45</v>
      </c>
      <c r="B29" s="55" t="s">
        <v>46</v>
      </c>
      <c r="C29" s="56" t="s">
        <v>2</v>
      </c>
      <c r="D29" s="57">
        <v>0</v>
      </c>
      <c r="E29" s="41">
        <f>IF(D29="","",_xlfn.XLOOKUP(A29,[4]ריכוז!$A:$A,[4]ריכוז!$D:$D,"אין כזה"))</f>
        <v>1310</v>
      </c>
      <c r="F29" s="10">
        <f t="shared" si="1"/>
        <v>196.5</v>
      </c>
      <c r="G29" s="10">
        <f t="shared" si="2"/>
        <v>65.5</v>
      </c>
      <c r="H29" s="10">
        <f t="shared" si="0"/>
        <v>1169.175</v>
      </c>
      <c r="I29" s="57">
        <f t="shared" si="3"/>
        <v>0</v>
      </c>
      <c r="K29" s="38"/>
    </row>
    <row r="30" spans="1:11" ht="28.8" x14ac:dyDescent="0.3">
      <c r="A30" s="63" t="s">
        <v>47</v>
      </c>
      <c r="B30" s="55" t="s">
        <v>48</v>
      </c>
      <c r="C30" s="56" t="s">
        <v>2</v>
      </c>
      <c r="D30" s="57">
        <v>0</v>
      </c>
      <c r="E30" s="41">
        <f>IF(D30="","",_xlfn.XLOOKUP(A30,[4]ריכוז!$A:$A,[4]ריכוז!$D:$D,"אין כזה"))</f>
        <v>2090</v>
      </c>
      <c r="F30" s="10">
        <f t="shared" si="1"/>
        <v>313.5</v>
      </c>
      <c r="G30" s="10">
        <f t="shared" si="2"/>
        <v>104.5</v>
      </c>
      <c r="H30" s="10">
        <f t="shared" si="0"/>
        <v>1865.325</v>
      </c>
      <c r="I30" s="57">
        <f t="shared" si="3"/>
        <v>0</v>
      </c>
      <c r="K30" s="38"/>
    </row>
    <row r="31" spans="1:11" s="27" customFormat="1" ht="15.6" x14ac:dyDescent="0.3">
      <c r="A31" s="59" t="s">
        <v>50</v>
      </c>
      <c r="B31" s="60" t="s">
        <v>51</v>
      </c>
      <c r="C31" s="61" t="s">
        <v>3</v>
      </c>
      <c r="D31" s="62" t="s">
        <v>3</v>
      </c>
      <c r="E31" s="41" t="str">
        <f>IF(D31="","",_xlfn.XLOOKUP(A31,[4]ריכוז!$A:$A,[4]ריכוז!$D:$D,"אין כזה"))</f>
        <v/>
      </c>
      <c r="F31" s="10" t="str">
        <f t="shared" si="1"/>
        <v/>
      </c>
      <c r="G31" s="10" t="str">
        <f t="shared" si="2"/>
        <v/>
      </c>
      <c r="H31" s="10" t="str">
        <f t="shared" si="0"/>
        <v/>
      </c>
      <c r="I31" s="57" t="str">
        <f t="shared" si="3"/>
        <v/>
      </c>
      <c r="K31" s="38"/>
    </row>
    <row r="32" spans="1:11" ht="28.8" x14ac:dyDescent="0.3">
      <c r="A32" s="63" t="s">
        <v>52</v>
      </c>
      <c r="B32" s="55" t="s">
        <v>53</v>
      </c>
      <c r="C32" s="56" t="s">
        <v>24</v>
      </c>
      <c r="D32" s="57">
        <v>0</v>
      </c>
      <c r="E32" s="41">
        <f>IF(D32="","",_xlfn.XLOOKUP(A32,[4]ריכוז!$A:$A,[4]ריכוז!$D:$D,"אין כזה"))</f>
        <v>1760</v>
      </c>
      <c r="F32" s="10">
        <f t="shared" si="1"/>
        <v>264</v>
      </c>
      <c r="G32" s="10">
        <f t="shared" si="2"/>
        <v>88</v>
      </c>
      <c r="H32" s="10">
        <f t="shared" si="0"/>
        <v>1570.8</v>
      </c>
      <c r="I32" s="57">
        <f t="shared" si="3"/>
        <v>0</v>
      </c>
      <c r="K32" s="38"/>
    </row>
    <row r="33" spans="1:11" ht="28.8" x14ac:dyDescent="0.3">
      <c r="A33" s="63" t="s">
        <v>54</v>
      </c>
      <c r="B33" s="55" t="s">
        <v>55</v>
      </c>
      <c r="C33" s="56" t="s">
        <v>24</v>
      </c>
      <c r="D33" s="57">
        <v>7.88</v>
      </c>
      <c r="E33" s="41">
        <f>IF(D33="","",_xlfn.XLOOKUP(A33,[4]ריכוז!$A:$A,[4]ריכוז!$D:$D,"אין כזה"))</f>
        <v>1850</v>
      </c>
      <c r="F33" s="10">
        <f t="shared" si="1"/>
        <v>277.5</v>
      </c>
      <c r="G33" s="10">
        <f t="shared" si="2"/>
        <v>92.5</v>
      </c>
      <c r="H33" s="10">
        <f t="shared" si="0"/>
        <v>1651.125</v>
      </c>
      <c r="I33" s="57">
        <f t="shared" si="3"/>
        <v>13010.865</v>
      </c>
      <c r="K33" s="38"/>
    </row>
    <row r="34" spans="1:11" ht="28.8" x14ac:dyDescent="0.3">
      <c r="A34" s="63" t="s">
        <v>56</v>
      </c>
      <c r="B34" s="55" t="s">
        <v>57</v>
      </c>
      <c r="C34" s="56" t="s">
        <v>24</v>
      </c>
      <c r="D34" s="57">
        <v>0</v>
      </c>
      <c r="E34" s="41">
        <f>IF(D34="","",_xlfn.XLOOKUP(A34,[4]ריכוז!$A:$A,[4]ריכוז!$D:$D,"אין כזה"))</f>
        <v>1680</v>
      </c>
      <c r="F34" s="10">
        <f t="shared" si="1"/>
        <v>252</v>
      </c>
      <c r="G34" s="10">
        <f t="shared" si="2"/>
        <v>84</v>
      </c>
      <c r="H34" s="10">
        <f t="shared" si="0"/>
        <v>1499.3999999999999</v>
      </c>
      <c r="I34" s="57">
        <f t="shared" si="3"/>
        <v>0</v>
      </c>
      <c r="K34" s="38"/>
    </row>
    <row r="35" spans="1:11" s="27" customFormat="1" ht="15.6" x14ac:dyDescent="0.3">
      <c r="A35" s="59" t="s">
        <v>58</v>
      </c>
      <c r="B35" s="60" t="s">
        <v>59</v>
      </c>
      <c r="C35" s="61" t="s">
        <v>3</v>
      </c>
      <c r="D35" s="62" t="s">
        <v>3</v>
      </c>
      <c r="E35" s="41" t="str">
        <f>IF(D35="","",_xlfn.XLOOKUP(A35,[4]ריכוז!$A:$A,[4]ריכוז!$D:$D,"אין כזה"))</f>
        <v/>
      </c>
      <c r="F35" s="10" t="str">
        <f t="shared" si="1"/>
        <v/>
      </c>
      <c r="G35" s="10" t="str">
        <f t="shared" si="2"/>
        <v/>
      </c>
      <c r="H35" s="10" t="str">
        <f t="shared" si="0"/>
        <v/>
      </c>
      <c r="I35" s="57" t="str">
        <f t="shared" si="3"/>
        <v/>
      </c>
      <c r="K35" s="38"/>
    </row>
    <row r="36" spans="1:11" s="27" customFormat="1" ht="28.8" x14ac:dyDescent="0.3">
      <c r="A36" s="63" t="s">
        <v>171</v>
      </c>
      <c r="B36" s="55" t="s">
        <v>172</v>
      </c>
      <c r="C36" s="56" t="s">
        <v>24</v>
      </c>
      <c r="D36" s="57">
        <v>0</v>
      </c>
      <c r="E36" s="41">
        <f>IF(D36="","",_xlfn.XLOOKUP(A36,[4]ריכוז!$A:$A,[4]ריכוז!$D:$D,"אין כזה"))</f>
        <v>2850</v>
      </c>
      <c r="F36" s="10">
        <f t="shared" si="1"/>
        <v>427.5</v>
      </c>
      <c r="G36" s="10">
        <f t="shared" si="2"/>
        <v>142.5</v>
      </c>
      <c r="H36" s="10">
        <f t="shared" si="0"/>
        <v>2543.625</v>
      </c>
      <c r="I36" s="57">
        <f t="shared" si="3"/>
        <v>0</v>
      </c>
      <c r="K36" s="38"/>
    </row>
    <row r="37" spans="1:11" ht="28.8" x14ac:dyDescent="0.3">
      <c r="A37" s="63" t="s">
        <v>60</v>
      </c>
      <c r="B37" s="55" t="s">
        <v>61</v>
      </c>
      <c r="C37" s="56" t="s">
        <v>24</v>
      </c>
      <c r="D37" s="57">
        <v>0</v>
      </c>
      <c r="E37" s="41">
        <f>IF(D37="","",_xlfn.XLOOKUP(A37,[4]ריכוז!$A:$A,[4]ריכוז!$D:$D,"אין כזה"))</f>
        <v>2300</v>
      </c>
      <c r="F37" s="10">
        <f t="shared" si="1"/>
        <v>345</v>
      </c>
      <c r="G37" s="10">
        <f t="shared" si="2"/>
        <v>115</v>
      </c>
      <c r="H37" s="10">
        <f t="shared" si="0"/>
        <v>2052.75</v>
      </c>
      <c r="I37" s="57">
        <f t="shared" si="3"/>
        <v>0</v>
      </c>
      <c r="K37" s="38"/>
    </row>
    <row r="38" spans="1:11" ht="28.8" x14ac:dyDescent="0.3">
      <c r="A38" s="63" t="s">
        <v>62</v>
      </c>
      <c r="B38" s="55" t="s">
        <v>63</v>
      </c>
      <c r="C38" s="56" t="s">
        <v>24</v>
      </c>
      <c r="D38" s="57">
        <v>0</v>
      </c>
      <c r="E38" s="41">
        <f>IF(D38="","",_xlfn.XLOOKUP(A38,[4]ריכוז!$A:$A,[4]ריכוז!$D:$D,"אין כזה"))</f>
        <v>3250</v>
      </c>
      <c r="F38" s="10">
        <f t="shared" si="1"/>
        <v>487.5</v>
      </c>
      <c r="G38" s="10">
        <f t="shared" si="2"/>
        <v>162.5</v>
      </c>
      <c r="H38" s="10">
        <f t="shared" si="0"/>
        <v>2900.625</v>
      </c>
      <c r="I38" s="57">
        <f t="shared" si="3"/>
        <v>0</v>
      </c>
      <c r="K38" s="38"/>
    </row>
    <row r="39" spans="1:11" s="27" customFormat="1" ht="15.6" x14ac:dyDescent="0.3">
      <c r="A39" s="59" t="s">
        <v>64</v>
      </c>
      <c r="B39" s="60" t="s">
        <v>65</v>
      </c>
      <c r="C39" s="61" t="s">
        <v>3</v>
      </c>
      <c r="D39" s="62" t="s">
        <v>3</v>
      </c>
      <c r="E39" s="41" t="str">
        <f>IF(D39="","",_xlfn.XLOOKUP(A39,[4]ריכוז!$A:$A,[4]ריכוז!$D:$D,"אין כזה"))</f>
        <v/>
      </c>
      <c r="F39" s="10" t="str">
        <f t="shared" si="1"/>
        <v/>
      </c>
      <c r="G39" s="10" t="str">
        <f t="shared" si="2"/>
        <v/>
      </c>
      <c r="H39" s="10" t="str">
        <f t="shared" si="0"/>
        <v/>
      </c>
      <c r="I39" s="57" t="str">
        <f t="shared" si="3"/>
        <v/>
      </c>
      <c r="K39" s="38"/>
    </row>
    <row r="40" spans="1:11" x14ac:dyDescent="0.3">
      <c r="A40" s="63" t="s">
        <v>66</v>
      </c>
      <c r="B40" s="55" t="s">
        <v>67</v>
      </c>
      <c r="C40" s="56" t="s">
        <v>24</v>
      </c>
      <c r="D40" s="57">
        <f>D33+D38</f>
        <v>7.88</v>
      </c>
      <c r="E40" s="41">
        <f>IF(D40="","",_xlfn.XLOOKUP(A40,[4]ריכוז!$A:$A,[4]ריכוז!$D:$D,"אין כזה"))</f>
        <v>88</v>
      </c>
      <c r="F40" s="10">
        <f t="shared" si="1"/>
        <v>13.2</v>
      </c>
      <c r="G40" s="10">
        <f t="shared" si="2"/>
        <v>4.4000000000000004</v>
      </c>
      <c r="H40" s="10">
        <f t="shared" si="0"/>
        <v>78.540000000000006</v>
      </c>
      <c r="I40" s="57">
        <f t="shared" si="3"/>
        <v>618.89520000000005</v>
      </c>
      <c r="K40" s="38"/>
    </row>
    <row r="41" spans="1:11" s="27" customFormat="1" ht="15.6" x14ac:dyDescent="0.3">
      <c r="A41" s="59" t="s">
        <v>68</v>
      </c>
      <c r="B41" s="60" t="s">
        <v>69</v>
      </c>
      <c r="C41" s="61" t="s">
        <v>3</v>
      </c>
      <c r="D41" s="62" t="s">
        <v>3</v>
      </c>
      <c r="E41" s="41" t="str">
        <f>IF(D41="","",_xlfn.XLOOKUP(A41,[4]ריכוז!$A:$A,[4]ריכוז!$D:$D,"אין כזה"))</f>
        <v/>
      </c>
      <c r="F41" s="10" t="str">
        <f t="shared" si="1"/>
        <v/>
      </c>
      <c r="G41" s="10" t="str">
        <f t="shared" si="2"/>
        <v/>
      </c>
      <c r="H41" s="10" t="str">
        <f t="shared" si="0"/>
        <v/>
      </c>
      <c r="I41" s="57" t="str">
        <f t="shared" si="3"/>
        <v/>
      </c>
      <c r="K41" s="38"/>
    </row>
    <row r="42" spans="1:11" ht="28.8" x14ac:dyDescent="0.3">
      <c r="A42" s="63" t="s">
        <v>70</v>
      </c>
      <c r="B42" s="55" t="s">
        <v>71</v>
      </c>
      <c r="C42" s="56" t="s">
        <v>24</v>
      </c>
      <c r="D42" s="57">
        <v>0</v>
      </c>
      <c r="E42" s="41">
        <f>IF(D42="","",_xlfn.XLOOKUP(A42,[4]ריכוז!$A:$A,[4]ריכוז!$D:$D,"אין כזה"))</f>
        <v>717</v>
      </c>
      <c r="F42" s="10">
        <f t="shared" si="1"/>
        <v>107.55</v>
      </c>
      <c r="G42" s="10">
        <f t="shared" si="2"/>
        <v>35.85</v>
      </c>
      <c r="H42" s="10">
        <f t="shared" si="0"/>
        <v>639.92250000000001</v>
      </c>
      <c r="I42" s="57">
        <f t="shared" si="3"/>
        <v>0</v>
      </c>
      <c r="K42" s="38"/>
    </row>
    <row r="43" spans="1:11" ht="28.8" x14ac:dyDescent="0.3">
      <c r="A43" s="63" t="s">
        <v>72</v>
      </c>
      <c r="B43" s="55" t="s">
        <v>73</v>
      </c>
      <c r="C43" s="56" t="s">
        <v>24</v>
      </c>
      <c r="D43" s="138">
        <f>D18+D33</f>
        <v>19.04</v>
      </c>
      <c r="E43" s="41">
        <f>IF(D43="","",_xlfn.XLOOKUP(A43,[4]ריכוז!$A:$A,[4]ריכוז!$D:$D,"אין כזה"))</f>
        <v>582</v>
      </c>
      <c r="F43" s="10">
        <f t="shared" si="1"/>
        <v>87.3</v>
      </c>
      <c r="G43" s="10">
        <f t="shared" si="2"/>
        <v>29.1</v>
      </c>
      <c r="H43" s="10">
        <f t="shared" si="0"/>
        <v>519.43500000000006</v>
      </c>
      <c r="I43" s="57">
        <f t="shared" si="3"/>
        <v>9890.0424000000003</v>
      </c>
      <c r="K43" s="38"/>
    </row>
    <row r="44" spans="1:11" ht="28.2" x14ac:dyDescent="0.3">
      <c r="A44" s="9" t="s">
        <v>218</v>
      </c>
      <c r="B44" s="2" t="s">
        <v>219</v>
      </c>
      <c r="C44" s="56" t="s">
        <v>24</v>
      </c>
      <c r="D44" s="57">
        <f>D18*0</f>
        <v>0</v>
      </c>
      <c r="E44" s="41">
        <v>800</v>
      </c>
      <c r="F44" s="10">
        <f t="shared" si="1"/>
        <v>120</v>
      </c>
      <c r="G44" s="10">
        <f t="shared" si="2"/>
        <v>40</v>
      </c>
      <c r="H44" s="10">
        <f t="shared" si="0"/>
        <v>714</v>
      </c>
      <c r="I44" s="57">
        <f t="shared" si="3"/>
        <v>0</v>
      </c>
      <c r="K44" s="38"/>
    </row>
    <row r="45" spans="1:11" ht="28.8" x14ac:dyDescent="0.3">
      <c r="A45" s="63" t="s">
        <v>173</v>
      </c>
      <c r="B45" s="55" t="s">
        <v>174</v>
      </c>
      <c r="C45" s="56" t="s">
        <v>24</v>
      </c>
      <c r="D45" s="57">
        <f>D33*0</f>
        <v>0</v>
      </c>
      <c r="E45" s="41">
        <f>IF(D45="","",_xlfn.XLOOKUP(A45,[4]ריכוז!$A:$A,[4]ריכוז!$D:$D,"אין כזה"))</f>
        <v>1440</v>
      </c>
      <c r="F45" s="10">
        <f t="shared" si="1"/>
        <v>216</v>
      </c>
      <c r="G45" s="10">
        <f t="shared" si="2"/>
        <v>72</v>
      </c>
      <c r="H45" s="10">
        <f t="shared" si="0"/>
        <v>1285.2</v>
      </c>
      <c r="I45" s="57">
        <f t="shared" si="3"/>
        <v>0</v>
      </c>
      <c r="K45" s="38"/>
    </row>
    <row r="46" spans="1:11" x14ac:dyDescent="0.3">
      <c r="A46" s="63" t="s">
        <v>74</v>
      </c>
      <c r="B46" s="55" t="s">
        <v>75</v>
      </c>
      <c r="C46" s="56" t="s">
        <v>2</v>
      </c>
      <c r="D46" s="57">
        <v>0</v>
      </c>
      <c r="E46" s="41">
        <f>IF(D46="","",_xlfn.XLOOKUP(A46,[4]ריכוז!$A:$A,[4]ריכוז!$D:$D,"אין כזה"))</f>
        <v>620</v>
      </c>
      <c r="F46" s="10">
        <f t="shared" si="1"/>
        <v>93</v>
      </c>
      <c r="G46" s="10">
        <f t="shared" si="2"/>
        <v>31</v>
      </c>
      <c r="H46" s="10">
        <f t="shared" si="0"/>
        <v>553.35</v>
      </c>
      <c r="I46" s="57">
        <f t="shared" si="3"/>
        <v>0</v>
      </c>
      <c r="K46" s="38"/>
    </row>
    <row r="47" spans="1:11" x14ac:dyDescent="0.3">
      <c r="A47" s="63" t="s">
        <v>76</v>
      </c>
      <c r="B47" s="55" t="s">
        <v>77</v>
      </c>
      <c r="C47" s="56" t="s">
        <v>2</v>
      </c>
      <c r="D47" s="57">
        <v>0</v>
      </c>
      <c r="E47" s="41">
        <f>IF(D47="","",_xlfn.XLOOKUP(A47,[4]ריכוז!$A:$A,[4]ריכוז!$D:$D,"אין כזה"))</f>
        <v>750</v>
      </c>
      <c r="F47" s="10">
        <f t="shared" si="1"/>
        <v>112.5</v>
      </c>
      <c r="G47" s="10">
        <f t="shared" si="2"/>
        <v>37.5</v>
      </c>
      <c r="H47" s="10">
        <f t="shared" si="0"/>
        <v>669.375</v>
      </c>
      <c r="I47" s="57">
        <f t="shared" si="3"/>
        <v>0</v>
      </c>
      <c r="K47" s="38"/>
    </row>
    <row r="48" spans="1:11" x14ac:dyDescent="0.3">
      <c r="A48" s="63" t="s">
        <v>78</v>
      </c>
      <c r="B48" s="55" t="s">
        <v>79</v>
      </c>
      <c r="C48" s="56" t="s">
        <v>2</v>
      </c>
      <c r="D48" s="57">
        <v>0</v>
      </c>
      <c r="E48" s="41">
        <f>IF(D48="","",_xlfn.XLOOKUP(A48,[4]ריכוז!$A:$A,[4]ריכוז!$D:$D,"אין כזה"))</f>
        <v>1020</v>
      </c>
      <c r="F48" s="10">
        <f t="shared" si="1"/>
        <v>153</v>
      </c>
      <c r="G48" s="10">
        <f t="shared" si="2"/>
        <v>51</v>
      </c>
      <c r="H48" s="10">
        <f t="shared" si="0"/>
        <v>910.35</v>
      </c>
      <c r="I48" s="57">
        <f t="shared" si="3"/>
        <v>0</v>
      </c>
      <c r="K48" s="38"/>
    </row>
    <row r="49" spans="1:11" x14ac:dyDescent="0.3">
      <c r="A49" s="63" t="s">
        <v>80</v>
      </c>
      <c r="B49" s="55" t="s">
        <v>81</v>
      </c>
      <c r="C49" s="56" t="s">
        <v>2</v>
      </c>
      <c r="D49" s="57">
        <v>3</v>
      </c>
      <c r="E49" s="41">
        <f>IF(D49="","",_xlfn.XLOOKUP(A49,[4]ריכוז!$A:$A,[4]ריכוז!$D:$D,"אין כזה"))</f>
        <v>1370</v>
      </c>
      <c r="F49" s="10">
        <f t="shared" si="1"/>
        <v>205.5</v>
      </c>
      <c r="G49" s="10">
        <f t="shared" si="2"/>
        <v>68.5</v>
      </c>
      <c r="H49" s="10">
        <f t="shared" si="0"/>
        <v>1222.7249999999999</v>
      </c>
      <c r="I49" s="57">
        <f t="shared" si="3"/>
        <v>3668.1749999999997</v>
      </c>
      <c r="K49" s="38"/>
    </row>
    <row r="50" spans="1:11" x14ac:dyDescent="0.3">
      <c r="A50" s="63" t="s">
        <v>82</v>
      </c>
      <c r="B50" s="55" t="s">
        <v>83</v>
      </c>
      <c r="C50" s="56" t="s">
        <v>2</v>
      </c>
      <c r="D50" s="57">
        <v>0</v>
      </c>
      <c r="E50" s="41">
        <f>IF(D50="","",_xlfn.XLOOKUP(A50,[4]ריכוז!$A:$A,[4]ריכוז!$D:$D,"אין כזה"))</f>
        <v>1650</v>
      </c>
      <c r="F50" s="10">
        <f t="shared" si="1"/>
        <v>247.5</v>
      </c>
      <c r="G50" s="10">
        <f t="shared" si="2"/>
        <v>82.5</v>
      </c>
      <c r="H50" s="10">
        <f t="shared" si="0"/>
        <v>1472.625</v>
      </c>
      <c r="I50" s="57">
        <f t="shared" si="3"/>
        <v>0</v>
      </c>
      <c r="K50" s="38"/>
    </row>
    <row r="51" spans="1:11" x14ac:dyDescent="0.3">
      <c r="A51" s="63" t="s">
        <v>84</v>
      </c>
      <c r="B51" s="55" t="s">
        <v>85</v>
      </c>
      <c r="C51" s="56" t="s">
        <v>2</v>
      </c>
      <c r="D51" s="57">
        <v>1</v>
      </c>
      <c r="E51" s="41">
        <f>IF(D51="","",_xlfn.XLOOKUP(A51,[4]ריכוז!$A:$A,[4]ריכוז!$D:$D,"אין כזה"))</f>
        <v>1820</v>
      </c>
      <c r="F51" s="10">
        <f t="shared" si="1"/>
        <v>273</v>
      </c>
      <c r="G51" s="10">
        <f t="shared" si="2"/>
        <v>91</v>
      </c>
      <c r="H51" s="10">
        <f t="shared" si="0"/>
        <v>1624.35</v>
      </c>
      <c r="I51" s="57">
        <f t="shared" si="3"/>
        <v>1624.35</v>
      </c>
      <c r="K51" s="38"/>
    </row>
    <row r="52" spans="1:11" x14ac:dyDescent="0.3">
      <c r="A52" s="63" t="s">
        <v>86</v>
      </c>
      <c r="B52" s="55" t="s">
        <v>87</v>
      </c>
      <c r="C52" s="56" t="s">
        <v>2</v>
      </c>
      <c r="D52" s="57">
        <v>0</v>
      </c>
      <c r="E52" s="41">
        <f>IF(D52="","",_xlfn.XLOOKUP(A52,[4]ריכוז!$A:$A,[4]ריכוז!$D:$D,"אין כזה"))</f>
        <v>130</v>
      </c>
      <c r="F52" s="10">
        <f t="shared" si="1"/>
        <v>19.5</v>
      </c>
      <c r="G52" s="10">
        <f t="shared" si="2"/>
        <v>6.5</v>
      </c>
      <c r="H52" s="10">
        <f t="shared" si="0"/>
        <v>116.02499999999999</v>
      </c>
      <c r="I52" s="57">
        <f t="shared" si="3"/>
        <v>0</v>
      </c>
      <c r="K52" s="38"/>
    </row>
    <row r="53" spans="1:11" x14ac:dyDescent="0.3">
      <c r="A53" s="63" t="s">
        <v>175</v>
      </c>
      <c r="B53" s="55" t="s">
        <v>176</v>
      </c>
      <c r="C53" s="56" t="s">
        <v>24</v>
      </c>
      <c r="D53" s="57">
        <f>(D44+D45+D42+D43)</f>
        <v>19.04</v>
      </c>
      <c r="E53" s="41">
        <f>IF(D53="","",_xlfn.XLOOKUP(A53,[4]ריכוז!$A:$A,[4]ריכוז!$D:$D,"אין כזה"))</f>
        <v>60</v>
      </c>
      <c r="F53" s="10">
        <f t="shared" si="1"/>
        <v>9</v>
      </c>
      <c r="G53" s="10">
        <f t="shared" si="2"/>
        <v>3</v>
      </c>
      <c r="H53" s="10">
        <f t="shared" si="0"/>
        <v>53.55</v>
      </c>
      <c r="I53" s="57">
        <f t="shared" si="3"/>
        <v>1019.5919999999999</v>
      </c>
      <c r="K53" s="38"/>
    </row>
    <row r="54" spans="1:11" x14ac:dyDescent="0.3">
      <c r="A54" s="63" t="s">
        <v>88</v>
      </c>
      <c r="B54" s="55" t="s">
        <v>89</v>
      </c>
      <c r="C54" s="56" t="s">
        <v>2</v>
      </c>
      <c r="D54" s="57">
        <v>0</v>
      </c>
      <c r="E54" s="41">
        <f>IF(D54="","",_xlfn.XLOOKUP(A54,[4]ריכוז!$A:$A,[4]ריכוז!$D:$D,"אין כזה"))</f>
        <v>109</v>
      </c>
      <c r="F54" s="10">
        <f t="shared" si="1"/>
        <v>16.349999999999998</v>
      </c>
      <c r="G54" s="10">
        <f t="shared" si="2"/>
        <v>5.45</v>
      </c>
      <c r="H54" s="10">
        <f t="shared" si="0"/>
        <v>97.282499999999999</v>
      </c>
      <c r="I54" s="57">
        <f t="shared" si="3"/>
        <v>0</v>
      </c>
      <c r="K54" s="38"/>
    </row>
    <row r="55" spans="1:11" x14ac:dyDescent="0.3">
      <c r="A55" s="63" t="s">
        <v>90</v>
      </c>
      <c r="B55" s="55" t="s">
        <v>91</v>
      </c>
      <c r="C55" s="56" t="s">
        <v>2</v>
      </c>
      <c r="D55" s="57">
        <v>3</v>
      </c>
      <c r="E55" s="41">
        <f>IF(D55="","",_xlfn.XLOOKUP(A55,[4]ריכוז!$A:$A,[4]ריכוז!$D:$D,"אין כזה"))</f>
        <v>121</v>
      </c>
      <c r="F55" s="10">
        <f t="shared" si="1"/>
        <v>18.149999999999999</v>
      </c>
      <c r="G55" s="10">
        <f t="shared" si="2"/>
        <v>6.0500000000000007</v>
      </c>
      <c r="H55" s="10">
        <f t="shared" si="0"/>
        <v>107.99250000000001</v>
      </c>
      <c r="I55" s="57">
        <f t="shared" si="3"/>
        <v>323.97750000000002</v>
      </c>
      <c r="K55" s="38"/>
    </row>
    <row r="56" spans="1:11" ht="14.4" customHeight="1" x14ac:dyDescent="0.3">
      <c r="A56" s="63" t="s">
        <v>195</v>
      </c>
      <c r="B56" s="55" t="s">
        <v>182</v>
      </c>
      <c r="C56" s="56" t="s">
        <v>2</v>
      </c>
      <c r="D56" s="57">
        <v>0</v>
      </c>
      <c r="E56" s="41">
        <f>IF(D56="","",_xlfn.XLOOKUP(A56,[4]ריכוז!$A:$A,[4]ריכוז!$D:$D,"אין כזה"))</f>
        <v>133</v>
      </c>
      <c r="F56" s="10">
        <f t="shared" si="1"/>
        <v>19.95</v>
      </c>
      <c r="G56" s="10">
        <f t="shared" si="2"/>
        <v>6.65</v>
      </c>
      <c r="H56" s="10">
        <f t="shared" si="0"/>
        <v>118.7025</v>
      </c>
      <c r="I56" s="57">
        <f t="shared" si="3"/>
        <v>0</v>
      </c>
      <c r="K56" s="38"/>
    </row>
    <row r="57" spans="1:11" ht="14.4" customHeight="1" x14ac:dyDescent="0.3">
      <c r="A57" s="63" t="s">
        <v>196</v>
      </c>
      <c r="B57" s="55" t="s">
        <v>183</v>
      </c>
      <c r="C57" s="56" t="s">
        <v>2</v>
      </c>
      <c r="D57" s="57">
        <v>0</v>
      </c>
      <c r="E57" s="41">
        <f>IF(D57="","",_xlfn.XLOOKUP(A57,[4]ריכוז!$A:$A,[4]ריכוז!$D:$D,"אין כזה"))</f>
        <v>145</v>
      </c>
      <c r="F57" s="10">
        <f t="shared" si="1"/>
        <v>21.75</v>
      </c>
      <c r="G57" s="10">
        <f t="shared" si="2"/>
        <v>7.25</v>
      </c>
      <c r="H57" s="10">
        <f t="shared" si="0"/>
        <v>129.41249999999999</v>
      </c>
      <c r="I57" s="57">
        <f t="shared" si="3"/>
        <v>0</v>
      </c>
      <c r="K57" s="38"/>
    </row>
    <row r="58" spans="1:11" ht="14.4" customHeight="1" x14ac:dyDescent="0.3">
      <c r="A58" s="63" t="s">
        <v>197</v>
      </c>
      <c r="B58" s="55" t="s">
        <v>184</v>
      </c>
      <c r="C58" s="56" t="s">
        <v>2</v>
      </c>
      <c r="D58" s="57">
        <v>0</v>
      </c>
      <c r="E58" s="41">
        <f>IF(D58="","",_xlfn.XLOOKUP(A58,[4]ריכוז!$A:$A,[4]ריכוז!$D:$D,"אין כזה"))</f>
        <v>157</v>
      </c>
      <c r="F58" s="10">
        <f t="shared" si="1"/>
        <v>23.55</v>
      </c>
      <c r="G58" s="10">
        <f t="shared" si="2"/>
        <v>7.8500000000000005</v>
      </c>
      <c r="H58" s="10">
        <f t="shared" si="0"/>
        <v>140.1225</v>
      </c>
      <c r="I58" s="57">
        <f t="shared" si="3"/>
        <v>0</v>
      </c>
      <c r="K58" s="38"/>
    </row>
    <row r="59" spans="1:11" ht="14.4" customHeight="1" x14ac:dyDescent="0.3">
      <c r="A59" s="63" t="s">
        <v>198</v>
      </c>
      <c r="B59" s="55" t="s">
        <v>185</v>
      </c>
      <c r="C59" s="56" t="s">
        <v>2</v>
      </c>
      <c r="D59" s="57">
        <v>1</v>
      </c>
      <c r="E59" s="41">
        <f>IF(D59="","",_xlfn.XLOOKUP(A59,[4]ריכוז!$A:$A,[4]ריכוז!$D:$D,"אין כזה"))</f>
        <v>169</v>
      </c>
      <c r="F59" s="10">
        <f t="shared" si="1"/>
        <v>25.349999999999998</v>
      </c>
      <c r="G59" s="10">
        <f t="shared" si="2"/>
        <v>8.4500000000000011</v>
      </c>
      <c r="H59" s="10">
        <f t="shared" si="0"/>
        <v>150.83250000000001</v>
      </c>
      <c r="I59" s="57">
        <f t="shared" si="3"/>
        <v>150.83250000000001</v>
      </c>
      <c r="K59" s="38"/>
    </row>
    <row r="60" spans="1:11" ht="14.4" customHeight="1" x14ac:dyDescent="0.3">
      <c r="A60" s="63" t="s">
        <v>199</v>
      </c>
      <c r="B60" s="55" t="s">
        <v>186</v>
      </c>
      <c r="C60" s="56" t="s">
        <v>2</v>
      </c>
      <c r="D60" s="57">
        <v>0</v>
      </c>
      <c r="E60" s="41">
        <f>IF(D60="","",_xlfn.XLOOKUP(A60,[4]ריכוז!$A:$A,[4]ריכוז!$D:$D,"אין כזה"))</f>
        <v>181</v>
      </c>
      <c r="F60" s="10">
        <f t="shared" si="1"/>
        <v>27.15</v>
      </c>
      <c r="G60" s="10">
        <f t="shared" si="2"/>
        <v>9.0500000000000007</v>
      </c>
      <c r="H60" s="10">
        <f t="shared" si="0"/>
        <v>161.54250000000002</v>
      </c>
      <c r="I60" s="57">
        <f t="shared" si="3"/>
        <v>0</v>
      </c>
      <c r="K60" s="38"/>
    </row>
    <row r="61" spans="1:11" ht="14.4" customHeight="1" x14ac:dyDescent="0.3">
      <c r="A61" s="63" t="s">
        <v>200</v>
      </c>
      <c r="B61" s="55" t="s">
        <v>187</v>
      </c>
      <c r="C61" s="56" t="s">
        <v>2</v>
      </c>
      <c r="D61" s="57">
        <v>0</v>
      </c>
      <c r="E61" s="41">
        <f>IF(D61="","",_xlfn.XLOOKUP(A61,[4]ריכוז!$A:$A,[4]ריכוז!$D:$D,"אין כזה"))</f>
        <v>193</v>
      </c>
      <c r="F61" s="10">
        <f t="shared" si="1"/>
        <v>28.95</v>
      </c>
      <c r="G61" s="10">
        <f t="shared" si="2"/>
        <v>9.65</v>
      </c>
      <c r="H61" s="10">
        <f t="shared" si="0"/>
        <v>172.2525</v>
      </c>
      <c r="I61" s="57">
        <f t="shared" si="3"/>
        <v>0</v>
      </c>
      <c r="K61" s="38"/>
    </row>
    <row r="62" spans="1:11" s="27" customFormat="1" ht="15.6" x14ac:dyDescent="0.3">
      <c r="A62" s="59" t="s">
        <v>92</v>
      </c>
      <c r="B62" s="60" t="s">
        <v>93</v>
      </c>
      <c r="C62" s="61" t="s">
        <v>3</v>
      </c>
      <c r="D62" s="62" t="s">
        <v>3</v>
      </c>
      <c r="E62" s="41" t="str">
        <f>IF(D62="","",_xlfn.XLOOKUP(A62,[4]ריכוז!$A:$A,[4]ריכוז!$D:$D,"אין כזה"))</f>
        <v/>
      </c>
      <c r="F62" s="10" t="str">
        <f t="shared" si="1"/>
        <v/>
      </c>
      <c r="G62" s="10" t="str">
        <f t="shared" si="2"/>
        <v/>
      </c>
      <c r="H62" s="10" t="str">
        <f t="shared" si="0"/>
        <v/>
      </c>
      <c r="I62" s="57" t="str">
        <f t="shared" si="3"/>
        <v/>
      </c>
      <c r="K62" s="38"/>
    </row>
    <row r="63" spans="1:11" ht="15" thickBot="1" x14ac:dyDescent="0.35">
      <c r="A63" s="54" t="s">
        <v>94</v>
      </c>
      <c r="B63" s="55" t="s">
        <v>95</v>
      </c>
      <c r="C63" s="56" t="s">
        <v>24</v>
      </c>
      <c r="D63" s="92">
        <v>0</v>
      </c>
      <c r="E63" s="41">
        <f>IF(D63="","",_xlfn.XLOOKUP(A63,[4]ריכוז!$A:$A,[4]ריכוז!$D:$D,"אין כזה"))</f>
        <v>53</v>
      </c>
      <c r="F63" s="10">
        <f t="shared" si="1"/>
        <v>7.9499999999999993</v>
      </c>
      <c r="G63" s="10">
        <f t="shared" si="2"/>
        <v>2.6500000000000004</v>
      </c>
      <c r="H63" s="10">
        <f t="shared" si="0"/>
        <v>47.302500000000002</v>
      </c>
      <c r="I63" s="57">
        <f t="shared" si="3"/>
        <v>0</v>
      </c>
      <c r="K63" s="38"/>
    </row>
    <row r="64" spans="1:11" ht="43.2" x14ac:dyDescent="0.3">
      <c r="A64" s="54" t="s">
        <v>96</v>
      </c>
      <c r="B64" s="55" t="s">
        <v>97</v>
      </c>
      <c r="C64" s="56" t="s">
        <v>24</v>
      </c>
      <c r="D64" s="57">
        <v>0</v>
      </c>
      <c r="E64" s="41">
        <f>IF(D64="","",_xlfn.XLOOKUP(A64,[4]ריכוז!$A:$A,[4]ריכוז!$D:$D,"אין כזה"))</f>
        <v>880</v>
      </c>
      <c r="F64" s="10">
        <f t="shared" si="1"/>
        <v>132</v>
      </c>
      <c r="G64" s="10">
        <f t="shared" si="2"/>
        <v>44</v>
      </c>
      <c r="H64" s="10">
        <f t="shared" si="0"/>
        <v>785.4</v>
      </c>
      <c r="I64" s="57">
        <f t="shared" si="3"/>
        <v>0</v>
      </c>
      <c r="K64" s="38"/>
    </row>
    <row r="65" spans="1:11" ht="43.2" x14ac:dyDescent="0.3">
      <c r="A65" s="54" t="s">
        <v>215</v>
      </c>
      <c r="B65" s="55" t="s">
        <v>98</v>
      </c>
      <c r="C65" s="56" t="s">
        <v>24</v>
      </c>
      <c r="D65" s="57">
        <f>D63</f>
        <v>0</v>
      </c>
      <c r="E65" s="41">
        <f>IF(D65="","",_xlfn.XLOOKUP(A65,[4]ריכוז!$A:$A,[4]ריכוז!$D:$D,"אין כזה"))</f>
        <v>650</v>
      </c>
      <c r="F65" s="10">
        <f t="shared" si="1"/>
        <v>97.5</v>
      </c>
      <c r="G65" s="10">
        <f t="shared" si="2"/>
        <v>32.5</v>
      </c>
      <c r="H65" s="10">
        <f t="shared" si="0"/>
        <v>580.125</v>
      </c>
      <c r="I65" s="57">
        <f t="shared" si="3"/>
        <v>0</v>
      </c>
      <c r="K65" s="38"/>
    </row>
    <row r="66" spans="1:11" s="27" customFormat="1" ht="15.6" x14ac:dyDescent="0.3">
      <c r="A66" s="59" t="s">
        <v>99</v>
      </c>
      <c r="B66" s="60" t="s">
        <v>100</v>
      </c>
      <c r="C66" s="61" t="s">
        <v>3</v>
      </c>
      <c r="D66" s="62" t="s">
        <v>3</v>
      </c>
      <c r="E66" s="41" t="str">
        <f>IF(D66="","",_xlfn.XLOOKUP(A66,[4]ריכוז!$A:$A,[4]ריכוז!$D:$D,"אין כזה"))</f>
        <v/>
      </c>
      <c r="F66" s="10" t="str">
        <f t="shared" si="1"/>
        <v/>
      </c>
      <c r="G66" s="10" t="str">
        <f t="shared" si="2"/>
        <v/>
      </c>
      <c r="H66" s="10" t="str">
        <f t="shared" si="0"/>
        <v/>
      </c>
      <c r="I66" s="57" t="str">
        <f t="shared" si="3"/>
        <v/>
      </c>
      <c r="K66" s="38"/>
    </row>
    <row r="67" spans="1:11" x14ac:dyDescent="0.3">
      <c r="A67" s="63" t="s">
        <v>101</v>
      </c>
      <c r="B67" s="55" t="s">
        <v>102</v>
      </c>
      <c r="C67" s="56" t="s">
        <v>24</v>
      </c>
      <c r="D67" s="57">
        <v>0</v>
      </c>
      <c r="E67" s="41">
        <f>IF(D67="","",_xlfn.XLOOKUP(A67,[4]ריכוז!$A:$A,[4]ריכוז!$D:$D,"אין כזה"))</f>
        <v>265</v>
      </c>
      <c r="F67" s="10">
        <f t="shared" si="1"/>
        <v>39.75</v>
      </c>
      <c r="G67" s="10">
        <f t="shared" si="2"/>
        <v>13.25</v>
      </c>
      <c r="H67" s="10">
        <f t="shared" si="0"/>
        <v>236.51249999999999</v>
      </c>
      <c r="I67" s="57">
        <f t="shared" si="3"/>
        <v>0</v>
      </c>
      <c r="K67" s="38"/>
    </row>
    <row r="68" spans="1:11" x14ac:dyDescent="0.3">
      <c r="A68" s="64" t="s">
        <v>103</v>
      </c>
      <c r="B68" s="65" t="s">
        <v>104</v>
      </c>
      <c r="C68" s="56" t="s">
        <v>24</v>
      </c>
      <c r="D68" s="138">
        <f>-D70</f>
        <v>19.035</v>
      </c>
      <c r="E68" s="41">
        <f>IF(D68="","",_xlfn.XLOOKUP(A68,[4]ריכוז!$A:$A,[4]ריכוז!$D:$D,"אין כזה"))</f>
        <v>375</v>
      </c>
      <c r="F68" s="10">
        <f t="shared" si="1"/>
        <v>56.25</v>
      </c>
      <c r="G68" s="10">
        <f t="shared" si="2"/>
        <v>18.75</v>
      </c>
      <c r="H68" s="10">
        <f t="shared" si="0"/>
        <v>334.6875</v>
      </c>
      <c r="I68" s="57">
        <f t="shared" si="3"/>
        <v>6370.7765625000002</v>
      </c>
      <c r="K68" s="38"/>
    </row>
    <row r="69" spans="1:11" x14ac:dyDescent="0.3">
      <c r="A69" s="64" t="s">
        <v>105</v>
      </c>
      <c r="B69" s="65" t="s">
        <v>106</v>
      </c>
      <c r="C69" s="56" t="s">
        <v>24</v>
      </c>
      <c r="D69" s="57">
        <f>-D19</f>
        <v>0</v>
      </c>
      <c r="E69" s="41">
        <f>IF(D69="","",_xlfn.XLOOKUP(A69,[4]ריכוז!$A:$A,[4]ריכוז!$D:$D,"אין כזה"))</f>
        <v>317</v>
      </c>
      <c r="F69" s="10">
        <f t="shared" si="1"/>
        <v>47.55</v>
      </c>
      <c r="G69" s="10">
        <f t="shared" si="2"/>
        <v>15.850000000000001</v>
      </c>
      <c r="H69" s="10">
        <f t="shared" si="0"/>
        <v>282.92250000000001</v>
      </c>
      <c r="I69" s="57">
        <f t="shared" si="3"/>
        <v>0</v>
      </c>
      <c r="K69" s="38"/>
    </row>
    <row r="70" spans="1:11" x14ac:dyDescent="0.3">
      <c r="A70" s="64" t="s">
        <v>107</v>
      </c>
      <c r="B70" s="65" t="s">
        <v>108</v>
      </c>
      <c r="C70" s="56" t="s">
        <v>24</v>
      </c>
      <c r="D70" s="57">
        <v>-19.035</v>
      </c>
      <c r="E70" s="41">
        <f>IF(D70="","",_xlfn.XLOOKUP(A70,[4]ריכוז!$A:$A,[4]ריכוז!$D:$D,"אין כזה"))</f>
        <v>172</v>
      </c>
      <c r="F70" s="10">
        <f t="shared" si="1"/>
        <v>25.8</v>
      </c>
      <c r="G70" s="10">
        <f t="shared" si="2"/>
        <v>8.6</v>
      </c>
      <c r="H70" s="10">
        <f t="shared" si="0"/>
        <v>153.51</v>
      </c>
      <c r="I70" s="57">
        <f t="shared" si="3"/>
        <v>-2922.0628499999998</v>
      </c>
      <c r="K70" s="38"/>
    </row>
    <row r="71" spans="1:11" x14ac:dyDescent="0.3">
      <c r="A71" s="63" t="s">
        <v>109</v>
      </c>
      <c r="B71" s="55" t="s">
        <v>110</v>
      </c>
      <c r="C71" s="56" t="s">
        <v>24</v>
      </c>
      <c r="D71" s="57">
        <f>-D67</f>
        <v>0</v>
      </c>
      <c r="E71" s="41">
        <f>IF(D71="","",_xlfn.XLOOKUP(A71,[4]ריכוז!$A:$A,[4]ריכוז!$D:$D,"אין כזה"))</f>
        <v>94</v>
      </c>
      <c r="F71" s="10">
        <f t="shared" si="1"/>
        <v>14.1</v>
      </c>
      <c r="G71" s="10">
        <f t="shared" si="2"/>
        <v>4.7</v>
      </c>
      <c r="H71" s="10">
        <f t="shared" si="0"/>
        <v>83.894999999999996</v>
      </c>
      <c r="I71" s="57">
        <f t="shared" si="3"/>
        <v>0</v>
      </c>
      <c r="K71" s="38"/>
    </row>
    <row r="72" spans="1:11" x14ac:dyDescent="0.3">
      <c r="A72" s="63" t="s">
        <v>111</v>
      </c>
      <c r="B72" s="55" t="s">
        <v>112</v>
      </c>
      <c r="C72" s="56" t="s">
        <v>24</v>
      </c>
      <c r="D72" s="57">
        <v>0</v>
      </c>
      <c r="E72" s="41">
        <f>IF(D72="","",_xlfn.XLOOKUP(A72,[4]ריכוז!$A:$A,[4]ריכוז!$D:$D,"אין כזה"))</f>
        <v>157</v>
      </c>
      <c r="F72" s="10">
        <f t="shared" si="1"/>
        <v>23.55</v>
      </c>
      <c r="G72" s="10">
        <f t="shared" si="2"/>
        <v>7.8500000000000005</v>
      </c>
      <c r="H72" s="10">
        <f t="shared" si="0"/>
        <v>140.1225</v>
      </c>
      <c r="I72" s="57">
        <f t="shared" si="3"/>
        <v>0</v>
      </c>
      <c r="K72" s="38"/>
    </row>
    <row r="73" spans="1:11" s="27" customFormat="1" ht="15.6" x14ac:dyDescent="0.3">
      <c r="A73" s="59" t="s">
        <v>113</v>
      </c>
      <c r="B73" s="60" t="s">
        <v>114</v>
      </c>
      <c r="C73" s="61" t="s">
        <v>3</v>
      </c>
      <c r="D73" s="62" t="s">
        <v>3</v>
      </c>
      <c r="E73" s="41" t="str">
        <f>IF(D73="","",_xlfn.XLOOKUP(A73,[4]ריכוז!$A:$A,[4]ריכוז!$D:$D,"אין כזה"))</f>
        <v/>
      </c>
      <c r="F73" s="10" t="str">
        <f t="shared" si="1"/>
        <v/>
      </c>
      <c r="G73" s="10" t="str">
        <f t="shared" si="2"/>
        <v/>
      </c>
      <c r="H73" s="10" t="str">
        <f t="shared" si="0"/>
        <v/>
      </c>
      <c r="I73" s="57" t="str">
        <f t="shared" si="3"/>
        <v/>
      </c>
      <c r="K73" s="38"/>
    </row>
    <row r="74" spans="1:11" s="27" customFormat="1" ht="15.6" x14ac:dyDescent="0.3">
      <c r="A74" s="59" t="s">
        <v>115</v>
      </c>
      <c r="B74" s="60" t="s">
        <v>116</v>
      </c>
      <c r="C74" s="61" t="s">
        <v>3</v>
      </c>
      <c r="D74" s="62" t="s">
        <v>3</v>
      </c>
      <c r="E74" s="41" t="str">
        <f>IF(D74="","",_xlfn.XLOOKUP(A74,[4]ריכוז!$A:$A,[4]ריכוז!$D:$D,"אין כזה"))</f>
        <v/>
      </c>
      <c r="F74" s="10" t="str">
        <f t="shared" si="1"/>
        <v/>
      </c>
      <c r="G74" s="10" t="str">
        <f t="shared" si="2"/>
        <v/>
      </c>
      <c r="H74" s="10" t="str">
        <f t="shared" si="0"/>
        <v/>
      </c>
      <c r="I74" s="57" t="str">
        <f t="shared" si="3"/>
        <v/>
      </c>
      <c r="K74" s="38"/>
    </row>
    <row r="75" spans="1:11" ht="28.8" x14ac:dyDescent="0.3">
      <c r="A75" s="63" t="s">
        <v>117</v>
      </c>
      <c r="B75" s="55" t="s">
        <v>118</v>
      </c>
      <c r="C75" s="56" t="s">
        <v>17</v>
      </c>
      <c r="D75" s="57">
        <v>0</v>
      </c>
      <c r="E75" s="41">
        <f>IF(D75="","",_xlfn.XLOOKUP(A75,[4]ריכוז!$A:$A,[4]ריכוז!$D:$D,"אין כזה"))</f>
        <v>3500</v>
      </c>
      <c r="F75" s="10">
        <f t="shared" si="1"/>
        <v>525</v>
      </c>
      <c r="G75" s="10">
        <f t="shared" si="2"/>
        <v>175</v>
      </c>
      <c r="H75" s="10">
        <f t="shared" si="0"/>
        <v>3123.75</v>
      </c>
      <c r="I75" s="57">
        <f t="shared" si="3"/>
        <v>0</v>
      </c>
      <c r="K75" s="38"/>
    </row>
    <row r="76" spans="1:11" ht="43.2" x14ac:dyDescent="0.3">
      <c r="A76" s="63" t="s">
        <v>119</v>
      </c>
      <c r="B76" s="55" t="s">
        <v>120</v>
      </c>
      <c r="C76" s="56" t="s">
        <v>4</v>
      </c>
      <c r="D76" s="57">
        <v>0</v>
      </c>
      <c r="E76" s="41">
        <f>IF(D76="","",_xlfn.XLOOKUP(A76,[4]ריכוז!$A:$A,[4]ריכוז!$D:$D,"אין כזה"))</f>
        <v>172</v>
      </c>
      <c r="F76" s="10">
        <f t="shared" si="1"/>
        <v>25.8</v>
      </c>
      <c r="G76" s="10">
        <f t="shared" si="2"/>
        <v>8.6</v>
      </c>
      <c r="H76" s="10">
        <f t="shared" si="0"/>
        <v>153.51</v>
      </c>
      <c r="I76" s="57">
        <f t="shared" si="3"/>
        <v>0</v>
      </c>
      <c r="K76" s="38"/>
    </row>
    <row r="77" spans="1:11" x14ac:dyDescent="0.3">
      <c r="A77" s="63" t="s">
        <v>177</v>
      </c>
      <c r="B77" s="55" t="s">
        <v>178</v>
      </c>
      <c r="C77" s="56" t="s">
        <v>24</v>
      </c>
      <c r="D77" s="57">
        <f>SUM(D17:D19,D25:D27,D29:D30,D32:D34,D36:D38)</f>
        <v>19.04</v>
      </c>
      <c r="E77" s="41">
        <f>IF(D77="","",_xlfn.XLOOKUP(A77,[4]ריכוז!$A:$A,[4]ריכוז!$D:$D,"אין כזה"))</f>
        <v>48</v>
      </c>
      <c r="F77" s="10">
        <f t="shared" si="1"/>
        <v>7.1999999999999993</v>
      </c>
      <c r="G77" s="10">
        <f t="shared" si="2"/>
        <v>2.4000000000000004</v>
      </c>
      <c r="H77" s="10">
        <f t="shared" si="0"/>
        <v>42.84</v>
      </c>
      <c r="I77" s="57">
        <f t="shared" si="3"/>
        <v>815.67360000000008</v>
      </c>
      <c r="K77" s="38"/>
    </row>
    <row r="78" spans="1:11" s="27" customFormat="1" ht="15.6" x14ac:dyDescent="0.3">
      <c r="A78" s="59" t="s">
        <v>121</v>
      </c>
      <c r="B78" s="60" t="s">
        <v>122</v>
      </c>
      <c r="C78" s="61" t="s">
        <v>3</v>
      </c>
      <c r="D78" s="62" t="s">
        <v>3</v>
      </c>
      <c r="E78" s="41" t="str">
        <f>IF(D78="","",_xlfn.XLOOKUP(A78,[4]ריכוז!$A:$A,[4]ריכוז!$D:$D,"אין כזה"))</f>
        <v/>
      </c>
      <c r="F78" s="10" t="str">
        <f t="shared" si="1"/>
        <v/>
      </c>
      <c r="G78" s="10" t="str">
        <f t="shared" si="2"/>
        <v/>
      </c>
      <c r="H78" s="10" t="str">
        <f t="shared" ref="H78:H92" si="4">IF(E78="","",E78*1.05*0.85)</f>
        <v/>
      </c>
      <c r="I78" s="57" t="str">
        <f t="shared" si="3"/>
        <v/>
      </c>
      <c r="K78" s="38"/>
    </row>
    <row r="79" spans="1:11" s="27" customFormat="1" ht="15.6" x14ac:dyDescent="0.3">
      <c r="A79" s="59" t="s">
        <v>123</v>
      </c>
      <c r="B79" s="60" t="s">
        <v>124</v>
      </c>
      <c r="C79" s="61" t="s">
        <v>3</v>
      </c>
      <c r="D79" s="62" t="s">
        <v>3</v>
      </c>
      <c r="E79" s="41" t="str">
        <f>IF(D79="","",_xlfn.XLOOKUP(A79,[4]ריכוז!$A:$A,[4]ריכוז!$D:$D,"אין כזה"))</f>
        <v/>
      </c>
      <c r="F79" s="10" t="str">
        <f t="shared" si="1"/>
        <v/>
      </c>
      <c r="G79" s="10" t="str">
        <f t="shared" si="2"/>
        <v/>
      </c>
      <c r="H79" s="10" t="str">
        <f t="shared" si="4"/>
        <v/>
      </c>
      <c r="I79" s="57" t="str">
        <f t="shared" si="3"/>
        <v/>
      </c>
      <c r="K79" s="38"/>
    </row>
    <row r="80" spans="1:11" s="27" customFormat="1" ht="15.6" x14ac:dyDescent="0.3">
      <c r="A80" s="9" t="s">
        <v>208</v>
      </c>
      <c r="B80" s="55" t="s">
        <v>209</v>
      </c>
      <c r="C80" s="56" t="s">
        <v>125</v>
      </c>
      <c r="D80" s="57">
        <v>3</v>
      </c>
      <c r="E80" s="41">
        <v>130</v>
      </c>
      <c r="F80" s="10">
        <f t="shared" si="1"/>
        <v>19.5</v>
      </c>
      <c r="G80" s="10">
        <f t="shared" si="2"/>
        <v>6.5</v>
      </c>
      <c r="H80" s="10">
        <f t="shared" si="4"/>
        <v>116.02499999999999</v>
      </c>
      <c r="I80" s="57">
        <f t="shared" si="3"/>
        <v>348.07499999999999</v>
      </c>
      <c r="K80" s="38"/>
    </row>
    <row r="81" spans="1:15" s="27" customFormat="1" ht="15.6" x14ac:dyDescent="0.3">
      <c r="A81" s="9" t="s">
        <v>169</v>
      </c>
      <c r="B81" s="55" t="s">
        <v>170</v>
      </c>
      <c r="C81" s="56" t="s">
        <v>125</v>
      </c>
      <c r="D81" s="57">
        <f>2+6</f>
        <v>8</v>
      </c>
      <c r="E81" s="41">
        <f>IF(D81="","",_xlfn.XLOOKUP(A81,[4]ריכוז!$A:$A,[4]ריכוז!$D:$D,"אין כזה"))</f>
        <v>145</v>
      </c>
      <c r="F81" s="10">
        <f t="shared" si="1"/>
        <v>21.75</v>
      </c>
      <c r="G81" s="10">
        <f t="shared" si="2"/>
        <v>7.25</v>
      </c>
      <c r="H81" s="10">
        <f t="shared" si="4"/>
        <v>129.41249999999999</v>
      </c>
      <c r="I81" s="57">
        <f t="shared" si="3"/>
        <v>1035.3</v>
      </c>
      <c r="K81" s="38"/>
    </row>
    <row r="82" spans="1:15" s="27" customFormat="1" ht="15.6" x14ac:dyDescent="0.3">
      <c r="A82" s="59" t="s">
        <v>126</v>
      </c>
      <c r="B82" s="60" t="s">
        <v>127</v>
      </c>
      <c r="C82" s="61" t="s">
        <v>3</v>
      </c>
      <c r="D82" s="62" t="s">
        <v>3</v>
      </c>
      <c r="E82" s="41" t="str">
        <f>IF(D82="","",_xlfn.XLOOKUP(A82,[4]ריכוז!$A:$A,[4]ריכוז!$D:$D,"אין כזה"))</f>
        <v/>
      </c>
      <c r="F82" s="10" t="str">
        <f t="shared" ref="F82:F92" si="5">IF(E82="","",E82*0.15)</f>
        <v/>
      </c>
      <c r="G82" s="10" t="str">
        <f t="shared" ref="G82:G92" si="6">IF(E82="","",E82*0.05)</f>
        <v/>
      </c>
      <c r="H82" s="10" t="str">
        <f t="shared" si="4"/>
        <v/>
      </c>
      <c r="I82" s="57" t="str">
        <f t="shared" ref="I82:I91" si="7">IF(D82="","",H82*D82)</f>
        <v/>
      </c>
      <c r="K82" s="38"/>
    </row>
    <row r="83" spans="1:15" ht="28.8" x14ac:dyDescent="0.3">
      <c r="A83" s="63" t="s">
        <v>128</v>
      </c>
      <c r="B83" s="55" t="s">
        <v>129</v>
      </c>
      <c r="C83" s="56" t="s">
        <v>2</v>
      </c>
      <c r="D83" s="57">
        <v>0</v>
      </c>
      <c r="E83" s="41">
        <f>IF(D83="","",_xlfn.XLOOKUP(A83,[4]ריכוז!$A:$A,[4]ריכוז!$D:$D,"אין כזה"))</f>
        <v>1460</v>
      </c>
      <c r="F83" s="10">
        <f t="shared" si="5"/>
        <v>219</v>
      </c>
      <c r="G83" s="10">
        <f t="shared" si="6"/>
        <v>73</v>
      </c>
      <c r="H83" s="10">
        <f t="shared" si="4"/>
        <v>1303.05</v>
      </c>
      <c r="I83" s="57">
        <f t="shared" si="7"/>
        <v>0</v>
      </c>
      <c r="K83" s="38"/>
    </row>
    <row r="84" spans="1:15" ht="28.8" x14ac:dyDescent="0.3">
      <c r="A84" s="63" t="s">
        <v>130</v>
      </c>
      <c r="B84" s="55" t="s">
        <v>131</v>
      </c>
      <c r="C84" s="56" t="s">
        <v>2</v>
      </c>
      <c r="D84" s="57">
        <v>0</v>
      </c>
      <c r="E84" s="41">
        <f>IF(D84="","",_xlfn.XLOOKUP(A84,[4]ריכוז!$A:$A,[4]ריכוז!$D:$D,"אין כזה"))</f>
        <v>1810</v>
      </c>
      <c r="F84" s="10">
        <f t="shared" si="5"/>
        <v>271.5</v>
      </c>
      <c r="G84" s="10">
        <f t="shared" si="6"/>
        <v>90.5</v>
      </c>
      <c r="H84" s="10">
        <f t="shared" si="4"/>
        <v>1615.425</v>
      </c>
      <c r="I84" s="57">
        <f t="shared" si="7"/>
        <v>0</v>
      </c>
      <c r="K84" s="38"/>
    </row>
    <row r="85" spans="1:15" ht="28.2" x14ac:dyDescent="0.3">
      <c r="A85" s="9" t="s">
        <v>204</v>
      </c>
      <c r="B85" s="2" t="s">
        <v>205</v>
      </c>
      <c r="C85" s="3" t="s">
        <v>2</v>
      </c>
      <c r="D85" s="57">
        <v>1</v>
      </c>
      <c r="E85" s="41">
        <v>2200</v>
      </c>
      <c r="F85" s="10">
        <f t="shared" si="5"/>
        <v>330</v>
      </c>
      <c r="G85" s="10">
        <f t="shared" si="6"/>
        <v>110</v>
      </c>
      <c r="H85" s="10">
        <f t="shared" si="4"/>
        <v>1963.5</v>
      </c>
      <c r="I85" s="57">
        <f t="shared" si="7"/>
        <v>1963.5</v>
      </c>
      <c r="K85" s="38"/>
    </row>
    <row r="86" spans="1:15" s="27" customFormat="1" ht="15.6" x14ac:dyDescent="0.3">
      <c r="A86" s="59" t="s">
        <v>132</v>
      </c>
      <c r="B86" s="60" t="s">
        <v>133</v>
      </c>
      <c r="C86" s="61" t="s">
        <v>3</v>
      </c>
      <c r="D86" s="62" t="s">
        <v>3</v>
      </c>
      <c r="E86" s="41" t="str">
        <f>IF(D86="","",_xlfn.XLOOKUP(A86,[4]ריכוז!$A:$A,[4]ריכוז!$D:$D,"אין כזה"))</f>
        <v/>
      </c>
      <c r="F86" s="10" t="str">
        <f t="shared" si="5"/>
        <v/>
      </c>
      <c r="G86" s="10" t="str">
        <f t="shared" si="6"/>
        <v/>
      </c>
      <c r="H86" s="10" t="str">
        <f t="shared" si="4"/>
        <v/>
      </c>
      <c r="I86" s="57" t="str">
        <f t="shared" si="7"/>
        <v/>
      </c>
      <c r="K86" s="38"/>
    </row>
    <row r="87" spans="1:15" s="27" customFormat="1" ht="15.6" x14ac:dyDescent="0.3">
      <c r="A87" s="59" t="s">
        <v>134</v>
      </c>
      <c r="B87" s="60" t="s">
        <v>135</v>
      </c>
      <c r="C87" s="61" t="s">
        <v>3</v>
      </c>
      <c r="D87" s="62" t="s">
        <v>3</v>
      </c>
      <c r="E87" s="41" t="str">
        <f>IF(D87="","",_xlfn.XLOOKUP(A87,[4]ריכוז!$A:$A,[4]ריכוז!$D:$D,"אין כזה"))</f>
        <v/>
      </c>
      <c r="F87" s="10" t="str">
        <f t="shared" si="5"/>
        <v/>
      </c>
      <c r="G87" s="10" t="str">
        <f t="shared" si="6"/>
        <v/>
      </c>
      <c r="H87" s="10" t="str">
        <f t="shared" si="4"/>
        <v/>
      </c>
      <c r="I87" s="57" t="str">
        <f t="shared" si="7"/>
        <v/>
      </c>
      <c r="K87" s="38"/>
    </row>
    <row r="88" spans="1:15" ht="43.2" x14ac:dyDescent="0.3">
      <c r="A88" s="63" t="s">
        <v>136</v>
      </c>
      <c r="B88" s="55" t="s">
        <v>137</v>
      </c>
      <c r="C88" s="56" t="s">
        <v>24</v>
      </c>
      <c r="D88" s="138">
        <v>5.46</v>
      </c>
      <c r="E88" s="41">
        <f>IF(D88="","",_xlfn.XLOOKUP(A88,[4]ריכוז!$A:$A,[4]ריכוז!$D:$D,"אין כזה"))</f>
        <v>129.78142076502732</v>
      </c>
      <c r="F88" s="10">
        <f t="shared" si="5"/>
        <v>19.467213114754099</v>
      </c>
      <c r="G88" s="10">
        <f t="shared" si="6"/>
        <v>6.4890710382513666</v>
      </c>
      <c r="H88" s="10">
        <f t="shared" si="4"/>
        <v>115.82991803278689</v>
      </c>
      <c r="I88" s="57">
        <f t="shared" si="7"/>
        <v>632.43135245901647</v>
      </c>
      <c r="K88" s="38"/>
    </row>
    <row r="89" spans="1:15" x14ac:dyDescent="0.3">
      <c r="A89" s="54" t="s">
        <v>138</v>
      </c>
      <c r="B89" s="55" t="s">
        <v>139</v>
      </c>
      <c r="C89" s="56" t="s">
        <v>2</v>
      </c>
      <c r="D89" s="57">
        <v>1</v>
      </c>
      <c r="E89" s="41">
        <f>IF(D89="","",_xlfn.XLOOKUP(A89,[4]ריכוז!$A:$A,[4]ריכוז!$D:$D,"אין כזה"))</f>
        <v>2375.3501400560222</v>
      </c>
      <c r="F89" s="10">
        <f t="shared" si="5"/>
        <v>356.30252100840329</v>
      </c>
      <c r="G89" s="10">
        <f t="shared" si="6"/>
        <v>118.76750700280111</v>
      </c>
      <c r="H89" s="10">
        <f t="shared" si="4"/>
        <v>2120</v>
      </c>
      <c r="I89" s="57">
        <f t="shared" si="7"/>
        <v>2120</v>
      </c>
      <c r="K89" s="38"/>
    </row>
    <row r="90" spans="1:15" x14ac:dyDescent="0.3">
      <c r="A90" s="54" t="s">
        <v>140</v>
      </c>
      <c r="B90" s="55" t="s">
        <v>141</v>
      </c>
      <c r="C90" s="56" t="s">
        <v>2</v>
      </c>
      <c r="D90" s="57">
        <v>3</v>
      </c>
      <c r="E90" s="41">
        <f>IF(D90="","",_xlfn.XLOOKUP(A90,[4]ריכוז!$A:$A,[4]ריכוז!$D:$D,"אין כזה"))</f>
        <v>950.14005602240888</v>
      </c>
      <c r="F90" s="10">
        <f t="shared" si="5"/>
        <v>142.52100840336132</v>
      </c>
      <c r="G90" s="10">
        <f t="shared" si="6"/>
        <v>47.50700280112045</v>
      </c>
      <c r="H90" s="10">
        <f t="shared" si="4"/>
        <v>848</v>
      </c>
      <c r="I90" s="57">
        <f t="shared" si="7"/>
        <v>2544</v>
      </c>
      <c r="K90" s="38"/>
    </row>
    <row r="91" spans="1:15" ht="28.8" x14ac:dyDescent="0.3">
      <c r="A91" s="54" t="s">
        <v>165</v>
      </c>
      <c r="B91" s="55" t="s">
        <v>166</v>
      </c>
      <c r="C91" s="56" t="s">
        <v>167</v>
      </c>
      <c r="D91" s="96">
        <f>SUM(I17:I20,I25:I27,I29:I30,I32:I34,I36:I38,I42:I45,I64:I65,I89:I90)/0.85/1.05</f>
        <v>56296.370308123245</v>
      </c>
      <c r="E91" s="41">
        <f>IF(D91="","",_xlfn.XLOOKUP(A91,[4]ריכוז!$A:$A,[4]ריכוז!$D:$D,"אין כזה"))</f>
        <v>0.06</v>
      </c>
      <c r="F91" s="10">
        <f t="shared" si="5"/>
        <v>8.9999999999999993E-3</v>
      </c>
      <c r="G91" s="10">
        <f t="shared" si="6"/>
        <v>3.0000000000000001E-3</v>
      </c>
      <c r="H91" s="10">
        <f t="shared" si="4"/>
        <v>5.355E-2</v>
      </c>
      <c r="I91" s="57">
        <f t="shared" si="7"/>
        <v>3014.6706299999996</v>
      </c>
      <c r="K91" s="38"/>
    </row>
    <row r="92" spans="1:15" ht="55.8" x14ac:dyDescent="0.3">
      <c r="A92" s="48" t="s">
        <v>162</v>
      </c>
      <c r="B92" s="2" t="s">
        <v>163</v>
      </c>
      <c r="C92" s="3" t="s">
        <v>164</v>
      </c>
      <c r="D92" s="3">
        <v>0</v>
      </c>
      <c r="E92" s="41">
        <f>IF(D92="","",_xlfn.XLOOKUP(A92,[4]ריכוז!$A:$A,[4]ריכוז!$D:$D,"אין כזה"))</f>
        <v>3500</v>
      </c>
      <c r="F92" s="10">
        <f t="shared" si="5"/>
        <v>525</v>
      </c>
      <c r="G92" s="10">
        <f t="shared" si="6"/>
        <v>175</v>
      </c>
      <c r="H92" s="10">
        <f t="shared" si="4"/>
        <v>3123.75</v>
      </c>
      <c r="I92" s="57">
        <f>H92*D92</f>
        <v>0</v>
      </c>
      <c r="K92" s="38"/>
      <c r="L92"/>
      <c r="M92"/>
      <c r="N92"/>
      <c r="O92"/>
    </row>
    <row r="93" spans="1:15" x14ac:dyDescent="0.3">
      <c r="A93" s="21" t="s">
        <v>3</v>
      </c>
      <c r="B93" s="22" t="s">
        <v>152</v>
      </c>
      <c r="C93" s="23"/>
      <c r="D93" s="24"/>
      <c r="E93" s="25"/>
      <c r="F93" s="24"/>
      <c r="G93" s="24"/>
      <c r="H93" s="24"/>
      <c r="I93" s="31">
        <f>SUMIF(A:A,"01.*",I:I)</f>
        <v>0</v>
      </c>
      <c r="K93"/>
      <c r="L93"/>
      <c r="M93"/>
      <c r="N93"/>
      <c r="O93"/>
    </row>
    <row r="94" spans="1:15" x14ac:dyDescent="0.3">
      <c r="A94" s="21" t="s">
        <v>3</v>
      </c>
      <c r="B94" s="22" t="s">
        <v>153</v>
      </c>
      <c r="C94" s="23"/>
      <c r="D94" s="24"/>
      <c r="E94" s="25"/>
      <c r="F94" s="24"/>
      <c r="G94" s="24"/>
      <c r="H94" s="24"/>
      <c r="I94" s="31">
        <f>SUMIF(A:A,"05.*",I:I)</f>
        <v>0</v>
      </c>
      <c r="K94"/>
      <c r="L94"/>
      <c r="M94"/>
      <c r="N94"/>
      <c r="O94"/>
    </row>
    <row r="95" spans="1:15" x14ac:dyDescent="0.3">
      <c r="A95" s="21" t="s">
        <v>3</v>
      </c>
      <c r="B95" s="22" t="s">
        <v>154</v>
      </c>
      <c r="C95" s="23"/>
      <c r="D95" s="24"/>
      <c r="E95" s="25"/>
      <c r="F95" s="24"/>
      <c r="G95" s="24"/>
      <c r="H95" s="24"/>
      <c r="I95" s="31">
        <f>SUMIF(A:A,"09.*",I:I)</f>
        <v>1956.36</v>
      </c>
      <c r="K95"/>
      <c r="L95"/>
      <c r="M95"/>
      <c r="N95"/>
      <c r="O95"/>
    </row>
    <row r="96" spans="1:15" x14ac:dyDescent="0.3">
      <c r="A96" s="21" t="s">
        <v>3</v>
      </c>
      <c r="B96" s="22" t="s">
        <v>155</v>
      </c>
      <c r="C96" s="23"/>
      <c r="D96" s="24"/>
      <c r="E96" s="25"/>
      <c r="F96" s="24"/>
      <c r="G96" s="24"/>
      <c r="H96" s="24"/>
      <c r="I96" s="31">
        <f>SUMIF(A:A,"11.*",I:I)</f>
        <v>6318.9</v>
      </c>
      <c r="K96"/>
      <c r="L96"/>
      <c r="M96"/>
      <c r="N96"/>
      <c r="O96"/>
    </row>
    <row r="97" spans="1:15" x14ac:dyDescent="0.3">
      <c r="A97" s="21" t="s">
        <v>3</v>
      </c>
      <c r="B97" s="22" t="s">
        <v>156</v>
      </c>
      <c r="C97" s="23"/>
      <c r="D97" s="24"/>
      <c r="E97" s="25"/>
      <c r="F97" s="24"/>
      <c r="G97" s="24"/>
      <c r="H97" s="24"/>
      <c r="I97" s="31">
        <f>SUMIF(A:A,"12.*",I:I)</f>
        <v>64943.742042499995</v>
      </c>
      <c r="K97"/>
      <c r="L97"/>
      <c r="M97"/>
      <c r="N97"/>
      <c r="O97"/>
    </row>
    <row r="98" spans="1:15" x14ac:dyDescent="0.3">
      <c r="A98" s="21" t="s">
        <v>3</v>
      </c>
      <c r="B98" s="22" t="s">
        <v>157</v>
      </c>
      <c r="C98" s="23"/>
      <c r="D98" s="24"/>
      <c r="E98" s="25"/>
      <c r="F98" s="24"/>
      <c r="G98" s="24"/>
      <c r="H98" s="24"/>
      <c r="I98" s="31">
        <f>SUMIF(A:A,"15.*",I:I)</f>
        <v>0</v>
      </c>
      <c r="K98"/>
      <c r="L98"/>
      <c r="M98"/>
      <c r="N98"/>
      <c r="O98"/>
    </row>
    <row r="99" spans="1:15" x14ac:dyDescent="0.3">
      <c r="A99" s="21"/>
      <c r="B99" s="90" t="s">
        <v>181</v>
      </c>
      <c r="C99" s="23"/>
      <c r="D99" s="24"/>
      <c r="E99" s="25"/>
      <c r="F99" s="24"/>
      <c r="G99" s="24"/>
      <c r="H99" s="24"/>
      <c r="I99" s="31">
        <f>SUMIF(A:A,"30.*",I:I)</f>
        <v>815.67360000000008</v>
      </c>
      <c r="K99"/>
      <c r="L99"/>
      <c r="M99"/>
      <c r="N99"/>
      <c r="O99"/>
    </row>
    <row r="100" spans="1:15" x14ac:dyDescent="0.3">
      <c r="A100" s="21" t="s">
        <v>3</v>
      </c>
      <c r="B100" s="22" t="s">
        <v>158</v>
      </c>
      <c r="C100" s="23"/>
      <c r="D100" s="24"/>
      <c r="E100" s="25"/>
      <c r="F100" s="24"/>
      <c r="G100" s="24"/>
      <c r="H100" s="24"/>
      <c r="I100" s="31">
        <f>SUMIF(A:A,"60.*",I:I)</f>
        <v>3614.625</v>
      </c>
      <c r="K100"/>
      <c r="L100"/>
      <c r="M100"/>
      <c r="N100"/>
      <c r="O100"/>
    </row>
    <row r="101" spans="1:15" x14ac:dyDescent="0.3">
      <c r="A101" s="21" t="s">
        <v>3</v>
      </c>
      <c r="B101" s="22" t="s">
        <v>159</v>
      </c>
      <c r="C101" s="23"/>
      <c r="D101" s="24"/>
      <c r="E101" s="25"/>
      <c r="F101" s="24"/>
      <c r="G101" s="24"/>
      <c r="H101" s="24"/>
      <c r="I101" s="31">
        <f>SUMIF(A:A,"85.*",I:I)</f>
        <v>632.43135245901647</v>
      </c>
      <c r="K101"/>
      <c r="L101"/>
      <c r="M101"/>
      <c r="N101"/>
      <c r="O101"/>
    </row>
    <row r="102" spans="1:15" x14ac:dyDescent="0.3">
      <c r="A102" s="28" t="s">
        <v>3</v>
      </c>
      <c r="B102" s="29" t="s">
        <v>160</v>
      </c>
      <c r="C102" s="23"/>
      <c r="D102" s="24"/>
      <c r="E102" s="25"/>
      <c r="F102" s="30"/>
      <c r="G102" s="30"/>
      <c r="H102" s="30"/>
      <c r="I102" s="30">
        <f>SUM(I93:I101)</f>
        <v>78281.731994959002</v>
      </c>
      <c r="K102"/>
      <c r="L102"/>
      <c r="M102"/>
      <c r="N102"/>
      <c r="O102"/>
    </row>
    <row r="103" spans="1:15" x14ac:dyDescent="0.3">
      <c r="A103" s="28" t="s">
        <v>3</v>
      </c>
      <c r="B103" s="29" t="s">
        <v>161</v>
      </c>
      <c r="C103" s="23"/>
      <c r="D103" s="24"/>
      <c r="E103" s="25"/>
      <c r="F103" s="30"/>
      <c r="G103" s="30"/>
      <c r="H103" s="30"/>
      <c r="I103" s="30">
        <f t="shared" ref="I103" si="8">(I102 * (1 / 100 * 18))</f>
        <v>14090.711759092619</v>
      </c>
      <c r="K103"/>
      <c r="L103"/>
      <c r="M103"/>
      <c r="N103"/>
      <c r="O103"/>
    </row>
    <row r="104" spans="1:15" x14ac:dyDescent="0.3">
      <c r="A104" s="32" t="s">
        <v>3</v>
      </c>
      <c r="B104" s="33" t="s">
        <v>160</v>
      </c>
      <c r="C104" s="34"/>
      <c r="D104" s="35"/>
      <c r="E104" s="36"/>
      <c r="F104" s="37"/>
      <c r="G104" s="37"/>
      <c r="H104" s="37"/>
      <c r="I104" s="37">
        <f t="shared" ref="I104" si="9">I102 + I103</f>
        <v>92372.443754051623</v>
      </c>
      <c r="K104"/>
      <c r="L104"/>
      <c r="M104"/>
      <c r="N104"/>
      <c r="O104"/>
    </row>
  </sheetData>
  <conditionalFormatting sqref="A7:D43 C44:D44 A45:D84">
    <cfRule type="expression" dxfId="34" priority="2">
      <formula>$K7="אין"</formula>
    </cfRule>
  </conditionalFormatting>
  <conditionalFormatting sqref="F7:K92 D85 A86:D90 A92:D92 A91:C91">
    <cfRule type="expression" dxfId="33" priority="3">
      <formula>$K7="אין"</formula>
    </cfRule>
  </conditionalFormatting>
  <conditionalFormatting sqref="D91">
    <cfRule type="expression" dxfId="12" priority="1">
      <formula>$K91="אין"</formula>
    </cfRule>
  </conditionalFormatting>
  <pageMargins left="0.25" right="0.25" top="0.75" bottom="0.75" header="0.3" footer="0.3"/>
  <pageSetup paperSize="9" scale="78" fitToHeight="0"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19AA5-FA9A-456F-AD59-2C59C151C93F}">
  <sheetPr>
    <tabColor rgb="FFFFFF00"/>
  </sheetPr>
  <dimension ref="A1:O104"/>
  <sheetViews>
    <sheetView rightToLeft="1" zoomScale="70" zoomScaleNormal="70" workbookViewId="0">
      <selection activeCell="D92" sqref="D92"/>
    </sheetView>
  </sheetViews>
  <sheetFormatPr defaultColWidth="8.69921875" defaultRowHeight="14.4" x14ac:dyDescent="0.3"/>
  <cols>
    <col min="1" max="1" width="11.69921875" style="38" customWidth="1"/>
    <col min="2" max="2" width="63" style="13" customWidth="1"/>
    <col min="3" max="3" width="8.19921875" style="39" customWidth="1"/>
    <col min="4" max="4" width="10.09765625" style="14" customWidth="1"/>
    <col min="5" max="5" width="11.19921875" style="15" bestFit="1" customWidth="1"/>
    <col min="6" max="6" width="10.19921875" style="14" customWidth="1"/>
    <col min="7" max="7" width="12.19921875" style="14" customWidth="1"/>
    <col min="8" max="8" width="14" style="13" bestFit="1" customWidth="1"/>
    <col min="9" max="9" width="13.3984375" style="13" bestFit="1" customWidth="1"/>
    <col min="10" max="10" width="8.69921875" style="13"/>
    <col min="11" max="11" width="13.19921875" style="13" bestFit="1" customWidth="1"/>
    <col min="12" max="12" width="11.19921875" style="13" bestFit="1" customWidth="1"/>
    <col min="13" max="16384" width="8.69921875" style="13"/>
  </cols>
  <sheetData>
    <row r="1" spans="1:11" ht="17.399999999999999" x14ac:dyDescent="0.3">
      <c r="A1" s="12"/>
      <c r="C1" s="89" t="s">
        <v>227</v>
      </c>
      <c r="D1" s="40">
        <v>1808</v>
      </c>
    </row>
    <row r="3" spans="1:11" ht="21" x14ac:dyDescent="0.4">
      <c r="A3" s="16"/>
      <c r="B3" s="17"/>
      <c r="C3" s="18"/>
      <c r="D3" s="19"/>
      <c r="E3" s="20"/>
      <c r="F3" s="19"/>
      <c r="G3" s="19"/>
      <c r="H3" s="19"/>
      <c r="I3" s="19"/>
    </row>
    <row r="4" spans="1:11" x14ac:dyDescent="0.3">
      <c r="A4" s="21"/>
      <c r="B4" s="22"/>
      <c r="C4" s="23"/>
      <c r="D4" s="24"/>
      <c r="E4" s="25"/>
      <c r="F4" s="24"/>
      <c r="G4" s="24"/>
      <c r="H4" s="24"/>
      <c r="I4" s="24"/>
    </row>
    <row r="5" spans="1:11" ht="15" thickBot="1" x14ac:dyDescent="0.35">
      <c r="A5" s="21"/>
      <c r="B5" s="22"/>
      <c r="C5" s="23"/>
      <c r="D5" s="24"/>
      <c r="E5" s="25"/>
      <c r="F5" s="24"/>
      <c r="G5" s="26"/>
      <c r="H5" s="26"/>
      <c r="I5" s="24"/>
    </row>
    <row r="6" spans="1:11" ht="29.4" thickTop="1" x14ac:dyDescent="0.3">
      <c r="A6" s="50" t="s">
        <v>0</v>
      </c>
      <c r="B6" s="51" t="s">
        <v>1</v>
      </c>
      <c r="C6" s="52" t="s">
        <v>2</v>
      </c>
      <c r="D6" s="53" t="s">
        <v>147</v>
      </c>
      <c r="E6" s="66" t="s">
        <v>142</v>
      </c>
      <c r="F6" s="66" t="s">
        <v>143</v>
      </c>
      <c r="G6" s="66" t="s">
        <v>144</v>
      </c>
      <c r="H6" s="66" t="s">
        <v>145</v>
      </c>
      <c r="I6" s="53" t="s">
        <v>151</v>
      </c>
    </row>
    <row r="7" spans="1:11" x14ac:dyDescent="0.3">
      <c r="A7" s="63" t="s">
        <v>179</v>
      </c>
      <c r="B7" s="55" t="s">
        <v>180</v>
      </c>
      <c r="C7" s="56" t="s">
        <v>125</v>
      </c>
      <c r="D7" s="14">
        <v>2</v>
      </c>
      <c r="E7" s="41">
        <f>IF(D7="","",_xlfn.XLOOKUP(A7,[4]ריכוז!$A:$A,[4]ריכוז!$D:$D,"אין כזה"))</f>
        <v>150</v>
      </c>
      <c r="F7" s="10">
        <f>IF(E7="","",E7*0.15)</f>
        <v>22.5</v>
      </c>
      <c r="G7" s="10">
        <f>IF(E7="","",E7*0.05)</f>
        <v>7.5</v>
      </c>
      <c r="H7" s="10">
        <f>IF(E7="","",E7*1.05*0.85)</f>
        <v>133.875</v>
      </c>
      <c r="I7" s="57">
        <f>IF(D7="","",H7*D7)</f>
        <v>267.75</v>
      </c>
      <c r="K7" s="38"/>
    </row>
    <row r="8" spans="1:11" s="27" customFormat="1" ht="15.6" x14ac:dyDescent="0.3">
      <c r="A8" s="59" t="s">
        <v>5</v>
      </c>
      <c r="B8" s="60" t="s">
        <v>6</v>
      </c>
      <c r="C8" s="61" t="s">
        <v>3</v>
      </c>
      <c r="D8" s="62" t="s">
        <v>3</v>
      </c>
      <c r="E8" s="41" t="str">
        <f>IF(D8="","",_xlfn.XLOOKUP(A8,[4]ריכוז!$A:$A,[4]ריכוז!$D:$D,"אין כזה"))</f>
        <v/>
      </c>
      <c r="F8" s="62" t="s">
        <v>3</v>
      </c>
      <c r="G8" s="62"/>
      <c r="H8" s="10" t="str">
        <f t="shared" ref="H8:H77" si="0">IF(E8="","",E8*1.05*0.85)</f>
        <v/>
      </c>
      <c r="I8" s="62"/>
      <c r="K8" s="38"/>
    </row>
    <row r="9" spans="1:11" s="27" customFormat="1" ht="15.6" x14ac:dyDescent="0.3">
      <c r="A9" s="59" t="s">
        <v>7</v>
      </c>
      <c r="B9" s="60" t="s">
        <v>8</v>
      </c>
      <c r="C9" s="61" t="s">
        <v>3</v>
      </c>
      <c r="D9" s="62" t="s">
        <v>3</v>
      </c>
      <c r="E9" s="41" t="str">
        <f>IF(D9="","",_xlfn.XLOOKUP(A9,[4]ריכוז!$A:$A,[4]ריכוז!$D:$D,"אין כזה"))</f>
        <v/>
      </c>
      <c r="F9" s="62" t="s">
        <v>3</v>
      </c>
      <c r="G9" s="62"/>
      <c r="H9" s="10" t="str">
        <f t="shared" si="0"/>
        <v/>
      </c>
      <c r="I9" s="62"/>
      <c r="K9" s="38"/>
    </row>
    <row r="10" spans="1:11" ht="57.6" x14ac:dyDescent="0.3">
      <c r="A10" s="63" t="s">
        <v>9</v>
      </c>
      <c r="B10" s="55" t="s">
        <v>10</v>
      </c>
      <c r="C10" s="56" t="s">
        <v>4</v>
      </c>
      <c r="D10" s="57">
        <v>41.24</v>
      </c>
      <c r="E10" s="41">
        <f>IF(D10="","",_xlfn.XLOOKUP(A10,[4]ריכוז!$A:$A,[4]ריכוז!$D:$D,"אין כזה"))</f>
        <v>64</v>
      </c>
      <c r="F10" s="10">
        <f>IF(E10="","",E10*0.15)</f>
        <v>9.6</v>
      </c>
      <c r="G10" s="10">
        <f>IF(E10="","",E10*0.05)</f>
        <v>3.2</v>
      </c>
      <c r="H10" s="10">
        <f t="shared" si="0"/>
        <v>57.12</v>
      </c>
      <c r="I10" s="57">
        <f>IF(D10="","",H10*D10)</f>
        <v>2355.6288</v>
      </c>
      <c r="K10" s="38"/>
    </row>
    <row r="11" spans="1:11" s="27" customFormat="1" ht="15.6" x14ac:dyDescent="0.3">
      <c r="A11" s="59" t="s">
        <v>11</v>
      </c>
      <c r="B11" s="60" t="s">
        <v>12</v>
      </c>
      <c r="C11" s="61" t="s">
        <v>3</v>
      </c>
      <c r="D11" s="62" t="s">
        <v>3</v>
      </c>
      <c r="E11" s="41" t="str">
        <f>IF(D11="","",_xlfn.XLOOKUP(A11,[4]ריכוז!$A:$A,[4]ריכוז!$D:$D,"אין כזה"))</f>
        <v/>
      </c>
      <c r="F11" s="10" t="str">
        <f t="shared" ref="F11:F81" si="1">IF(E11="","",E11*0.15)</f>
        <v/>
      </c>
      <c r="G11" s="10" t="str">
        <f t="shared" ref="G11:G81" si="2">IF(E11="","",E11*0.05)</f>
        <v/>
      </c>
      <c r="H11" s="10" t="str">
        <f t="shared" si="0"/>
        <v/>
      </c>
      <c r="I11" s="57" t="str">
        <f t="shared" ref="I11:I81" si="3">IF(D11="","",H11*D11)</f>
        <v/>
      </c>
      <c r="K11" s="38"/>
    </row>
    <row r="12" spans="1:11" s="27" customFormat="1" ht="15.6" x14ac:dyDescent="0.3">
      <c r="A12" s="59" t="s">
        <v>13</v>
      </c>
      <c r="B12" s="60" t="s">
        <v>14</v>
      </c>
      <c r="C12" s="61" t="s">
        <v>3</v>
      </c>
      <c r="D12" s="62" t="s">
        <v>3</v>
      </c>
      <c r="E12" s="41" t="str">
        <f>IF(D12="","",_xlfn.XLOOKUP(A12,[4]ריכוז!$A:$A,[4]ריכוז!$D:$D,"אין כזה"))</f>
        <v/>
      </c>
      <c r="F12" s="10" t="str">
        <f t="shared" si="1"/>
        <v/>
      </c>
      <c r="G12" s="10" t="str">
        <f t="shared" si="2"/>
        <v/>
      </c>
      <c r="H12" s="10" t="str">
        <f t="shared" si="0"/>
        <v/>
      </c>
      <c r="I12" s="57" t="str">
        <f t="shared" si="3"/>
        <v/>
      </c>
      <c r="K12" s="38"/>
    </row>
    <row r="13" spans="1:11" ht="43.2" x14ac:dyDescent="0.3">
      <c r="A13" s="63" t="s">
        <v>15</v>
      </c>
      <c r="B13" s="55" t="s">
        <v>16</v>
      </c>
      <c r="C13" s="56" t="s">
        <v>17</v>
      </c>
      <c r="D13" s="57">
        <v>4</v>
      </c>
      <c r="E13" s="41">
        <f>IF(D13="","",_xlfn.XLOOKUP(A13,[4]ריכוז!$A:$A,[4]ריכוז!$D:$D,"אין כזה"))</f>
        <v>1770</v>
      </c>
      <c r="F13" s="10">
        <f t="shared" si="1"/>
        <v>265.5</v>
      </c>
      <c r="G13" s="10">
        <f t="shared" si="2"/>
        <v>88.5</v>
      </c>
      <c r="H13" s="10">
        <f t="shared" si="0"/>
        <v>1579.7249999999999</v>
      </c>
      <c r="I13" s="57">
        <f t="shared" si="3"/>
        <v>6318.9</v>
      </c>
      <c r="K13" s="38"/>
    </row>
    <row r="14" spans="1:11" x14ac:dyDescent="0.3">
      <c r="A14" s="54"/>
      <c r="B14" s="55"/>
      <c r="C14" s="56"/>
      <c r="D14" s="57"/>
      <c r="E14" s="41" t="str">
        <f>IF(D14="","",_xlfn.XLOOKUP(A14,[4]ריכוז!$A:$A,[4]ריכוז!$D:$D,"אין כזה"))</f>
        <v/>
      </c>
      <c r="F14" s="10" t="str">
        <f t="shared" si="1"/>
        <v/>
      </c>
      <c r="G14" s="10" t="str">
        <f t="shared" si="2"/>
        <v/>
      </c>
      <c r="H14" s="10" t="str">
        <f t="shared" si="0"/>
        <v/>
      </c>
      <c r="I14" s="57" t="str">
        <f t="shared" si="3"/>
        <v/>
      </c>
      <c r="K14" s="38"/>
    </row>
    <row r="15" spans="1:11" s="27" customFormat="1" ht="15.6" x14ac:dyDescent="0.3">
      <c r="A15" s="59" t="s">
        <v>18</v>
      </c>
      <c r="B15" s="60" t="s">
        <v>19</v>
      </c>
      <c r="C15" s="61" t="s">
        <v>3</v>
      </c>
      <c r="D15" s="62"/>
      <c r="E15" s="41" t="str">
        <f>IF(D15="","",_xlfn.XLOOKUP(A15,[4]ריכוז!$A:$A,[4]ריכוז!$D:$D,"אין כזה"))</f>
        <v/>
      </c>
      <c r="F15" s="10" t="str">
        <f t="shared" si="1"/>
        <v/>
      </c>
      <c r="G15" s="10" t="str">
        <f t="shared" si="2"/>
        <v/>
      </c>
      <c r="H15" s="10" t="str">
        <f t="shared" si="0"/>
        <v/>
      </c>
      <c r="I15" s="57" t="str">
        <f t="shared" si="3"/>
        <v/>
      </c>
      <c r="K15" s="38"/>
    </row>
    <row r="16" spans="1:11" s="27" customFormat="1" ht="15.6" x14ac:dyDescent="0.3">
      <c r="A16" s="59" t="s">
        <v>20</v>
      </c>
      <c r="B16" s="60" t="s">
        <v>21</v>
      </c>
      <c r="C16" s="61" t="s">
        <v>3</v>
      </c>
      <c r="D16" s="62" t="s">
        <v>3</v>
      </c>
      <c r="E16" s="41" t="str">
        <f>IF(D16="","",_xlfn.XLOOKUP(A16,[4]ריכוז!$A:$A,[4]ריכוז!$D:$D,"אין כזה"))</f>
        <v/>
      </c>
      <c r="F16" s="10" t="str">
        <f t="shared" si="1"/>
        <v/>
      </c>
      <c r="G16" s="10" t="str">
        <f t="shared" si="2"/>
        <v/>
      </c>
      <c r="H16" s="10" t="str">
        <f t="shared" si="0"/>
        <v/>
      </c>
      <c r="I16" s="57" t="str">
        <f t="shared" si="3"/>
        <v/>
      </c>
      <c r="K16" s="38"/>
    </row>
    <row r="17" spans="1:11" ht="28.8" x14ac:dyDescent="0.3">
      <c r="A17" s="63" t="s">
        <v>22</v>
      </c>
      <c r="B17" s="55" t="s">
        <v>23</v>
      </c>
      <c r="C17" s="56" t="s">
        <v>24</v>
      </c>
      <c r="D17" s="57">
        <v>0</v>
      </c>
      <c r="E17" s="41">
        <f>IF(D17="","",_xlfn.XLOOKUP(A17,[4]ריכוז!$A:$A,[4]ריכוז!$D:$D,"אין כזה"))</f>
        <v>1760</v>
      </c>
      <c r="F17" s="10">
        <f t="shared" si="1"/>
        <v>264</v>
      </c>
      <c r="G17" s="10">
        <f t="shared" si="2"/>
        <v>88</v>
      </c>
      <c r="H17" s="10">
        <f t="shared" si="0"/>
        <v>1570.8</v>
      </c>
      <c r="I17" s="57">
        <f t="shared" si="3"/>
        <v>0</v>
      </c>
      <c r="K17" s="38"/>
    </row>
    <row r="18" spans="1:11" ht="28.8" x14ac:dyDescent="0.3">
      <c r="A18" s="63" t="s">
        <v>25</v>
      </c>
      <c r="B18" s="55" t="s">
        <v>26</v>
      </c>
      <c r="C18" s="56" t="s">
        <v>24</v>
      </c>
      <c r="D18" s="138">
        <f>1.4*1.24+1.4*1.02+1.44*1.4*3</f>
        <v>9.2119999999999997</v>
      </c>
      <c r="E18" s="41">
        <f>IF(D18="","",_xlfn.XLOOKUP(A18,[4]ריכוז!$A:$A,[4]ריכוז!$D:$D,"אין כזה"))</f>
        <v>1980</v>
      </c>
      <c r="F18" s="10">
        <f t="shared" si="1"/>
        <v>297</v>
      </c>
      <c r="G18" s="10">
        <f t="shared" si="2"/>
        <v>99</v>
      </c>
      <c r="H18" s="10">
        <f t="shared" si="0"/>
        <v>1767.1499999999999</v>
      </c>
      <c r="I18" s="57">
        <f t="shared" si="3"/>
        <v>16278.985799999999</v>
      </c>
      <c r="K18" s="38"/>
    </row>
    <row r="19" spans="1:11" ht="28.8" x14ac:dyDescent="0.3">
      <c r="A19" s="63" t="s">
        <v>27</v>
      </c>
      <c r="B19" s="55" t="s">
        <v>28</v>
      </c>
      <c r="C19" s="56" t="s">
        <v>24</v>
      </c>
      <c r="D19" s="57">
        <v>0</v>
      </c>
      <c r="E19" s="41">
        <f>IF(D19="","",_xlfn.XLOOKUP(A19,[4]ריכוז!$A:$A,[4]ריכוז!$D:$D,"אין כזה"))</f>
        <v>2210</v>
      </c>
      <c r="F19" s="10">
        <f t="shared" si="1"/>
        <v>331.5</v>
      </c>
      <c r="G19" s="10">
        <f t="shared" si="2"/>
        <v>110.5</v>
      </c>
      <c r="H19" s="10">
        <f t="shared" si="0"/>
        <v>1972.425</v>
      </c>
      <c r="I19" s="57">
        <f t="shared" si="3"/>
        <v>0</v>
      </c>
      <c r="K19" s="38"/>
    </row>
    <row r="20" spans="1:11" ht="28.8" x14ac:dyDescent="0.3">
      <c r="A20" s="63" t="s">
        <v>29</v>
      </c>
      <c r="B20" s="55" t="s">
        <v>30</v>
      </c>
      <c r="C20" s="56" t="s">
        <v>17</v>
      </c>
      <c r="D20" s="57">
        <f>(D18*E18+D19*E19+D26*E26)*0</f>
        <v>0</v>
      </c>
      <c r="E20" s="41">
        <f>IF(D20="","",_xlfn.XLOOKUP(A20,[4]ריכוז!$A:$A,[4]ריכוז!$D:$D,"אין כזה"))</f>
        <v>0.15</v>
      </c>
      <c r="F20" s="10">
        <f t="shared" si="1"/>
        <v>2.2499999999999999E-2</v>
      </c>
      <c r="G20" s="10">
        <f t="shared" si="2"/>
        <v>7.4999999999999997E-3</v>
      </c>
      <c r="H20" s="10">
        <f t="shared" si="0"/>
        <v>0.13387499999999999</v>
      </c>
      <c r="I20" s="57">
        <f t="shared" si="3"/>
        <v>0</v>
      </c>
      <c r="K20" s="38"/>
    </row>
    <row r="21" spans="1:11" x14ac:dyDescent="0.3">
      <c r="A21" s="63" t="s">
        <v>31</v>
      </c>
      <c r="B21" s="55" t="s">
        <v>32</v>
      </c>
      <c r="C21" s="56" t="s">
        <v>2</v>
      </c>
      <c r="D21" s="138">
        <v>3</v>
      </c>
      <c r="E21" s="41">
        <f>IF(D21="","",_xlfn.XLOOKUP(A21,[4]ריכוז!$A:$A,[4]ריכוז!$D:$D,"אין כזה"))</f>
        <v>140</v>
      </c>
      <c r="F21" s="10">
        <f t="shared" si="1"/>
        <v>21</v>
      </c>
      <c r="G21" s="10">
        <f t="shared" si="2"/>
        <v>7</v>
      </c>
      <c r="H21" s="10">
        <f t="shared" si="0"/>
        <v>124.95</v>
      </c>
      <c r="I21" s="57">
        <f t="shared" si="3"/>
        <v>374.85</v>
      </c>
      <c r="K21" s="38"/>
    </row>
    <row r="22" spans="1:11" x14ac:dyDescent="0.3">
      <c r="A22" s="63" t="s">
        <v>33</v>
      </c>
      <c r="B22" s="55" t="s">
        <v>34</v>
      </c>
      <c r="C22" s="56" t="s">
        <v>2</v>
      </c>
      <c r="D22" s="138">
        <v>3</v>
      </c>
      <c r="E22" s="41">
        <f>IF(D22="","",_xlfn.XLOOKUP(A22,[4]ריכוז!$A:$A,[4]ריכוז!$D:$D,"אין כזה"))</f>
        <v>240</v>
      </c>
      <c r="F22" s="10">
        <f t="shared" si="1"/>
        <v>36</v>
      </c>
      <c r="G22" s="10">
        <f t="shared" si="2"/>
        <v>12</v>
      </c>
      <c r="H22" s="10">
        <f t="shared" si="0"/>
        <v>214.2</v>
      </c>
      <c r="I22" s="57">
        <f t="shared" si="3"/>
        <v>642.59999999999991</v>
      </c>
      <c r="K22" s="38"/>
    </row>
    <row r="23" spans="1:11" x14ac:dyDescent="0.3">
      <c r="A23" s="63" t="s">
        <v>35</v>
      </c>
      <c r="B23" s="55" t="s">
        <v>36</v>
      </c>
      <c r="C23" s="56" t="s">
        <v>2</v>
      </c>
      <c r="D23" s="57">
        <v>0</v>
      </c>
      <c r="E23" s="41">
        <f>IF(D23="","",_xlfn.XLOOKUP(A23,[4]ריכוז!$A:$A,[4]ריכוז!$D:$D,"אין כזה"))</f>
        <v>310</v>
      </c>
      <c r="F23" s="10">
        <f t="shared" si="1"/>
        <v>46.5</v>
      </c>
      <c r="G23" s="10">
        <f t="shared" si="2"/>
        <v>15.5</v>
      </c>
      <c r="H23" s="10">
        <f t="shared" si="0"/>
        <v>276.67500000000001</v>
      </c>
      <c r="I23" s="57">
        <f t="shared" si="3"/>
        <v>0</v>
      </c>
      <c r="K23" s="38"/>
    </row>
    <row r="24" spans="1:11" s="27" customFormat="1" ht="15.6" x14ac:dyDescent="0.3">
      <c r="A24" s="59" t="s">
        <v>37</v>
      </c>
      <c r="B24" s="60" t="s">
        <v>38</v>
      </c>
      <c r="C24" s="61" t="s">
        <v>3</v>
      </c>
      <c r="D24" s="62" t="s">
        <v>3</v>
      </c>
      <c r="E24" s="41" t="str">
        <f>IF(D24="","",_xlfn.XLOOKUP(A24,[4]ריכוז!$A:$A,[4]ריכוז!$D:$D,"אין כזה"))</f>
        <v/>
      </c>
      <c r="F24" s="10" t="str">
        <f t="shared" si="1"/>
        <v/>
      </c>
      <c r="G24" s="10" t="str">
        <f t="shared" si="2"/>
        <v/>
      </c>
      <c r="H24" s="10" t="str">
        <f t="shared" si="0"/>
        <v/>
      </c>
      <c r="I24" s="57" t="str">
        <f t="shared" si="3"/>
        <v/>
      </c>
      <c r="K24" s="38"/>
    </row>
    <row r="25" spans="1:11" ht="28.8" x14ac:dyDescent="0.3">
      <c r="A25" s="63" t="s">
        <v>39</v>
      </c>
      <c r="B25" s="55" t="s">
        <v>40</v>
      </c>
      <c r="C25" s="56" t="s">
        <v>24</v>
      </c>
      <c r="D25" s="57">
        <v>0</v>
      </c>
      <c r="E25" s="41">
        <f>IF(D25="","",_xlfn.XLOOKUP(A25,[4]ריכוז!$A:$A,[4]ריכוז!$D:$D,"אין כזה"))</f>
        <v>2220</v>
      </c>
      <c r="F25" s="10">
        <f t="shared" si="1"/>
        <v>333</v>
      </c>
      <c r="G25" s="10">
        <f t="shared" si="2"/>
        <v>111</v>
      </c>
      <c r="H25" s="10">
        <f t="shared" si="0"/>
        <v>1981.35</v>
      </c>
      <c r="I25" s="57">
        <f t="shared" si="3"/>
        <v>0</v>
      </c>
      <c r="K25" s="38"/>
    </row>
    <row r="26" spans="1:11" ht="28.8" x14ac:dyDescent="0.3">
      <c r="A26" s="63" t="s">
        <v>188</v>
      </c>
      <c r="B26" s="55" t="s">
        <v>40</v>
      </c>
      <c r="C26" s="56" t="s">
        <v>24</v>
      </c>
      <c r="D26" s="57">
        <v>0</v>
      </c>
      <c r="E26" s="41">
        <f>IF(D26="","",_xlfn.XLOOKUP(A26,[4]ריכוז!$A:$A,[4]ריכוז!$D:$D,"אין כזה"))</f>
        <v>2790</v>
      </c>
      <c r="F26" s="10">
        <f t="shared" si="1"/>
        <v>418.5</v>
      </c>
      <c r="G26" s="10">
        <f t="shared" si="2"/>
        <v>139.5</v>
      </c>
      <c r="H26" s="10">
        <f t="shared" si="0"/>
        <v>2490.0749999999998</v>
      </c>
      <c r="I26" s="57">
        <f t="shared" si="3"/>
        <v>0</v>
      </c>
      <c r="K26" s="38"/>
    </row>
    <row r="27" spans="1:11" ht="28.8" x14ac:dyDescent="0.3">
      <c r="A27" s="63" t="s">
        <v>41</v>
      </c>
      <c r="B27" s="55" t="s">
        <v>42</v>
      </c>
      <c r="C27" s="56" t="s">
        <v>24</v>
      </c>
      <c r="D27" s="57">
        <v>0</v>
      </c>
      <c r="E27" s="41">
        <f>IF(D27="","",_xlfn.XLOOKUP(A27,[4]ריכוז!$A:$A,[4]ריכוז!$D:$D,"אין כזה"))</f>
        <v>2700</v>
      </c>
      <c r="F27" s="10">
        <f t="shared" si="1"/>
        <v>405</v>
      </c>
      <c r="G27" s="10">
        <f t="shared" si="2"/>
        <v>135</v>
      </c>
      <c r="H27" s="10">
        <f t="shared" si="0"/>
        <v>2409.75</v>
      </c>
      <c r="I27" s="57">
        <f t="shared" si="3"/>
        <v>0</v>
      </c>
      <c r="K27" s="38"/>
    </row>
    <row r="28" spans="1:11" s="27" customFormat="1" ht="15.6" x14ac:dyDescent="0.3">
      <c r="A28" s="59" t="s">
        <v>43</v>
      </c>
      <c r="B28" s="60" t="s">
        <v>44</v>
      </c>
      <c r="C28" s="61" t="s">
        <v>3</v>
      </c>
      <c r="D28" s="62" t="s">
        <v>3</v>
      </c>
      <c r="E28" s="41" t="str">
        <f>IF(D28="","",_xlfn.XLOOKUP(A28,[4]ריכוז!$A:$A,[4]ריכוז!$D:$D,"אין כזה"))</f>
        <v/>
      </c>
      <c r="F28" s="10" t="str">
        <f t="shared" si="1"/>
        <v/>
      </c>
      <c r="G28" s="10" t="str">
        <f t="shared" si="2"/>
        <v/>
      </c>
      <c r="H28" s="10" t="str">
        <f t="shared" si="0"/>
        <v/>
      </c>
      <c r="I28" s="57" t="str">
        <f t="shared" si="3"/>
        <v/>
      </c>
      <c r="K28" s="38"/>
    </row>
    <row r="29" spans="1:11" ht="28.8" x14ac:dyDescent="0.3">
      <c r="A29" s="63" t="s">
        <v>45</v>
      </c>
      <c r="B29" s="55" t="s">
        <v>46</v>
      </c>
      <c r="C29" s="56" t="s">
        <v>2</v>
      </c>
      <c r="D29" s="57">
        <v>0</v>
      </c>
      <c r="E29" s="41">
        <f>IF(D29="","",_xlfn.XLOOKUP(A29,[4]ריכוז!$A:$A,[4]ריכוז!$D:$D,"אין כזה"))</f>
        <v>1310</v>
      </c>
      <c r="F29" s="10">
        <f t="shared" si="1"/>
        <v>196.5</v>
      </c>
      <c r="G29" s="10">
        <f t="shared" si="2"/>
        <v>65.5</v>
      </c>
      <c r="H29" s="10">
        <f t="shared" si="0"/>
        <v>1169.175</v>
      </c>
      <c r="I29" s="57">
        <f t="shared" si="3"/>
        <v>0</v>
      </c>
      <c r="K29" s="38"/>
    </row>
    <row r="30" spans="1:11" ht="28.8" x14ac:dyDescent="0.3">
      <c r="A30" s="63" t="s">
        <v>47</v>
      </c>
      <c r="B30" s="55" t="s">
        <v>48</v>
      </c>
      <c r="C30" s="56" t="s">
        <v>2</v>
      </c>
      <c r="D30" s="57">
        <v>0</v>
      </c>
      <c r="E30" s="41">
        <f>IF(D30="","",_xlfn.XLOOKUP(A30,[4]ריכוז!$A:$A,[4]ריכוז!$D:$D,"אין כזה"))</f>
        <v>2090</v>
      </c>
      <c r="F30" s="10">
        <f t="shared" si="1"/>
        <v>313.5</v>
      </c>
      <c r="G30" s="10">
        <f t="shared" si="2"/>
        <v>104.5</v>
      </c>
      <c r="H30" s="10">
        <f t="shared" si="0"/>
        <v>1865.325</v>
      </c>
      <c r="I30" s="57">
        <f t="shared" si="3"/>
        <v>0</v>
      </c>
      <c r="K30" s="38"/>
    </row>
    <row r="31" spans="1:11" s="27" customFormat="1" ht="15.6" x14ac:dyDescent="0.3">
      <c r="A31" s="59" t="s">
        <v>50</v>
      </c>
      <c r="B31" s="60" t="s">
        <v>51</v>
      </c>
      <c r="C31" s="61" t="s">
        <v>3</v>
      </c>
      <c r="D31" s="62" t="s">
        <v>3</v>
      </c>
      <c r="E31" s="41" t="str">
        <f>IF(D31="","",_xlfn.XLOOKUP(A31,[4]ריכוז!$A:$A,[4]ריכוז!$D:$D,"אין כזה"))</f>
        <v/>
      </c>
      <c r="F31" s="10" t="str">
        <f t="shared" si="1"/>
        <v/>
      </c>
      <c r="G31" s="10" t="str">
        <f t="shared" si="2"/>
        <v/>
      </c>
      <c r="H31" s="10" t="str">
        <f t="shared" si="0"/>
        <v/>
      </c>
      <c r="I31" s="57" t="str">
        <f t="shared" si="3"/>
        <v/>
      </c>
      <c r="K31" s="38"/>
    </row>
    <row r="32" spans="1:11" ht="28.8" x14ac:dyDescent="0.3">
      <c r="A32" s="63" t="s">
        <v>52</v>
      </c>
      <c r="B32" s="55" t="s">
        <v>53</v>
      </c>
      <c r="C32" s="56" t="s">
        <v>24</v>
      </c>
      <c r="D32" s="57">
        <v>0</v>
      </c>
      <c r="E32" s="41">
        <f>IF(D32="","",_xlfn.XLOOKUP(A32,[4]ריכוז!$A:$A,[4]ריכוז!$D:$D,"אין כזה"))</f>
        <v>1760</v>
      </c>
      <c r="F32" s="10">
        <f t="shared" si="1"/>
        <v>264</v>
      </c>
      <c r="G32" s="10">
        <f t="shared" si="2"/>
        <v>88</v>
      </c>
      <c r="H32" s="10">
        <f t="shared" si="0"/>
        <v>1570.8</v>
      </c>
      <c r="I32" s="57">
        <f t="shared" si="3"/>
        <v>0</v>
      </c>
      <c r="K32" s="38"/>
    </row>
    <row r="33" spans="1:11" ht="28.8" x14ac:dyDescent="0.3">
      <c r="A33" s="63" t="s">
        <v>54</v>
      </c>
      <c r="B33" s="55" t="s">
        <v>55</v>
      </c>
      <c r="C33" s="56" t="s">
        <v>24</v>
      </c>
      <c r="D33" s="57">
        <v>0</v>
      </c>
      <c r="E33" s="41">
        <f>IF(D33="","",_xlfn.XLOOKUP(A33,[4]ריכוז!$A:$A,[4]ריכוז!$D:$D,"אין כזה"))</f>
        <v>1850</v>
      </c>
      <c r="F33" s="10">
        <f t="shared" si="1"/>
        <v>277.5</v>
      </c>
      <c r="G33" s="10">
        <f t="shared" si="2"/>
        <v>92.5</v>
      </c>
      <c r="H33" s="10">
        <f t="shared" si="0"/>
        <v>1651.125</v>
      </c>
      <c r="I33" s="57">
        <f t="shared" si="3"/>
        <v>0</v>
      </c>
      <c r="K33" s="143"/>
    </row>
    <row r="34" spans="1:11" ht="28.8" x14ac:dyDescent="0.3">
      <c r="A34" s="63" t="s">
        <v>56</v>
      </c>
      <c r="B34" s="55" t="s">
        <v>57</v>
      </c>
      <c r="C34" s="56" t="s">
        <v>24</v>
      </c>
      <c r="D34" s="57">
        <v>8.7360000000000007</v>
      </c>
      <c r="E34" s="41">
        <f>IF(D34="","",_xlfn.XLOOKUP(A34,[4]ריכוז!$A:$A,[4]ריכוז!$D:$D,"אין כזה"))</f>
        <v>1680</v>
      </c>
      <c r="F34" s="10">
        <f t="shared" si="1"/>
        <v>252</v>
      </c>
      <c r="G34" s="10">
        <f t="shared" si="2"/>
        <v>84</v>
      </c>
      <c r="H34" s="10">
        <f t="shared" si="0"/>
        <v>1499.3999999999999</v>
      </c>
      <c r="I34" s="57">
        <f t="shared" si="3"/>
        <v>13098.758400000001</v>
      </c>
      <c r="K34" s="38"/>
    </row>
    <row r="35" spans="1:11" s="27" customFormat="1" ht="15.6" x14ac:dyDescent="0.3">
      <c r="A35" s="59" t="s">
        <v>58</v>
      </c>
      <c r="B35" s="60" t="s">
        <v>59</v>
      </c>
      <c r="C35" s="61" t="s">
        <v>3</v>
      </c>
      <c r="D35" s="62" t="s">
        <v>3</v>
      </c>
      <c r="E35" s="41" t="str">
        <f>IF(D35="","",_xlfn.XLOOKUP(A35,[4]ריכוז!$A:$A,[4]ריכוז!$D:$D,"אין כזה"))</f>
        <v/>
      </c>
      <c r="F35" s="10" t="str">
        <f t="shared" si="1"/>
        <v/>
      </c>
      <c r="G35" s="10" t="str">
        <f t="shared" si="2"/>
        <v/>
      </c>
      <c r="H35" s="10" t="str">
        <f t="shared" si="0"/>
        <v/>
      </c>
      <c r="I35" s="57" t="str">
        <f t="shared" si="3"/>
        <v/>
      </c>
      <c r="K35" s="38"/>
    </row>
    <row r="36" spans="1:11" s="27" customFormat="1" ht="28.8" x14ac:dyDescent="0.3">
      <c r="A36" s="63" t="s">
        <v>171</v>
      </c>
      <c r="B36" s="55" t="s">
        <v>172</v>
      </c>
      <c r="C36" s="56" t="s">
        <v>24</v>
      </c>
      <c r="D36" s="57">
        <v>0</v>
      </c>
      <c r="E36" s="41">
        <f>IF(D36="","",_xlfn.XLOOKUP(A36,[4]ריכוז!$A:$A,[4]ריכוז!$D:$D,"אין כזה"))</f>
        <v>2850</v>
      </c>
      <c r="F36" s="10">
        <f t="shared" si="1"/>
        <v>427.5</v>
      </c>
      <c r="G36" s="10">
        <f t="shared" si="2"/>
        <v>142.5</v>
      </c>
      <c r="H36" s="10">
        <f t="shared" si="0"/>
        <v>2543.625</v>
      </c>
      <c r="I36" s="57">
        <f t="shared" si="3"/>
        <v>0</v>
      </c>
      <c r="K36" s="38"/>
    </row>
    <row r="37" spans="1:11" ht="28.8" x14ac:dyDescent="0.3">
      <c r="A37" s="63" t="s">
        <v>60</v>
      </c>
      <c r="B37" s="55" t="s">
        <v>61</v>
      </c>
      <c r="C37" s="56" t="s">
        <v>24</v>
      </c>
      <c r="D37" s="57">
        <v>1.5</v>
      </c>
      <c r="E37" s="41">
        <f>IF(D37="","",_xlfn.XLOOKUP(A37,[4]ריכוז!$A:$A,[4]ריכוז!$D:$D,"אין כזה"))</f>
        <v>2300</v>
      </c>
      <c r="F37" s="10">
        <f t="shared" si="1"/>
        <v>345</v>
      </c>
      <c r="G37" s="10">
        <f t="shared" si="2"/>
        <v>115</v>
      </c>
      <c r="H37" s="10">
        <f t="shared" si="0"/>
        <v>2052.75</v>
      </c>
      <c r="I37" s="57">
        <f t="shared" si="3"/>
        <v>3079.125</v>
      </c>
      <c r="K37" s="38"/>
    </row>
    <row r="38" spans="1:11" ht="28.8" x14ac:dyDescent="0.3">
      <c r="A38" s="63" t="s">
        <v>62</v>
      </c>
      <c r="B38" s="55" t="s">
        <v>63</v>
      </c>
      <c r="C38" s="56" t="s">
        <v>24</v>
      </c>
      <c r="D38" s="57">
        <v>0</v>
      </c>
      <c r="E38" s="41">
        <f>IF(D38="","",_xlfn.XLOOKUP(A38,[4]ריכוז!$A:$A,[4]ריכוז!$D:$D,"אין כזה"))</f>
        <v>3250</v>
      </c>
      <c r="F38" s="10">
        <f t="shared" si="1"/>
        <v>487.5</v>
      </c>
      <c r="G38" s="10">
        <f t="shared" si="2"/>
        <v>162.5</v>
      </c>
      <c r="H38" s="10">
        <f t="shared" si="0"/>
        <v>2900.625</v>
      </c>
      <c r="I38" s="57">
        <f t="shared" si="3"/>
        <v>0</v>
      </c>
      <c r="K38" s="38"/>
    </row>
    <row r="39" spans="1:11" s="27" customFormat="1" ht="15.6" x14ac:dyDescent="0.3">
      <c r="A39" s="59" t="s">
        <v>64</v>
      </c>
      <c r="B39" s="60" t="s">
        <v>65</v>
      </c>
      <c r="C39" s="61" t="s">
        <v>3</v>
      </c>
      <c r="D39" s="62" t="s">
        <v>3</v>
      </c>
      <c r="E39" s="41" t="str">
        <f>IF(D39="","",_xlfn.XLOOKUP(A39,[4]ריכוז!$A:$A,[4]ריכוז!$D:$D,"אין כזה"))</f>
        <v/>
      </c>
      <c r="F39" s="10" t="str">
        <f t="shared" si="1"/>
        <v/>
      </c>
      <c r="G39" s="10" t="str">
        <f t="shared" si="2"/>
        <v/>
      </c>
      <c r="H39" s="10" t="str">
        <f t="shared" si="0"/>
        <v/>
      </c>
      <c r="I39" s="57" t="str">
        <f t="shared" si="3"/>
        <v/>
      </c>
      <c r="K39" s="38"/>
    </row>
    <row r="40" spans="1:11" x14ac:dyDescent="0.3">
      <c r="A40" s="63" t="s">
        <v>66</v>
      </c>
      <c r="B40" s="55" t="s">
        <v>67</v>
      </c>
      <c r="C40" s="56" t="s">
        <v>24</v>
      </c>
      <c r="D40" s="138">
        <f>D34+D37</f>
        <v>10.236000000000001</v>
      </c>
      <c r="E40" s="41">
        <f>IF(D40="","",_xlfn.XLOOKUP(A40,[4]ריכוז!$A:$A,[4]ריכוז!$D:$D,"אין כזה"))</f>
        <v>88</v>
      </c>
      <c r="F40" s="10">
        <f t="shared" si="1"/>
        <v>13.2</v>
      </c>
      <c r="G40" s="10">
        <f t="shared" si="2"/>
        <v>4.4000000000000004</v>
      </c>
      <c r="H40" s="10">
        <f t="shared" si="0"/>
        <v>78.540000000000006</v>
      </c>
      <c r="I40" s="57">
        <f t="shared" si="3"/>
        <v>803.93544000000009</v>
      </c>
      <c r="K40" s="38"/>
    </row>
    <row r="41" spans="1:11" s="27" customFormat="1" ht="15.6" x14ac:dyDescent="0.3">
      <c r="A41" s="59" t="s">
        <v>68</v>
      </c>
      <c r="B41" s="60" t="s">
        <v>69</v>
      </c>
      <c r="C41" s="61" t="s">
        <v>3</v>
      </c>
      <c r="D41" s="62" t="s">
        <v>3</v>
      </c>
      <c r="E41" s="41" t="str">
        <f>IF(D41="","",_xlfn.XLOOKUP(A41,[4]ריכוז!$A:$A,[4]ריכוז!$D:$D,"אין כזה"))</f>
        <v/>
      </c>
      <c r="F41" s="10" t="str">
        <f t="shared" si="1"/>
        <v/>
      </c>
      <c r="G41" s="10" t="str">
        <f t="shared" si="2"/>
        <v/>
      </c>
      <c r="H41" s="10" t="str">
        <f t="shared" si="0"/>
        <v/>
      </c>
      <c r="I41" s="57" t="str">
        <f t="shared" si="3"/>
        <v/>
      </c>
      <c r="K41" s="38"/>
    </row>
    <row r="42" spans="1:11" ht="28.8" x14ac:dyDescent="0.3">
      <c r="A42" s="63" t="s">
        <v>70</v>
      </c>
      <c r="B42" s="55" t="s">
        <v>71</v>
      </c>
      <c r="C42" s="56" t="s">
        <v>24</v>
      </c>
      <c r="D42" s="57">
        <v>0</v>
      </c>
      <c r="E42" s="41">
        <f>IF(D42="","",_xlfn.XLOOKUP(A42,[4]ריכוז!$A:$A,[4]ריכוז!$D:$D,"אין כזה"))</f>
        <v>717</v>
      </c>
      <c r="F42" s="10">
        <f t="shared" si="1"/>
        <v>107.55</v>
      </c>
      <c r="G42" s="10">
        <f t="shared" si="2"/>
        <v>35.85</v>
      </c>
      <c r="H42" s="10">
        <f t="shared" si="0"/>
        <v>639.92250000000001</v>
      </c>
      <c r="I42" s="57">
        <f t="shared" si="3"/>
        <v>0</v>
      </c>
      <c r="K42" s="38"/>
    </row>
    <row r="43" spans="1:11" ht="28.8" x14ac:dyDescent="0.3">
      <c r="A43" s="63" t="s">
        <v>72</v>
      </c>
      <c r="B43" s="55" t="s">
        <v>73</v>
      </c>
      <c r="C43" s="56" t="s">
        <v>24</v>
      </c>
      <c r="D43" s="57">
        <v>0</v>
      </c>
      <c r="E43" s="41">
        <f>IF(D43="","",_xlfn.XLOOKUP(A43,[4]ריכוז!$A:$A,[4]ריכוז!$D:$D,"אין כזה"))</f>
        <v>582</v>
      </c>
      <c r="F43" s="10">
        <f t="shared" si="1"/>
        <v>87.3</v>
      </c>
      <c r="G43" s="10">
        <f t="shared" si="2"/>
        <v>29.1</v>
      </c>
      <c r="H43" s="10">
        <f t="shared" si="0"/>
        <v>519.43500000000006</v>
      </c>
      <c r="I43" s="57">
        <f t="shared" si="3"/>
        <v>0</v>
      </c>
      <c r="K43" s="38"/>
    </row>
    <row r="44" spans="1:11" ht="28.2" x14ac:dyDescent="0.3">
      <c r="A44" s="9" t="s">
        <v>218</v>
      </c>
      <c r="B44" s="2" t="s">
        <v>219</v>
      </c>
      <c r="C44" s="56" t="s">
        <v>24</v>
      </c>
      <c r="D44" s="57">
        <f>D18+D37</f>
        <v>10.712</v>
      </c>
      <c r="E44" s="41">
        <v>800</v>
      </c>
      <c r="F44" s="10">
        <f t="shared" si="1"/>
        <v>120</v>
      </c>
      <c r="G44" s="10">
        <f t="shared" si="2"/>
        <v>40</v>
      </c>
      <c r="H44" s="10">
        <f t="shared" si="0"/>
        <v>714</v>
      </c>
      <c r="I44" s="57">
        <f t="shared" si="3"/>
        <v>7648.3679999999995</v>
      </c>
      <c r="K44" s="38"/>
    </row>
    <row r="45" spans="1:11" ht="28.8" x14ac:dyDescent="0.3">
      <c r="A45" s="63" t="s">
        <v>173</v>
      </c>
      <c r="B45" s="55" t="s">
        <v>174</v>
      </c>
      <c r="C45" s="56" t="s">
        <v>24</v>
      </c>
      <c r="D45" s="57">
        <f>D34</f>
        <v>8.7360000000000007</v>
      </c>
      <c r="E45" s="41">
        <f>IF(D45="","",_xlfn.XLOOKUP(A45,[4]ריכוז!$A:$A,[4]ריכוז!$D:$D,"אין כזה"))</f>
        <v>1440</v>
      </c>
      <c r="F45" s="10">
        <f t="shared" si="1"/>
        <v>216</v>
      </c>
      <c r="G45" s="10">
        <f t="shared" si="2"/>
        <v>72</v>
      </c>
      <c r="H45" s="10">
        <f t="shared" si="0"/>
        <v>1285.2</v>
      </c>
      <c r="I45" s="57">
        <f t="shared" si="3"/>
        <v>11227.507200000002</v>
      </c>
      <c r="K45" s="38"/>
    </row>
    <row r="46" spans="1:11" x14ac:dyDescent="0.3">
      <c r="A46" s="63" t="s">
        <v>74</v>
      </c>
      <c r="B46" s="55" t="s">
        <v>75</v>
      </c>
      <c r="C46" s="56" t="s">
        <v>2</v>
      </c>
      <c r="D46" s="57">
        <v>0</v>
      </c>
      <c r="E46" s="41">
        <f>IF(D46="","",_xlfn.XLOOKUP(A46,[4]ריכוז!$A:$A,[4]ריכוז!$D:$D,"אין כזה"))</f>
        <v>620</v>
      </c>
      <c r="F46" s="10">
        <f t="shared" si="1"/>
        <v>93</v>
      </c>
      <c r="G46" s="10">
        <f t="shared" si="2"/>
        <v>31</v>
      </c>
      <c r="H46" s="10">
        <f t="shared" si="0"/>
        <v>553.35</v>
      </c>
      <c r="I46" s="57">
        <f t="shared" si="3"/>
        <v>0</v>
      </c>
      <c r="K46" s="38"/>
    </row>
    <row r="47" spans="1:11" x14ac:dyDescent="0.3">
      <c r="A47" s="63" t="s">
        <v>76</v>
      </c>
      <c r="B47" s="55" t="s">
        <v>77</v>
      </c>
      <c r="C47" s="56" t="s">
        <v>2</v>
      </c>
      <c r="D47" s="57">
        <v>0</v>
      </c>
      <c r="E47" s="41">
        <f>IF(D47="","",_xlfn.XLOOKUP(A47,[4]ריכוז!$A:$A,[4]ריכוז!$D:$D,"אין כזה"))</f>
        <v>750</v>
      </c>
      <c r="F47" s="10">
        <f t="shared" si="1"/>
        <v>112.5</v>
      </c>
      <c r="G47" s="10">
        <f t="shared" si="2"/>
        <v>37.5</v>
      </c>
      <c r="H47" s="10">
        <f t="shared" si="0"/>
        <v>669.375</v>
      </c>
      <c r="I47" s="57">
        <f t="shared" si="3"/>
        <v>0</v>
      </c>
      <c r="K47" s="38"/>
    </row>
    <row r="48" spans="1:11" x14ac:dyDescent="0.3">
      <c r="A48" s="63" t="s">
        <v>78</v>
      </c>
      <c r="B48" s="55" t="s">
        <v>79</v>
      </c>
      <c r="C48" s="56" t="s">
        <v>2</v>
      </c>
      <c r="D48" s="57">
        <v>5</v>
      </c>
      <c r="E48" s="41">
        <f>IF(D48="","",_xlfn.XLOOKUP(A48,[4]ריכוז!$A:$A,[4]ריכוז!$D:$D,"אין כזה"))</f>
        <v>1020</v>
      </c>
      <c r="F48" s="10">
        <f t="shared" si="1"/>
        <v>153</v>
      </c>
      <c r="G48" s="10">
        <f t="shared" si="2"/>
        <v>51</v>
      </c>
      <c r="H48" s="10">
        <f t="shared" si="0"/>
        <v>910.35</v>
      </c>
      <c r="I48" s="57">
        <f t="shared" si="3"/>
        <v>4551.75</v>
      </c>
      <c r="K48" s="38"/>
    </row>
    <row r="49" spans="1:11" x14ac:dyDescent="0.3">
      <c r="A49" s="63" t="s">
        <v>80</v>
      </c>
      <c r="B49" s="55" t="s">
        <v>81</v>
      </c>
      <c r="C49" s="56" t="s">
        <v>2</v>
      </c>
      <c r="D49" s="57">
        <v>0</v>
      </c>
      <c r="E49" s="41">
        <f>IF(D49="","",_xlfn.XLOOKUP(A49,[4]ריכוז!$A:$A,[4]ריכוז!$D:$D,"אין כזה"))</f>
        <v>1370</v>
      </c>
      <c r="F49" s="10">
        <f t="shared" si="1"/>
        <v>205.5</v>
      </c>
      <c r="G49" s="10">
        <f t="shared" si="2"/>
        <v>68.5</v>
      </c>
      <c r="H49" s="10">
        <f t="shared" si="0"/>
        <v>1222.7249999999999</v>
      </c>
      <c r="I49" s="57">
        <f t="shared" si="3"/>
        <v>0</v>
      </c>
      <c r="K49" s="38"/>
    </row>
    <row r="50" spans="1:11" x14ac:dyDescent="0.3">
      <c r="A50" s="63" t="s">
        <v>82</v>
      </c>
      <c r="B50" s="55" t="s">
        <v>83</v>
      </c>
      <c r="C50" s="56" t="s">
        <v>2</v>
      </c>
      <c r="D50" s="57">
        <v>0</v>
      </c>
      <c r="E50" s="41">
        <f>IF(D50="","",_xlfn.XLOOKUP(A50,[4]ריכוז!$A:$A,[4]ריכוז!$D:$D,"אין כזה"))</f>
        <v>1650</v>
      </c>
      <c r="F50" s="10">
        <f t="shared" si="1"/>
        <v>247.5</v>
      </c>
      <c r="G50" s="10">
        <f t="shared" si="2"/>
        <v>82.5</v>
      </c>
      <c r="H50" s="10">
        <f t="shared" si="0"/>
        <v>1472.625</v>
      </c>
      <c r="I50" s="57">
        <f t="shared" si="3"/>
        <v>0</v>
      </c>
      <c r="K50" s="38"/>
    </row>
    <row r="51" spans="1:11" x14ac:dyDescent="0.3">
      <c r="A51" s="63" t="s">
        <v>84</v>
      </c>
      <c r="B51" s="55" t="s">
        <v>85</v>
      </c>
      <c r="C51" s="56" t="s">
        <v>2</v>
      </c>
      <c r="D51" s="57">
        <v>2</v>
      </c>
      <c r="E51" s="41">
        <f>IF(D51="","",_xlfn.XLOOKUP(A51,[4]ריכוז!$A:$A,[4]ריכוז!$D:$D,"אין כזה"))</f>
        <v>1820</v>
      </c>
      <c r="F51" s="10">
        <f t="shared" si="1"/>
        <v>273</v>
      </c>
      <c r="G51" s="10">
        <f t="shared" si="2"/>
        <v>91</v>
      </c>
      <c r="H51" s="10">
        <f t="shared" si="0"/>
        <v>1624.35</v>
      </c>
      <c r="I51" s="57">
        <f t="shared" si="3"/>
        <v>3248.7</v>
      </c>
      <c r="K51" s="38"/>
    </row>
    <row r="52" spans="1:11" x14ac:dyDescent="0.3">
      <c r="A52" s="63" t="s">
        <v>86</v>
      </c>
      <c r="B52" s="55" t="s">
        <v>87</v>
      </c>
      <c r="C52" s="56" t="s">
        <v>2</v>
      </c>
      <c r="D52" s="57">
        <v>2</v>
      </c>
      <c r="E52" s="41">
        <f>IF(D52="","",_xlfn.XLOOKUP(A52,[4]ריכוז!$A:$A,[4]ריכוז!$D:$D,"אין כזה"))</f>
        <v>130</v>
      </c>
      <c r="F52" s="10">
        <f t="shared" si="1"/>
        <v>19.5</v>
      </c>
      <c r="G52" s="10">
        <f t="shared" si="2"/>
        <v>6.5</v>
      </c>
      <c r="H52" s="10">
        <f t="shared" si="0"/>
        <v>116.02499999999999</v>
      </c>
      <c r="I52" s="57">
        <f t="shared" si="3"/>
        <v>232.04999999999998</v>
      </c>
      <c r="K52" s="38"/>
    </row>
    <row r="53" spans="1:11" x14ac:dyDescent="0.3">
      <c r="A53" s="63" t="s">
        <v>175</v>
      </c>
      <c r="B53" s="55" t="s">
        <v>176</v>
      </c>
      <c r="C53" s="56" t="s">
        <v>24</v>
      </c>
      <c r="D53" s="57">
        <v>16.364000000000001</v>
      </c>
      <c r="E53" s="41">
        <f>IF(D53="","",_xlfn.XLOOKUP(A53,[4]ריכוז!$A:$A,[4]ריכוז!$D:$D,"אין כזה"))</f>
        <v>60</v>
      </c>
      <c r="F53" s="10">
        <f t="shared" si="1"/>
        <v>9</v>
      </c>
      <c r="G53" s="10">
        <f t="shared" si="2"/>
        <v>3</v>
      </c>
      <c r="H53" s="10">
        <f t="shared" si="0"/>
        <v>53.55</v>
      </c>
      <c r="I53" s="57">
        <f t="shared" si="3"/>
        <v>876.29219999999998</v>
      </c>
      <c r="K53" s="38"/>
    </row>
    <row r="54" spans="1:11" x14ac:dyDescent="0.3">
      <c r="A54" s="63" t="s">
        <v>88</v>
      </c>
      <c r="B54" s="55" t="s">
        <v>89</v>
      </c>
      <c r="C54" s="56" t="s">
        <v>2</v>
      </c>
      <c r="D54" s="57">
        <v>1</v>
      </c>
      <c r="E54" s="41">
        <f>IF(D54="","",_xlfn.XLOOKUP(A54,[4]ריכוז!$A:$A,[4]ריכוז!$D:$D,"אין כזה"))</f>
        <v>109</v>
      </c>
      <c r="F54" s="10">
        <f t="shared" si="1"/>
        <v>16.349999999999998</v>
      </c>
      <c r="G54" s="10">
        <f t="shared" si="2"/>
        <v>5.45</v>
      </c>
      <c r="H54" s="10">
        <f t="shared" si="0"/>
        <v>97.282499999999999</v>
      </c>
      <c r="I54" s="57">
        <f t="shared" si="3"/>
        <v>97.282499999999999</v>
      </c>
      <c r="K54" s="38"/>
    </row>
    <row r="55" spans="1:11" x14ac:dyDescent="0.3">
      <c r="A55" s="63" t="s">
        <v>90</v>
      </c>
      <c r="B55" s="55" t="s">
        <v>91</v>
      </c>
      <c r="C55" s="56" t="s">
        <v>2</v>
      </c>
      <c r="D55" s="57">
        <v>5</v>
      </c>
      <c r="E55" s="41">
        <f>IF(D55="","",_xlfn.XLOOKUP(A55,[4]ריכוז!$A:$A,[4]ריכוז!$D:$D,"אין כזה"))</f>
        <v>121</v>
      </c>
      <c r="F55" s="10">
        <f t="shared" si="1"/>
        <v>18.149999999999999</v>
      </c>
      <c r="G55" s="10">
        <f t="shared" si="2"/>
        <v>6.0500000000000007</v>
      </c>
      <c r="H55" s="10">
        <f t="shared" si="0"/>
        <v>107.99250000000001</v>
      </c>
      <c r="I55" s="57">
        <f t="shared" si="3"/>
        <v>539.96250000000009</v>
      </c>
      <c r="K55" s="38"/>
    </row>
    <row r="56" spans="1:11" ht="14.4" customHeight="1" x14ac:dyDescent="0.3">
      <c r="A56" s="63" t="s">
        <v>195</v>
      </c>
      <c r="B56" s="55" t="s">
        <v>182</v>
      </c>
      <c r="C56" s="56" t="s">
        <v>2</v>
      </c>
      <c r="D56" s="57">
        <v>0</v>
      </c>
      <c r="E56" s="41">
        <f>IF(D56="","",_xlfn.XLOOKUP(A56,[4]ריכוז!$A:$A,[4]ריכוז!$D:$D,"אין כזה"))</f>
        <v>133</v>
      </c>
      <c r="F56" s="10">
        <f t="shared" si="1"/>
        <v>19.95</v>
      </c>
      <c r="G56" s="10">
        <f t="shared" si="2"/>
        <v>6.65</v>
      </c>
      <c r="H56" s="10">
        <f t="shared" si="0"/>
        <v>118.7025</v>
      </c>
      <c r="I56" s="57">
        <f t="shared" si="3"/>
        <v>0</v>
      </c>
      <c r="K56" s="38"/>
    </row>
    <row r="57" spans="1:11" ht="14.4" customHeight="1" x14ac:dyDescent="0.3">
      <c r="A57" s="63" t="s">
        <v>196</v>
      </c>
      <c r="B57" s="55" t="s">
        <v>183</v>
      </c>
      <c r="C57" s="56" t="s">
        <v>2</v>
      </c>
      <c r="D57" s="57">
        <v>0</v>
      </c>
      <c r="E57" s="41">
        <f>IF(D57="","",_xlfn.XLOOKUP(A57,[4]ריכוז!$A:$A,[4]ריכוז!$D:$D,"אין כזה"))</f>
        <v>145</v>
      </c>
      <c r="F57" s="10">
        <f t="shared" si="1"/>
        <v>21.75</v>
      </c>
      <c r="G57" s="10">
        <f t="shared" si="2"/>
        <v>7.25</v>
      </c>
      <c r="H57" s="10">
        <f t="shared" si="0"/>
        <v>129.41249999999999</v>
      </c>
      <c r="I57" s="57">
        <f t="shared" si="3"/>
        <v>0</v>
      </c>
      <c r="K57" s="38"/>
    </row>
    <row r="58" spans="1:11" ht="14.4" customHeight="1" x14ac:dyDescent="0.3">
      <c r="A58" s="63" t="s">
        <v>197</v>
      </c>
      <c r="B58" s="55" t="s">
        <v>184</v>
      </c>
      <c r="C58" s="56" t="s">
        <v>2</v>
      </c>
      <c r="D58" s="57">
        <v>0</v>
      </c>
      <c r="E58" s="41">
        <f>IF(D58="","",_xlfn.XLOOKUP(A58,[4]ריכוז!$A:$A,[4]ריכוז!$D:$D,"אין כזה"))</f>
        <v>157</v>
      </c>
      <c r="F58" s="10">
        <f t="shared" si="1"/>
        <v>23.55</v>
      </c>
      <c r="G58" s="10">
        <f t="shared" si="2"/>
        <v>7.8500000000000005</v>
      </c>
      <c r="H58" s="10">
        <f t="shared" si="0"/>
        <v>140.1225</v>
      </c>
      <c r="I58" s="57">
        <f t="shared" si="3"/>
        <v>0</v>
      </c>
      <c r="K58" s="38"/>
    </row>
    <row r="59" spans="1:11" ht="14.4" customHeight="1" x14ac:dyDescent="0.3">
      <c r="A59" s="63" t="s">
        <v>198</v>
      </c>
      <c r="B59" s="55" t="s">
        <v>185</v>
      </c>
      <c r="C59" s="56" t="s">
        <v>2</v>
      </c>
      <c r="D59" s="57">
        <v>1</v>
      </c>
      <c r="E59" s="41">
        <f>IF(D59="","",_xlfn.XLOOKUP(A59,[4]ריכוז!$A:$A,[4]ריכוז!$D:$D,"אין כזה"))</f>
        <v>169</v>
      </c>
      <c r="F59" s="10">
        <f t="shared" si="1"/>
        <v>25.349999999999998</v>
      </c>
      <c r="G59" s="10">
        <f t="shared" si="2"/>
        <v>8.4500000000000011</v>
      </c>
      <c r="H59" s="10">
        <f t="shared" si="0"/>
        <v>150.83250000000001</v>
      </c>
      <c r="I59" s="57">
        <f t="shared" si="3"/>
        <v>150.83250000000001</v>
      </c>
      <c r="K59" s="38"/>
    </row>
    <row r="60" spans="1:11" ht="14.4" customHeight="1" x14ac:dyDescent="0.3">
      <c r="A60" s="63" t="s">
        <v>199</v>
      </c>
      <c r="B60" s="55" t="s">
        <v>186</v>
      </c>
      <c r="C60" s="56" t="s">
        <v>2</v>
      </c>
      <c r="D60" s="57">
        <v>1</v>
      </c>
      <c r="E60" s="41">
        <f>IF(D60="","",_xlfn.XLOOKUP(A60,[4]ריכוז!$A:$A,[4]ריכוז!$D:$D,"אין כזה"))</f>
        <v>181</v>
      </c>
      <c r="F60" s="10">
        <f t="shared" si="1"/>
        <v>27.15</v>
      </c>
      <c r="G60" s="10">
        <f t="shared" si="2"/>
        <v>9.0500000000000007</v>
      </c>
      <c r="H60" s="10">
        <f t="shared" si="0"/>
        <v>161.54250000000002</v>
      </c>
      <c r="I60" s="57">
        <f t="shared" si="3"/>
        <v>161.54250000000002</v>
      </c>
      <c r="K60" s="38"/>
    </row>
    <row r="61" spans="1:11" ht="14.4" customHeight="1" x14ac:dyDescent="0.3">
      <c r="A61" s="63" t="s">
        <v>200</v>
      </c>
      <c r="B61" s="55" t="s">
        <v>187</v>
      </c>
      <c r="C61" s="56" t="s">
        <v>2</v>
      </c>
      <c r="D61" s="57">
        <v>0</v>
      </c>
      <c r="E61" s="41">
        <f>IF(D61="","",_xlfn.XLOOKUP(A61,[4]ריכוז!$A:$A,[4]ריכוז!$D:$D,"אין כזה"))</f>
        <v>193</v>
      </c>
      <c r="F61" s="10">
        <f t="shared" si="1"/>
        <v>28.95</v>
      </c>
      <c r="G61" s="10">
        <f t="shared" si="2"/>
        <v>9.65</v>
      </c>
      <c r="H61" s="10">
        <f t="shared" si="0"/>
        <v>172.2525</v>
      </c>
      <c r="I61" s="57">
        <f t="shared" si="3"/>
        <v>0</v>
      </c>
      <c r="K61" s="38"/>
    </row>
    <row r="62" spans="1:11" s="27" customFormat="1" ht="15.6" x14ac:dyDescent="0.3">
      <c r="A62" s="59" t="s">
        <v>92</v>
      </c>
      <c r="B62" s="60" t="s">
        <v>93</v>
      </c>
      <c r="C62" s="61" t="s">
        <v>3</v>
      </c>
      <c r="D62" s="62" t="s">
        <v>3</v>
      </c>
      <c r="E62" s="41" t="str">
        <f>IF(D62="","",_xlfn.XLOOKUP(A62,[4]ריכוז!$A:$A,[4]ריכוז!$D:$D,"אין כזה"))</f>
        <v/>
      </c>
      <c r="F62" s="10" t="str">
        <f t="shared" si="1"/>
        <v/>
      </c>
      <c r="G62" s="10" t="str">
        <f t="shared" si="2"/>
        <v/>
      </c>
      <c r="H62" s="10" t="str">
        <f t="shared" si="0"/>
        <v/>
      </c>
      <c r="I62" s="57" t="str">
        <f t="shared" si="3"/>
        <v/>
      </c>
      <c r="K62" s="38"/>
    </row>
    <row r="63" spans="1:11" ht="15" thickBot="1" x14ac:dyDescent="0.35">
      <c r="A63" s="54" t="s">
        <v>94</v>
      </c>
      <c r="B63" s="55" t="s">
        <v>95</v>
      </c>
      <c r="C63" s="56" t="s">
        <v>24</v>
      </c>
      <c r="D63" s="92">
        <v>5.59</v>
      </c>
      <c r="E63" s="41">
        <f>IF(D63="","",_xlfn.XLOOKUP(A63,[4]ריכוז!$A:$A,[4]ריכוז!$D:$D,"אין כזה"))</f>
        <v>53</v>
      </c>
      <c r="F63" s="10">
        <f t="shared" si="1"/>
        <v>7.9499999999999993</v>
      </c>
      <c r="G63" s="10">
        <f t="shared" si="2"/>
        <v>2.6500000000000004</v>
      </c>
      <c r="H63" s="10">
        <f t="shared" si="0"/>
        <v>47.302500000000002</v>
      </c>
      <c r="I63" s="57">
        <f t="shared" si="3"/>
        <v>264.420975</v>
      </c>
      <c r="K63" s="38"/>
    </row>
    <row r="64" spans="1:11" ht="43.2" x14ac:dyDescent="0.3">
      <c r="A64" s="54" t="s">
        <v>96</v>
      </c>
      <c r="B64" s="55" t="s">
        <v>97</v>
      </c>
      <c r="C64" s="56" t="s">
        <v>24</v>
      </c>
      <c r="D64" s="57">
        <v>0</v>
      </c>
      <c r="E64" s="41">
        <f>IF(D64="","",_xlfn.XLOOKUP(A64,[4]ריכוז!$A:$A,[4]ריכוז!$D:$D,"אין כזה"))</f>
        <v>880</v>
      </c>
      <c r="F64" s="10">
        <f t="shared" si="1"/>
        <v>132</v>
      </c>
      <c r="G64" s="10">
        <f t="shared" si="2"/>
        <v>44</v>
      </c>
      <c r="H64" s="10">
        <f t="shared" si="0"/>
        <v>785.4</v>
      </c>
      <c r="I64" s="57">
        <f t="shared" si="3"/>
        <v>0</v>
      </c>
      <c r="K64" s="38"/>
    </row>
    <row r="65" spans="1:11" ht="43.2" x14ac:dyDescent="0.3">
      <c r="A65" s="54" t="s">
        <v>215</v>
      </c>
      <c r="B65" s="55" t="s">
        <v>98</v>
      </c>
      <c r="C65" s="56" t="s">
        <v>24</v>
      </c>
      <c r="D65" s="57">
        <f>D63</f>
        <v>5.59</v>
      </c>
      <c r="E65" s="41">
        <f>IF(D65="","",_xlfn.XLOOKUP(A65,[4]ריכוז!$A:$A,[4]ריכוז!$D:$D,"אין כזה"))</f>
        <v>650</v>
      </c>
      <c r="F65" s="10">
        <f t="shared" si="1"/>
        <v>97.5</v>
      </c>
      <c r="G65" s="10">
        <f t="shared" si="2"/>
        <v>32.5</v>
      </c>
      <c r="H65" s="10">
        <f t="shared" si="0"/>
        <v>580.125</v>
      </c>
      <c r="I65" s="57">
        <f t="shared" si="3"/>
        <v>3242.8987499999998</v>
      </c>
      <c r="K65" s="38"/>
    </row>
    <row r="66" spans="1:11" s="27" customFormat="1" ht="15.6" x14ac:dyDescent="0.3">
      <c r="A66" s="59" t="s">
        <v>99</v>
      </c>
      <c r="B66" s="60" t="s">
        <v>100</v>
      </c>
      <c r="C66" s="61" t="s">
        <v>3</v>
      </c>
      <c r="D66" s="62" t="s">
        <v>3</v>
      </c>
      <c r="E66" s="41" t="str">
        <f>IF(D66="","",_xlfn.XLOOKUP(A66,[4]ריכוז!$A:$A,[4]ריכוז!$D:$D,"אין כזה"))</f>
        <v/>
      </c>
      <c r="F66" s="10" t="str">
        <f t="shared" si="1"/>
        <v/>
      </c>
      <c r="G66" s="10" t="str">
        <f t="shared" si="2"/>
        <v/>
      </c>
      <c r="H66" s="10" t="str">
        <f t="shared" si="0"/>
        <v/>
      </c>
      <c r="I66" s="57" t="str">
        <f t="shared" si="3"/>
        <v/>
      </c>
      <c r="K66" s="38"/>
    </row>
    <row r="67" spans="1:11" x14ac:dyDescent="0.3">
      <c r="A67" s="63" t="s">
        <v>101</v>
      </c>
      <c r="B67" s="55" t="s">
        <v>102</v>
      </c>
      <c r="C67" s="56" t="s">
        <v>24</v>
      </c>
      <c r="D67" s="57">
        <v>0</v>
      </c>
      <c r="E67" s="41">
        <f>IF(D67="","",_xlfn.XLOOKUP(A67,[4]ריכוז!$A:$A,[4]ריכוז!$D:$D,"אין כזה"))</f>
        <v>265</v>
      </c>
      <c r="F67" s="10">
        <f t="shared" si="1"/>
        <v>39.75</v>
      </c>
      <c r="G67" s="10">
        <f t="shared" si="2"/>
        <v>13.25</v>
      </c>
      <c r="H67" s="10">
        <f t="shared" si="0"/>
        <v>236.51249999999999</v>
      </c>
      <c r="I67" s="57">
        <f t="shared" si="3"/>
        <v>0</v>
      </c>
      <c r="K67" s="38"/>
    </row>
    <row r="68" spans="1:11" x14ac:dyDescent="0.3">
      <c r="A68" s="64" t="s">
        <v>103</v>
      </c>
      <c r="B68" s="65" t="s">
        <v>104</v>
      </c>
      <c r="C68" s="56" t="s">
        <v>24</v>
      </c>
      <c r="D68" s="57">
        <f>-D70</f>
        <v>16.364000000000001</v>
      </c>
      <c r="E68" s="41">
        <f>IF(D68="","",_xlfn.XLOOKUP(A68,[4]ריכוז!$A:$A,[4]ריכוז!$D:$D,"אין כזה"))</f>
        <v>375</v>
      </c>
      <c r="F68" s="10">
        <f t="shared" si="1"/>
        <v>56.25</v>
      </c>
      <c r="G68" s="10">
        <f t="shared" si="2"/>
        <v>18.75</v>
      </c>
      <c r="H68" s="10">
        <f t="shared" si="0"/>
        <v>334.6875</v>
      </c>
      <c r="I68" s="57">
        <f t="shared" si="3"/>
        <v>5476.8262500000001</v>
      </c>
      <c r="K68" s="38"/>
    </row>
    <row r="69" spans="1:11" x14ac:dyDescent="0.3">
      <c r="A69" s="64" t="s">
        <v>105</v>
      </c>
      <c r="B69" s="65" t="s">
        <v>106</v>
      </c>
      <c r="C69" s="56" t="s">
        <v>24</v>
      </c>
      <c r="D69" s="57">
        <f>-D19</f>
        <v>0</v>
      </c>
      <c r="E69" s="41">
        <f>IF(D69="","",_xlfn.XLOOKUP(A69,[4]ריכוז!$A:$A,[4]ריכוז!$D:$D,"אין כזה"))</f>
        <v>317</v>
      </c>
      <c r="F69" s="10">
        <f t="shared" si="1"/>
        <v>47.55</v>
      </c>
      <c r="G69" s="10">
        <f t="shared" si="2"/>
        <v>15.850000000000001</v>
      </c>
      <c r="H69" s="10">
        <f t="shared" si="0"/>
        <v>282.92250000000001</v>
      </c>
      <c r="I69" s="57">
        <f t="shared" si="3"/>
        <v>0</v>
      </c>
      <c r="K69" s="38"/>
    </row>
    <row r="70" spans="1:11" x14ac:dyDescent="0.3">
      <c r="A70" s="64" t="s">
        <v>107</v>
      </c>
      <c r="B70" s="65" t="s">
        <v>108</v>
      </c>
      <c r="C70" s="56" t="s">
        <v>24</v>
      </c>
      <c r="D70" s="57">
        <v>-16.364000000000001</v>
      </c>
      <c r="E70" s="41">
        <f>IF(D70="","",_xlfn.XLOOKUP(A70,[4]ריכוז!$A:$A,[4]ריכוז!$D:$D,"אין כזה"))</f>
        <v>172</v>
      </c>
      <c r="F70" s="10">
        <f t="shared" si="1"/>
        <v>25.8</v>
      </c>
      <c r="G70" s="10">
        <f t="shared" si="2"/>
        <v>8.6</v>
      </c>
      <c r="H70" s="10">
        <f t="shared" si="0"/>
        <v>153.51</v>
      </c>
      <c r="I70" s="57">
        <f t="shared" si="3"/>
        <v>-2512.03764</v>
      </c>
      <c r="K70" s="38"/>
    </row>
    <row r="71" spans="1:11" x14ac:dyDescent="0.3">
      <c r="A71" s="63" t="s">
        <v>109</v>
      </c>
      <c r="B71" s="55" t="s">
        <v>110</v>
      </c>
      <c r="C71" s="56" t="s">
        <v>24</v>
      </c>
      <c r="D71" s="57">
        <f>-D67</f>
        <v>0</v>
      </c>
      <c r="E71" s="41">
        <f>IF(D71="","",_xlfn.XLOOKUP(A71,[4]ריכוז!$A:$A,[4]ריכוז!$D:$D,"אין כזה"))</f>
        <v>94</v>
      </c>
      <c r="F71" s="10">
        <f t="shared" si="1"/>
        <v>14.1</v>
      </c>
      <c r="G71" s="10">
        <f t="shared" si="2"/>
        <v>4.7</v>
      </c>
      <c r="H71" s="10">
        <f t="shared" si="0"/>
        <v>83.894999999999996</v>
      </c>
      <c r="I71" s="57">
        <f t="shared" si="3"/>
        <v>0</v>
      </c>
      <c r="K71" s="38"/>
    </row>
    <row r="72" spans="1:11" x14ac:dyDescent="0.3">
      <c r="A72" s="63" t="s">
        <v>111</v>
      </c>
      <c r="B72" s="55" t="s">
        <v>112</v>
      </c>
      <c r="C72" s="56" t="s">
        <v>24</v>
      </c>
      <c r="D72" s="57">
        <v>0</v>
      </c>
      <c r="E72" s="41">
        <f>IF(D72="","",_xlfn.XLOOKUP(A72,[4]ריכוז!$A:$A,[4]ריכוז!$D:$D,"אין כזה"))</f>
        <v>157</v>
      </c>
      <c r="F72" s="10">
        <f t="shared" si="1"/>
        <v>23.55</v>
      </c>
      <c r="G72" s="10">
        <f t="shared" si="2"/>
        <v>7.8500000000000005</v>
      </c>
      <c r="H72" s="10">
        <f t="shared" si="0"/>
        <v>140.1225</v>
      </c>
      <c r="I72" s="57">
        <f t="shared" si="3"/>
        <v>0</v>
      </c>
      <c r="K72" s="38"/>
    </row>
    <row r="73" spans="1:11" s="27" customFormat="1" ht="15.6" x14ac:dyDescent="0.3">
      <c r="A73" s="59" t="s">
        <v>113</v>
      </c>
      <c r="B73" s="60" t="s">
        <v>114</v>
      </c>
      <c r="C73" s="61" t="s">
        <v>3</v>
      </c>
      <c r="D73" s="62" t="s">
        <v>3</v>
      </c>
      <c r="E73" s="41" t="str">
        <f>IF(D73="","",_xlfn.XLOOKUP(A73,[4]ריכוז!$A:$A,[4]ריכוז!$D:$D,"אין כזה"))</f>
        <v/>
      </c>
      <c r="F73" s="10" t="str">
        <f t="shared" si="1"/>
        <v/>
      </c>
      <c r="G73" s="10" t="str">
        <f t="shared" si="2"/>
        <v/>
      </c>
      <c r="H73" s="10" t="str">
        <f t="shared" si="0"/>
        <v/>
      </c>
      <c r="I73" s="57" t="str">
        <f t="shared" si="3"/>
        <v/>
      </c>
      <c r="K73" s="38"/>
    </row>
    <row r="74" spans="1:11" s="27" customFormat="1" ht="15.6" x14ac:dyDescent="0.3">
      <c r="A74" s="59" t="s">
        <v>115</v>
      </c>
      <c r="B74" s="60" t="s">
        <v>116</v>
      </c>
      <c r="C74" s="61" t="s">
        <v>3</v>
      </c>
      <c r="D74" s="62" t="s">
        <v>3</v>
      </c>
      <c r="E74" s="41" t="str">
        <f>IF(D74="","",_xlfn.XLOOKUP(A74,[4]ריכוז!$A:$A,[4]ריכוז!$D:$D,"אין כזה"))</f>
        <v/>
      </c>
      <c r="F74" s="10" t="str">
        <f t="shared" si="1"/>
        <v/>
      </c>
      <c r="G74" s="10" t="str">
        <f t="shared" si="2"/>
        <v/>
      </c>
      <c r="H74" s="10" t="str">
        <f t="shared" si="0"/>
        <v/>
      </c>
      <c r="I74" s="57" t="str">
        <f t="shared" si="3"/>
        <v/>
      </c>
      <c r="K74" s="38"/>
    </row>
    <row r="75" spans="1:11" ht="28.8" x14ac:dyDescent="0.3">
      <c r="A75" s="63" t="s">
        <v>117</v>
      </c>
      <c r="B75" s="55" t="s">
        <v>118</v>
      </c>
      <c r="C75" s="56" t="s">
        <v>17</v>
      </c>
      <c r="D75" s="57">
        <v>0</v>
      </c>
      <c r="E75" s="41">
        <f>IF(D75="","",_xlfn.XLOOKUP(A75,[4]ריכוז!$A:$A,[4]ריכוז!$D:$D,"אין כזה"))</f>
        <v>3500</v>
      </c>
      <c r="F75" s="10">
        <f t="shared" si="1"/>
        <v>525</v>
      </c>
      <c r="G75" s="10">
        <f t="shared" si="2"/>
        <v>175</v>
      </c>
      <c r="H75" s="10">
        <f t="shared" si="0"/>
        <v>3123.75</v>
      </c>
      <c r="I75" s="57">
        <f t="shared" si="3"/>
        <v>0</v>
      </c>
      <c r="K75" s="38"/>
    </row>
    <row r="76" spans="1:11" ht="43.2" x14ac:dyDescent="0.3">
      <c r="A76" s="63" t="s">
        <v>119</v>
      </c>
      <c r="B76" s="55" t="s">
        <v>120</v>
      </c>
      <c r="C76" s="56" t="s">
        <v>4</v>
      </c>
      <c r="D76" s="57">
        <v>0</v>
      </c>
      <c r="E76" s="41">
        <f>IF(D76="","",_xlfn.XLOOKUP(A76,[4]ריכוז!$A:$A,[4]ריכוז!$D:$D,"אין כזה"))</f>
        <v>172</v>
      </c>
      <c r="F76" s="10">
        <f t="shared" si="1"/>
        <v>25.8</v>
      </c>
      <c r="G76" s="10">
        <f t="shared" si="2"/>
        <v>8.6</v>
      </c>
      <c r="H76" s="10">
        <f t="shared" si="0"/>
        <v>153.51</v>
      </c>
      <c r="I76" s="57">
        <f t="shared" si="3"/>
        <v>0</v>
      </c>
      <c r="K76" s="38"/>
    </row>
    <row r="77" spans="1:11" x14ac:dyDescent="0.3">
      <c r="A77" s="63" t="s">
        <v>177</v>
      </c>
      <c r="B77" s="55" t="s">
        <v>178</v>
      </c>
      <c r="C77" s="56" t="s">
        <v>24</v>
      </c>
      <c r="D77" s="57">
        <f>SUM(D17:D19,D25:D27,D29:D30,D32:D34,D36:D38)</f>
        <v>19.448</v>
      </c>
      <c r="E77" s="41">
        <f>IF(D77="","",_xlfn.XLOOKUP(A77,[4]ריכוז!$A:$A,[4]ריכוז!$D:$D,"אין כזה"))</f>
        <v>48</v>
      </c>
      <c r="F77" s="10">
        <f t="shared" si="1"/>
        <v>7.1999999999999993</v>
      </c>
      <c r="G77" s="10">
        <f t="shared" si="2"/>
        <v>2.4000000000000004</v>
      </c>
      <c r="H77" s="10">
        <f t="shared" si="0"/>
        <v>42.84</v>
      </c>
      <c r="I77" s="57">
        <f t="shared" si="3"/>
        <v>833.15232000000003</v>
      </c>
      <c r="K77" s="38"/>
    </row>
    <row r="78" spans="1:11" s="27" customFormat="1" ht="15.6" x14ac:dyDescent="0.3">
      <c r="A78" s="59" t="s">
        <v>121</v>
      </c>
      <c r="B78" s="60" t="s">
        <v>122</v>
      </c>
      <c r="C78" s="61" t="s">
        <v>3</v>
      </c>
      <c r="D78" s="62" t="s">
        <v>3</v>
      </c>
      <c r="E78" s="41" t="str">
        <f>IF(D78="","",_xlfn.XLOOKUP(A78,[4]ריכוז!$A:$A,[4]ריכוז!$D:$D,"אין כזה"))</f>
        <v/>
      </c>
      <c r="F78" s="10" t="str">
        <f t="shared" si="1"/>
        <v/>
      </c>
      <c r="G78" s="10" t="str">
        <f t="shared" si="2"/>
        <v/>
      </c>
      <c r="H78" s="10" t="str">
        <f t="shared" ref="H78:H92" si="4">IF(E78="","",E78*1.05*0.85)</f>
        <v/>
      </c>
      <c r="I78" s="57" t="str">
        <f t="shared" si="3"/>
        <v/>
      </c>
      <c r="K78" s="38"/>
    </row>
    <row r="79" spans="1:11" s="27" customFormat="1" ht="15.6" x14ac:dyDescent="0.3">
      <c r="A79" s="59" t="s">
        <v>123</v>
      </c>
      <c r="B79" s="60" t="s">
        <v>124</v>
      </c>
      <c r="C79" s="61" t="s">
        <v>3</v>
      </c>
      <c r="D79" s="62" t="s">
        <v>3</v>
      </c>
      <c r="E79" s="41" t="str">
        <f>IF(D79="","",_xlfn.XLOOKUP(A79,[4]ריכוז!$A:$A,[4]ריכוז!$D:$D,"אין כזה"))</f>
        <v/>
      </c>
      <c r="F79" s="10" t="str">
        <f t="shared" si="1"/>
        <v/>
      </c>
      <c r="G79" s="10" t="str">
        <f t="shared" si="2"/>
        <v/>
      </c>
      <c r="H79" s="10" t="str">
        <f t="shared" si="4"/>
        <v/>
      </c>
      <c r="I79" s="57" t="str">
        <f t="shared" si="3"/>
        <v/>
      </c>
      <c r="K79" s="38"/>
    </row>
    <row r="80" spans="1:11" s="27" customFormat="1" ht="15.6" x14ac:dyDescent="0.3">
      <c r="A80" s="9" t="s">
        <v>208</v>
      </c>
      <c r="B80" s="55" t="s">
        <v>209</v>
      </c>
      <c r="C80" s="56" t="s">
        <v>125</v>
      </c>
      <c r="D80" s="57">
        <v>3</v>
      </c>
      <c r="E80" s="41">
        <v>130</v>
      </c>
      <c r="F80" s="10">
        <f t="shared" si="1"/>
        <v>19.5</v>
      </c>
      <c r="G80" s="10">
        <f t="shared" si="2"/>
        <v>6.5</v>
      </c>
      <c r="H80" s="10">
        <f t="shared" si="4"/>
        <v>116.02499999999999</v>
      </c>
      <c r="I80" s="57">
        <f t="shared" si="3"/>
        <v>348.07499999999999</v>
      </c>
      <c r="K80" s="38"/>
    </row>
    <row r="81" spans="1:15" s="27" customFormat="1" ht="15.6" x14ac:dyDescent="0.3">
      <c r="A81" s="9" t="s">
        <v>169</v>
      </c>
      <c r="B81" s="55" t="s">
        <v>170</v>
      </c>
      <c r="C81" s="56" t="s">
        <v>125</v>
      </c>
      <c r="D81" s="57">
        <f>2+6</f>
        <v>8</v>
      </c>
      <c r="E81" s="41">
        <f>IF(D81="","",_xlfn.XLOOKUP(A81,[4]ריכוז!$A:$A,[4]ריכוז!$D:$D,"אין כזה"))</f>
        <v>145</v>
      </c>
      <c r="F81" s="10">
        <f t="shared" si="1"/>
        <v>21.75</v>
      </c>
      <c r="G81" s="10">
        <f t="shared" si="2"/>
        <v>7.25</v>
      </c>
      <c r="H81" s="10">
        <f t="shared" si="4"/>
        <v>129.41249999999999</v>
      </c>
      <c r="I81" s="57">
        <f t="shared" si="3"/>
        <v>1035.3</v>
      </c>
      <c r="K81" s="38"/>
    </row>
    <row r="82" spans="1:15" s="27" customFormat="1" ht="15.6" x14ac:dyDescent="0.3">
      <c r="A82" s="59" t="s">
        <v>126</v>
      </c>
      <c r="B82" s="60" t="s">
        <v>127</v>
      </c>
      <c r="C82" s="61" t="s">
        <v>3</v>
      </c>
      <c r="D82" s="62" t="s">
        <v>3</v>
      </c>
      <c r="E82" s="41" t="str">
        <f>IF(D82="","",_xlfn.XLOOKUP(A82,[4]ריכוז!$A:$A,[4]ריכוז!$D:$D,"אין כזה"))</f>
        <v/>
      </c>
      <c r="F82" s="10" t="str">
        <f t="shared" ref="F82:F92" si="5">IF(E82="","",E82*0.15)</f>
        <v/>
      </c>
      <c r="G82" s="10" t="str">
        <f t="shared" ref="G82:G92" si="6">IF(E82="","",E82*0.05)</f>
        <v/>
      </c>
      <c r="H82" s="10" t="str">
        <f t="shared" si="4"/>
        <v/>
      </c>
      <c r="I82" s="57" t="str">
        <f t="shared" ref="I82:I91" si="7">IF(D82="","",H82*D82)</f>
        <v/>
      </c>
      <c r="K82" s="38"/>
    </row>
    <row r="83" spans="1:15" ht="28.8" x14ac:dyDescent="0.3">
      <c r="A83" s="63" t="s">
        <v>128</v>
      </c>
      <c r="B83" s="55" t="s">
        <v>129</v>
      </c>
      <c r="C83" s="56" t="s">
        <v>2</v>
      </c>
      <c r="D83" s="57">
        <v>0</v>
      </c>
      <c r="E83" s="41">
        <f>IF(D83="","",_xlfn.XLOOKUP(A83,[4]ריכוז!$A:$A,[4]ריכוז!$D:$D,"אין כזה"))</f>
        <v>1460</v>
      </c>
      <c r="F83" s="10">
        <f t="shared" si="5"/>
        <v>219</v>
      </c>
      <c r="G83" s="10">
        <f t="shared" si="6"/>
        <v>73</v>
      </c>
      <c r="H83" s="10">
        <f t="shared" si="4"/>
        <v>1303.05</v>
      </c>
      <c r="I83" s="57">
        <f t="shared" si="7"/>
        <v>0</v>
      </c>
      <c r="K83" s="38"/>
    </row>
    <row r="84" spans="1:15" ht="28.8" x14ac:dyDescent="0.3">
      <c r="A84" s="63" t="s">
        <v>130</v>
      </c>
      <c r="B84" s="55" t="s">
        <v>131</v>
      </c>
      <c r="C84" s="56" t="s">
        <v>2</v>
      </c>
      <c r="D84" s="138">
        <v>2</v>
      </c>
      <c r="E84" s="41">
        <f>IF(D84="","",_xlfn.XLOOKUP(A84,[4]ריכוז!$A:$A,[4]ריכוז!$D:$D,"אין כזה"))</f>
        <v>1810</v>
      </c>
      <c r="F84" s="10">
        <f t="shared" si="5"/>
        <v>271.5</v>
      </c>
      <c r="G84" s="10">
        <f t="shared" si="6"/>
        <v>90.5</v>
      </c>
      <c r="H84" s="10">
        <f t="shared" si="4"/>
        <v>1615.425</v>
      </c>
      <c r="I84" s="57">
        <f t="shared" si="7"/>
        <v>3230.85</v>
      </c>
      <c r="K84" s="38"/>
    </row>
    <row r="85" spans="1:15" ht="28.2" x14ac:dyDescent="0.3">
      <c r="A85" s="9" t="s">
        <v>204</v>
      </c>
      <c r="B85" s="2" t="s">
        <v>205</v>
      </c>
      <c r="C85" s="3" t="s">
        <v>2</v>
      </c>
      <c r="D85" s="57">
        <v>0</v>
      </c>
      <c r="E85" s="41">
        <v>2200</v>
      </c>
      <c r="F85" s="10">
        <f t="shared" si="5"/>
        <v>330</v>
      </c>
      <c r="G85" s="10">
        <f t="shared" si="6"/>
        <v>110</v>
      </c>
      <c r="H85" s="10">
        <f t="shared" si="4"/>
        <v>1963.5</v>
      </c>
      <c r="I85" s="57">
        <f t="shared" si="7"/>
        <v>0</v>
      </c>
      <c r="K85" s="38"/>
    </row>
    <row r="86" spans="1:15" s="27" customFormat="1" ht="15.6" x14ac:dyDescent="0.3">
      <c r="A86" s="59" t="s">
        <v>132</v>
      </c>
      <c r="B86" s="60" t="s">
        <v>133</v>
      </c>
      <c r="C86" s="61" t="s">
        <v>3</v>
      </c>
      <c r="D86" s="62" t="s">
        <v>3</v>
      </c>
      <c r="E86" s="41" t="str">
        <f>IF(D86="","",_xlfn.XLOOKUP(A86,[4]ריכוז!$A:$A,[4]ריכוז!$D:$D,"אין כזה"))</f>
        <v/>
      </c>
      <c r="F86" s="10" t="str">
        <f t="shared" si="5"/>
        <v/>
      </c>
      <c r="G86" s="10" t="str">
        <f t="shared" si="6"/>
        <v/>
      </c>
      <c r="H86" s="10" t="str">
        <f t="shared" si="4"/>
        <v/>
      </c>
      <c r="I86" s="57" t="str">
        <f t="shared" si="7"/>
        <v/>
      </c>
      <c r="K86" s="38"/>
    </row>
    <row r="87" spans="1:15" s="27" customFormat="1" ht="15.6" x14ac:dyDescent="0.3">
      <c r="A87" s="59" t="s">
        <v>134</v>
      </c>
      <c r="B87" s="60" t="s">
        <v>135</v>
      </c>
      <c r="C87" s="61" t="s">
        <v>3</v>
      </c>
      <c r="D87" s="62" t="s">
        <v>3</v>
      </c>
      <c r="E87" s="41" t="str">
        <f>IF(D87="","",_xlfn.XLOOKUP(A87,[4]ריכוז!$A:$A,[4]ריכוז!$D:$D,"אין כזה"))</f>
        <v/>
      </c>
      <c r="F87" s="10" t="str">
        <f t="shared" si="5"/>
        <v/>
      </c>
      <c r="G87" s="10" t="str">
        <f t="shared" si="6"/>
        <v/>
      </c>
      <c r="H87" s="10" t="str">
        <f t="shared" si="4"/>
        <v/>
      </c>
      <c r="I87" s="57" t="str">
        <f t="shared" si="7"/>
        <v/>
      </c>
      <c r="K87" s="38"/>
    </row>
    <row r="88" spans="1:15" ht="43.2" x14ac:dyDescent="0.3">
      <c r="A88" s="63" t="s">
        <v>136</v>
      </c>
      <c r="B88" s="55" t="s">
        <v>137</v>
      </c>
      <c r="C88" s="56" t="s">
        <v>24</v>
      </c>
      <c r="D88" s="57">
        <v>4.47</v>
      </c>
      <c r="E88" s="41">
        <f>IF(D88="","",_xlfn.XLOOKUP(A88,[4]ריכוז!$A:$A,[4]ריכוז!$D:$D,"אין כזה"))</f>
        <v>129.78142076502732</v>
      </c>
      <c r="F88" s="10">
        <f t="shared" si="5"/>
        <v>19.467213114754099</v>
      </c>
      <c r="G88" s="10">
        <f t="shared" si="6"/>
        <v>6.4890710382513666</v>
      </c>
      <c r="H88" s="10">
        <f t="shared" si="4"/>
        <v>115.82991803278689</v>
      </c>
      <c r="I88" s="57">
        <f t="shared" si="7"/>
        <v>517.75973360655735</v>
      </c>
      <c r="K88" s="38"/>
    </row>
    <row r="89" spans="1:15" x14ac:dyDescent="0.3">
      <c r="A89" s="54" t="s">
        <v>138</v>
      </c>
      <c r="B89" s="55" t="s">
        <v>139</v>
      </c>
      <c r="C89" s="56" t="s">
        <v>2</v>
      </c>
      <c r="D89" s="57">
        <v>0</v>
      </c>
      <c r="E89" s="41">
        <f>IF(D89="","",_xlfn.XLOOKUP(A89,[4]ריכוז!$A:$A,[4]ריכוז!$D:$D,"אין כזה"))</f>
        <v>2375.3501400560222</v>
      </c>
      <c r="F89" s="10">
        <f t="shared" si="5"/>
        <v>356.30252100840329</v>
      </c>
      <c r="G89" s="10">
        <f t="shared" si="6"/>
        <v>118.76750700280111</v>
      </c>
      <c r="H89" s="10">
        <f t="shared" si="4"/>
        <v>2120</v>
      </c>
      <c r="I89" s="57">
        <f t="shared" si="7"/>
        <v>0</v>
      </c>
      <c r="K89" s="38"/>
    </row>
    <row r="90" spans="1:15" x14ac:dyDescent="0.3">
      <c r="A90" s="54" t="s">
        <v>140</v>
      </c>
      <c r="B90" s="55" t="s">
        <v>141</v>
      </c>
      <c r="C90" s="56" t="s">
        <v>2</v>
      </c>
      <c r="D90" s="57">
        <v>0</v>
      </c>
      <c r="E90" s="41">
        <f>IF(D90="","",_xlfn.XLOOKUP(A90,[4]ריכוז!$A:$A,[4]ריכוז!$D:$D,"אין כזה"))</f>
        <v>950.14005602240888</v>
      </c>
      <c r="F90" s="10">
        <f t="shared" si="5"/>
        <v>142.52100840336132</v>
      </c>
      <c r="G90" s="10">
        <f t="shared" si="6"/>
        <v>47.50700280112045</v>
      </c>
      <c r="H90" s="10">
        <f t="shared" si="4"/>
        <v>848</v>
      </c>
      <c r="I90" s="57">
        <f t="shared" si="7"/>
        <v>0</v>
      </c>
      <c r="K90" s="38"/>
    </row>
    <row r="91" spans="1:15" ht="28.8" x14ac:dyDescent="0.3">
      <c r="A91" s="54" t="s">
        <v>165</v>
      </c>
      <c r="B91" s="55" t="s">
        <v>166</v>
      </c>
      <c r="C91" s="56" t="s">
        <v>167</v>
      </c>
      <c r="D91" s="96">
        <f>SUM(I17:I20,I25:I27,I29:I30,I32:I34,I36:I38,I42:I45,I64:I65,I89:I90)/0.85/1.05</f>
        <v>61149.18</v>
      </c>
      <c r="E91" s="41">
        <f>IF(D91="","",_xlfn.XLOOKUP(A91,[4]ריכוז!$A:$A,[4]ריכוז!$D:$D,"אין כזה"))</f>
        <v>0.06</v>
      </c>
      <c r="F91" s="10">
        <f t="shared" si="5"/>
        <v>8.9999999999999993E-3</v>
      </c>
      <c r="G91" s="10">
        <f t="shared" si="6"/>
        <v>3.0000000000000001E-3</v>
      </c>
      <c r="H91" s="10">
        <f t="shared" si="4"/>
        <v>5.355E-2</v>
      </c>
      <c r="I91" s="57">
        <f t="shared" si="7"/>
        <v>3274.5385890000002</v>
      </c>
      <c r="K91" s="38"/>
    </row>
    <row r="92" spans="1:15" ht="55.8" x14ac:dyDescent="0.3">
      <c r="A92" s="48" t="s">
        <v>162</v>
      </c>
      <c r="B92" s="2" t="s">
        <v>163</v>
      </c>
      <c r="C92" s="3" t="s">
        <v>164</v>
      </c>
      <c r="D92" s="3">
        <v>0</v>
      </c>
      <c r="E92" s="41">
        <f>IF(D92="","",_xlfn.XLOOKUP(A92,[4]ריכוז!$A:$A,[4]ריכוז!$D:$D,"אין כזה"))</f>
        <v>3500</v>
      </c>
      <c r="F92" s="10">
        <f t="shared" si="5"/>
        <v>525</v>
      </c>
      <c r="G92" s="10">
        <f t="shared" si="6"/>
        <v>175</v>
      </c>
      <c r="H92" s="10">
        <f t="shared" si="4"/>
        <v>3123.75</v>
      </c>
      <c r="I92" s="57">
        <f>H92*D92</f>
        <v>0</v>
      </c>
      <c r="K92" s="38"/>
      <c r="L92"/>
      <c r="M92"/>
      <c r="N92"/>
      <c r="O92"/>
    </row>
    <row r="93" spans="1:15" x14ac:dyDescent="0.3">
      <c r="A93" s="21" t="s">
        <v>3</v>
      </c>
      <c r="B93" s="22" t="s">
        <v>152</v>
      </c>
      <c r="C93" s="23"/>
      <c r="D93" s="24"/>
      <c r="E93" s="25"/>
      <c r="F93" s="24"/>
      <c r="G93" s="24"/>
      <c r="H93" s="24"/>
      <c r="I93" s="31">
        <f>SUMIF(A:A,"01.*",I:I)</f>
        <v>0</v>
      </c>
      <c r="K93"/>
      <c r="L93"/>
      <c r="M93"/>
      <c r="N93"/>
      <c r="O93"/>
    </row>
    <row r="94" spans="1:15" x14ac:dyDescent="0.3">
      <c r="A94" s="21" t="s">
        <v>3</v>
      </c>
      <c r="B94" s="22" t="s">
        <v>153</v>
      </c>
      <c r="C94" s="23"/>
      <c r="D94" s="24"/>
      <c r="E94" s="25"/>
      <c r="F94" s="24"/>
      <c r="G94" s="24"/>
      <c r="H94" s="24"/>
      <c r="I94" s="31">
        <f>SUMIF(A:A,"05.*",I:I)</f>
        <v>0</v>
      </c>
      <c r="K94"/>
      <c r="L94"/>
      <c r="M94"/>
      <c r="N94"/>
      <c r="O94"/>
    </row>
    <row r="95" spans="1:15" x14ac:dyDescent="0.3">
      <c r="A95" s="21" t="s">
        <v>3</v>
      </c>
      <c r="B95" s="22" t="s">
        <v>154</v>
      </c>
      <c r="C95" s="23"/>
      <c r="D95" s="24"/>
      <c r="E95" s="25"/>
      <c r="F95" s="24"/>
      <c r="G95" s="24"/>
      <c r="H95" s="24"/>
      <c r="I95" s="31">
        <f>SUMIF(A:A,"09.*",I:I)</f>
        <v>2355.6288</v>
      </c>
      <c r="K95"/>
      <c r="L95"/>
      <c r="M95"/>
      <c r="N95"/>
      <c r="O95"/>
    </row>
    <row r="96" spans="1:15" x14ac:dyDescent="0.3">
      <c r="A96" s="21" t="s">
        <v>3</v>
      </c>
      <c r="B96" s="22" t="s">
        <v>155</v>
      </c>
      <c r="C96" s="23"/>
      <c r="D96" s="24"/>
      <c r="E96" s="25"/>
      <c r="F96" s="24"/>
      <c r="G96" s="24"/>
      <c r="H96" s="24"/>
      <c r="I96" s="31">
        <f>SUMIF(A:A,"11.*",I:I)</f>
        <v>6318.9</v>
      </c>
      <c r="K96"/>
      <c r="L96"/>
      <c r="M96"/>
      <c r="N96"/>
      <c r="O96"/>
    </row>
    <row r="97" spans="1:15" x14ac:dyDescent="0.3">
      <c r="A97" s="21" t="s">
        <v>3</v>
      </c>
      <c r="B97" s="22" t="s">
        <v>156</v>
      </c>
      <c r="C97" s="23"/>
      <c r="D97" s="24"/>
      <c r="E97" s="25"/>
      <c r="F97" s="24"/>
      <c r="G97" s="24"/>
      <c r="H97" s="24"/>
      <c r="I97" s="31">
        <f>SUMIF(A:A,"12.*",I:I)</f>
        <v>72759.188964000015</v>
      </c>
      <c r="K97"/>
      <c r="L97"/>
      <c r="M97"/>
      <c r="N97"/>
      <c r="O97"/>
    </row>
    <row r="98" spans="1:15" x14ac:dyDescent="0.3">
      <c r="A98" s="21" t="s">
        <v>3</v>
      </c>
      <c r="B98" s="22" t="s">
        <v>157</v>
      </c>
      <c r="C98" s="23"/>
      <c r="D98" s="24"/>
      <c r="E98" s="25"/>
      <c r="F98" s="24"/>
      <c r="G98" s="24"/>
      <c r="H98" s="24"/>
      <c r="I98" s="31">
        <f>SUMIF(A:A,"15.*",I:I)</f>
        <v>0</v>
      </c>
      <c r="K98"/>
      <c r="L98"/>
      <c r="M98"/>
      <c r="N98"/>
      <c r="O98"/>
    </row>
    <row r="99" spans="1:15" x14ac:dyDescent="0.3">
      <c r="A99" s="21"/>
      <c r="B99" s="90" t="s">
        <v>181</v>
      </c>
      <c r="C99" s="23"/>
      <c r="D99" s="24"/>
      <c r="E99" s="25"/>
      <c r="F99" s="24"/>
      <c r="G99" s="24"/>
      <c r="H99" s="24"/>
      <c r="I99" s="31">
        <f>SUMIF(A:A,"30.*",I:I)</f>
        <v>833.15232000000003</v>
      </c>
      <c r="K99"/>
      <c r="L99"/>
      <c r="M99"/>
      <c r="N99"/>
      <c r="O99"/>
    </row>
    <row r="100" spans="1:15" x14ac:dyDescent="0.3">
      <c r="A100" s="21" t="s">
        <v>3</v>
      </c>
      <c r="B100" s="22" t="s">
        <v>158</v>
      </c>
      <c r="C100" s="23"/>
      <c r="D100" s="24"/>
      <c r="E100" s="25"/>
      <c r="F100" s="24"/>
      <c r="G100" s="24"/>
      <c r="H100" s="24"/>
      <c r="I100" s="31">
        <f>SUMIF(A:A,"60.*",I:I)</f>
        <v>4881.9750000000004</v>
      </c>
      <c r="K100"/>
      <c r="L100"/>
      <c r="M100"/>
      <c r="N100"/>
      <c r="O100"/>
    </row>
    <row r="101" spans="1:15" x14ac:dyDescent="0.3">
      <c r="A101" s="21" t="s">
        <v>3</v>
      </c>
      <c r="B101" s="22" t="s">
        <v>159</v>
      </c>
      <c r="C101" s="23"/>
      <c r="D101" s="24"/>
      <c r="E101" s="25"/>
      <c r="F101" s="24"/>
      <c r="G101" s="24"/>
      <c r="H101" s="24"/>
      <c r="I101" s="31">
        <f>SUMIF(A:A,"85.*",I:I)</f>
        <v>517.75973360655735</v>
      </c>
      <c r="K101"/>
      <c r="L101"/>
      <c r="M101"/>
      <c r="N101"/>
      <c r="O101"/>
    </row>
    <row r="102" spans="1:15" x14ac:dyDescent="0.3">
      <c r="A102" s="28" t="s">
        <v>3</v>
      </c>
      <c r="B102" s="29" t="s">
        <v>160</v>
      </c>
      <c r="C102" s="23"/>
      <c r="D102" s="24"/>
      <c r="E102" s="25"/>
      <c r="F102" s="30"/>
      <c r="G102" s="30"/>
      <c r="H102" s="30"/>
      <c r="I102" s="30">
        <f>SUM(I93:I101)</f>
        <v>87666.604817606567</v>
      </c>
      <c r="K102"/>
      <c r="L102"/>
      <c r="M102"/>
      <c r="N102"/>
      <c r="O102"/>
    </row>
    <row r="103" spans="1:15" x14ac:dyDescent="0.3">
      <c r="A103" s="28" t="s">
        <v>3</v>
      </c>
      <c r="B103" s="29" t="s">
        <v>161</v>
      </c>
      <c r="C103" s="23"/>
      <c r="D103" s="24"/>
      <c r="E103" s="25"/>
      <c r="F103" s="30"/>
      <c r="G103" s="30"/>
      <c r="H103" s="30"/>
      <c r="I103" s="30">
        <f t="shared" ref="I103" si="8">(I102 * (1 / 100 * 18))</f>
        <v>15779.988867169181</v>
      </c>
      <c r="K103"/>
      <c r="L103"/>
      <c r="M103"/>
      <c r="N103"/>
      <c r="O103"/>
    </row>
    <row r="104" spans="1:15" x14ac:dyDescent="0.3">
      <c r="A104" s="32" t="s">
        <v>3</v>
      </c>
      <c r="B104" s="33" t="s">
        <v>160</v>
      </c>
      <c r="C104" s="34"/>
      <c r="D104" s="35"/>
      <c r="E104" s="36"/>
      <c r="F104" s="37"/>
      <c r="G104" s="37"/>
      <c r="H104" s="37"/>
      <c r="I104" s="37">
        <f t="shared" ref="I104" si="9">I102 + I103</f>
        <v>103446.59368477575</v>
      </c>
      <c r="K104"/>
      <c r="L104"/>
      <c r="M104"/>
      <c r="N104"/>
      <c r="O104"/>
    </row>
  </sheetData>
  <conditionalFormatting sqref="A7:D43 C44:D44 A45:D84">
    <cfRule type="expression" dxfId="32" priority="3">
      <formula>$K7="אין"</formula>
    </cfRule>
  </conditionalFormatting>
  <conditionalFormatting sqref="F7:K92 D85 A86:D90 A92:D92 A91:C91">
    <cfRule type="expression" dxfId="31" priority="4">
      <formula>$K7="אין"</formula>
    </cfRule>
  </conditionalFormatting>
  <conditionalFormatting sqref="D91">
    <cfRule type="expression" dxfId="9" priority="1">
      <formula>$K91="אין"</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98086-25DB-49AE-AD7C-A9648D16EB87}">
  <sheetPr>
    <tabColor rgb="FFFFFF00"/>
  </sheetPr>
  <dimension ref="A1:O104"/>
  <sheetViews>
    <sheetView rightToLeft="1" topLeftCell="A83" zoomScale="70" zoomScaleNormal="70" workbookViewId="0">
      <selection activeCell="B91" sqref="B91"/>
    </sheetView>
  </sheetViews>
  <sheetFormatPr defaultColWidth="8.69921875" defaultRowHeight="14.4" x14ac:dyDescent="0.3"/>
  <cols>
    <col min="1" max="1" width="11.69921875" style="38" customWidth="1"/>
    <col min="2" max="2" width="63" style="13" customWidth="1"/>
    <col min="3" max="3" width="8.19921875" style="39" customWidth="1"/>
    <col min="4" max="4" width="10.09765625" style="14" customWidth="1"/>
    <col min="5" max="5" width="11.19921875" style="15" bestFit="1" customWidth="1"/>
    <col min="6" max="6" width="10.19921875" style="14" customWidth="1"/>
    <col min="7" max="7" width="12.19921875" style="14" customWidth="1"/>
    <col min="8" max="8" width="14" style="13" bestFit="1" customWidth="1"/>
    <col min="9" max="9" width="13.3984375" style="13" bestFit="1" customWidth="1"/>
    <col min="10" max="10" width="8.69921875" style="13"/>
    <col min="11" max="11" width="13.19921875" style="13" bestFit="1" customWidth="1"/>
    <col min="12" max="12" width="11.19921875" style="13" bestFit="1" customWidth="1"/>
    <col min="13" max="16384" width="8.69921875" style="13"/>
  </cols>
  <sheetData>
    <row r="1" spans="1:11" ht="17.399999999999999" x14ac:dyDescent="0.3">
      <c r="A1" s="12"/>
      <c r="C1" s="89" t="s">
        <v>228</v>
      </c>
      <c r="D1" s="40">
        <v>1811</v>
      </c>
    </row>
    <row r="3" spans="1:11" ht="21" x14ac:dyDescent="0.4">
      <c r="A3" s="16"/>
      <c r="B3" s="17"/>
      <c r="C3" s="18"/>
      <c r="D3" s="19"/>
      <c r="E3" s="20"/>
      <c r="F3" s="19"/>
      <c r="G3" s="19"/>
      <c r="H3" s="19"/>
      <c r="I3" s="19"/>
    </row>
    <row r="4" spans="1:11" x14ac:dyDescent="0.3">
      <c r="A4" s="21"/>
      <c r="B4" s="22"/>
      <c r="C4" s="23"/>
      <c r="D4" s="24"/>
      <c r="E4" s="25"/>
      <c r="F4" s="24"/>
      <c r="G4" s="24"/>
      <c r="H4" s="24"/>
      <c r="I4" s="24"/>
    </row>
    <row r="5" spans="1:11" ht="15" thickBot="1" x14ac:dyDescent="0.35">
      <c r="A5" s="21"/>
      <c r="B5" s="22"/>
      <c r="C5" s="23"/>
      <c r="D5" s="24"/>
      <c r="E5" s="25"/>
      <c r="F5" s="24"/>
      <c r="G5" s="26"/>
      <c r="H5" s="26"/>
      <c r="I5" s="24"/>
    </row>
    <row r="6" spans="1:11" ht="29.4" thickTop="1" x14ac:dyDescent="0.3">
      <c r="A6" s="50" t="s">
        <v>0</v>
      </c>
      <c r="B6" s="51" t="s">
        <v>1</v>
      </c>
      <c r="C6" s="52" t="s">
        <v>2</v>
      </c>
      <c r="D6" s="53" t="s">
        <v>147</v>
      </c>
      <c r="E6" s="66" t="s">
        <v>142</v>
      </c>
      <c r="F6" s="66" t="s">
        <v>143</v>
      </c>
      <c r="G6" s="66" t="s">
        <v>144</v>
      </c>
      <c r="H6" s="66" t="s">
        <v>145</v>
      </c>
      <c r="I6" s="53" t="s">
        <v>151</v>
      </c>
    </row>
    <row r="7" spans="1:11" x14ac:dyDescent="0.3">
      <c r="A7" s="63" t="s">
        <v>179</v>
      </c>
      <c r="B7" s="55" t="s">
        <v>180</v>
      </c>
      <c r="C7" s="56" t="s">
        <v>125</v>
      </c>
      <c r="D7" s="14">
        <v>2</v>
      </c>
      <c r="E7" s="41">
        <f>IF(D7="","",_xlfn.XLOOKUP(A7,[5]ריכוז!$A:$A,[5]ריכוז!$D:$D,"אין כזה"))</f>
        <v>150</v>
      </c>
      <c r="F7" s="10">
        <f>IF(E7="","",E7*0.15)</f>
        <v>22.5</v>
      </c>
      <c r="G7" s="10">
        <f>IF(E7="","",E7*0.05)</f>
        <v>7.5</v>
      </c>
      <c r="H7" s="10">
        <f>IF(E7="","",E7*1.05*0.85)</f>
        <v>133.875</v>
      </c>
      <c r="I7" s="57">
        <f>IF(D7="","",H7*D7)</f>
        <v>267.75</v>
      </c>
      <c r="J7" s="112"/>
      <c r="K7" s="38"/>
    </row>
    <row r="8" spans="1:11" s="27" customFormat="1" ht="15.6" x14ac:dyDescent="0.3">
      <c r="A8" s="59" t="s">
        <v>5</v>
      </c>
      <c r="B8" s="60" t="s">
        <v>6</v>
      </c>
      <c r="C8" s="61" t="s">
        <v>3</v>
      </c>
      <c r="D8" s="62" t="s">
        <v>3</v>
      </c>
      <c r="E8" s="41" t="str">
        <f>IF(D8="","",_xlfn.XLOOKUP(A8,[5]ריכוז!$A:$A,[5]ריכוז!$D:$D,"אין כזה"))</f>
        <v/>
      </c>
      <c r="F8" s="62" t="s">
        <v>3</v>
      </c>
      <c r="G8" s="62"/>
      <c r="H8" s="10" t="str">
        <f t="shared" ref="H8:H77" si="0">IF(E8="","",E8*1.05*0.85)</f>
        <v/>
      </c>
      <c r="I8" s="62"/>
      <c r="J8" s="112"/>
      <c r="K8" s="38"/>
    </row>
    <row r="9" spans="1:11" s="27" customFormat="1" ht="15.6" x14ac:dyDescent="0.3">
      <c r="A9" s="59" t="s">
        <v>7</v>
      </c>
      <c r="B9" s="60" t="s">
        <v>8</v>
      </c>
      <c r="C9" s="61" t="s">
        <v>3</v>
      </c>
      <c r="D9" s="62" t="s">
        <v>3</v>
      </c>
      <c r="E9" s="41" t="str">
        <f>IF(D9="","",_xlfn.XLOOKUP(A9,[5]ריכוז!$A:$A,[5]ריכוז!$D:$D,"אין כזה"))</f>
        <v/>
      </c>
      <c r="F9" s="62" t="s">
        <v>3</v>
      </c>
      <c r="G9" s="62"/>
      <c r="H9" s="10" t="str">
        <f t="shared" si="0"/>
        <v/>
      </c>
      <c r="I9" s="62"/>
      <c r="J9" s="112"/>
      <c r="K9" s="38"/>
    </row>
    <row r="10" spans="1:11" ht="57.6" x14ac:dyDescent="0.3">
      <c r="A10" s="63" t="s">
        <v>9</v>
      </c>
      <c r="B10" s="55" t="s">
        <v>10</v>
      </c>
      <c r="C10" s="56" t="s">
        <v>4</v>
      </c>
      <c r="D10" s="57">
        <v>41.24</v>
      </c>
      <c r="E10" s="41">
        <f>IF(D10="","",_xlfn.XLOOKUP(A10,[5]ריכוז!$A:$A,[5]ריכוז!$D:$D,"אין כזה"))</f>
        <v>64</v>
      </c>
      <c r="F10" s="10">
        <f>IF(E10="","",E10*0.15)</f>
        <v>9.6</v>
      </c>
      <c r="G10" s="10">
        <f>IF(E10="","",E10*0.05)</f>
        <v>3.2</v>
      </c>
      <c r="H10" s="10">
        <f t="shared" si="0"/>
        <v>57.12</v>
      </c>
      <c r="I10" s="57">
        <f>IF(D10="","",H10*D10)</f>
        <v>2355.6288</v>
      </c>
      <c r="J10" s="112"/>
      <c r="K10" s="38"/>
    </row>
    <row r="11" spans="1:11" s="27" customFormat="1" ht="15.6" x14ac:dyDescent="0.3">
      <c r="A11" s="59" t="s">
        <v>11</v>
      </c>
      <c r="B11" s="60" t="s">
        <v>12</v>
      </c>
      <c r="C11" s="61" t="s">
        <v>3</v>
      </c>
      <c r="D11" s="62" t="s">
        <v>3</v>
      </c>
      <c r="E11" s="41" t="str">
        <f>IF(D11="","",_xlfn.XLOOKUP(A11,[5]ריכוז!$A:$A,[5]ריכוז!$D:$D,"אין כזה"))</f>
        <v/>
      </c>
      <c r="F11" s="10" t="str">
        <f t="shared" ref="F11:F81" si="1">IF(E11="","",E11*0.15)</f>
        <v/>
      </c>
      <c r="G11" s="10" t="str">
        <f t="shared" ref="G11:G81" si="2">IF(E11="","",E11*0.05)</f>
        <v/>
      </c>
      <c r="H11" s="10" t="str">
        <f t="shared" si="0"/>
        <v/>
      </c>
      <c r="I11" s="57" t="str">
        <f t="shared" ref="I11:I81" si="3">IF(D11="","",H11*D11)</f>
        <v/>
      </c>
      <c r="J11" s="112"/>
      <c r="K11" s="38"/>
    </row>
    <row r="12" spans="1:11" s="27" customFormat="1" ht="15.6" x14ac:dyDescent="0.3">
      <c r="A12" s="59" t="s">
        <v>13</v>
      </c>
      <c r="B12" s="60" t="s">
        <v>14</v>
      </c>
      <c r="C12" s="61" t="s">
        <v>3</v>
      </c>
      <c r="D12" s="62" t="s">
        <v>3</v>
      </c>
      <c r="E12" s="41" t="str">
        <f>IF(D12="","",_xlfn.XLOOKUP(A12,[5]ריכוז!$A:$A,[5]ריכוז!$D:$D,"אין כזה"))</f>
        <v/>
      </c>
      <c r="F12" s="10" t="str">
        <f t="shared" si="1"/>
        <v/>
      </c>
      <c r="G12" s="10" t="str">
        <f t="shared" si="2"/>
        <v/>
      </c>
      <c r="H12" s="10" t="str">
        <f t="shared" si="0"/>
        <v/>
      </c>
      <c r="I12" s="57" t="str">
        <f t="shared" si="3"/>
        <v/>
      </c>
      <c r="J12" s="112"/>
      <c r="K12" s="38"/>
    </row>
    <row r="13" spans="1:11" ht="43.2" x14ac:dyDescent="0.3">
      <c r="A13" s="63" t="s">
        <v>15</v>
      </c>
      <c r="B13" s="55" t="s">
        <v>16</v>
      </c>
      <c r="C13" s="56" t="s">
        <v>17</v>
      </c>
      <c r="D13" s="57">
        <v>4</v>
      </c>
      <c r="E13" s="41">
        <f>IF(D13="","",_xlfn.XLOOKUP(A13,[5]ריכוז!$A:$A,[5]ריכוז!$D:$D,"אין כזה"))</f>
        <v>1770</v>
      </c>
      <c r="F13" s="10">
        <f t="shared" si="1"/>
        <v>265.5</v>
      </c>
      <c r="G13" s="10">
        <f t="shared" si="2"/>
        <v>88.5</v>
      </c>
      <c r="H13" s="10">
        <f t="shared" si="0"/>
        <v>1579.7249999999999</v>
      </c>
      <c r="I13" s="57">
        <f t="shared" si="3"/>
        <v>6318.9</v>
      </c>
      <c r="J13" s="112"/>
      <c r="K13" s="38"/>
    </row>
    <row r="14" spans="1:11" x14ac:dyDescent="0.3">
      <c r="A14" s="54"/>
      <c r="B14" s="55"/>
      <c r="C14" s="56"/>
      <c r="D14" s="57"/>
      <c r="E14" s="41" t="str">
        <f>IF(D14="","",_xlfn.XLOOKUP(A14,[5]ריכוז!$A:$A,[5]ריכוז!$D:$D,"אין כזה"))</f>
        <v/>
      </c>
      <c r="F14" s="10" t="str">
        <f t="shared" si="1"/>
        <v/>
      </c>
      <c r="G14" s="10" t="str">
        <f t="shared" si="2"/>
        <v/>
      </c>
      <c r="H14" s="10" t="str">
        <f t="shared" si="0"/>
        <v/>
      </c>
      <c r="I14" s="57" t="str">
        <f t="shared" si="3"/>
        <v/>
      </c>
      <c r="J14" s="112"/>
      <c r="K14" s="38"/>
    </row>
    <row r="15" spans="1:11" s="27" customFormat="1" ht="15.6" x14ac:dyDescent="0.3">
      <c r="A15" s="59" t="s">
        <v>18</v>
      </c>
      <c r="B15" s="60" t="s">
        <v>19</v>
      </c>
      <c r="C15" s="61" t="s">
        <v>3</v>
      </c>
      <c r="D15" s="62" t="s">
        <v>3</v>
      </c>
      <c r="E15" s="41" t="str">
        <f>IF(D15="","",_xlfn.XLOOKUP(A15,[5]ריכוז!$A:$A,[5]ריכוז!$D:$D,"אין כזה"))</f>
        <v/>
      </c>
      <c r="F15" s="10" t="str">
        <f t="shared" si="1"/>
        <v/>
      </c>
      <c r="G15" s="10" t="str">
        <f t="shared" si="2"/>
        <v/>
      </c>
      <c r="H15" s="10" t="str">
        <f t="shared" si="0"/>
        <v/>
      </c>
      <c r="I15" s="57" t="str">
        <f t="shared" si="3"/>
        <v/>
      </c>
      <c r="J15" s="112"/>
      <c r="K15" s="38"/>
    </row>
    <row r="16" spans="1:11" s="27" customFormat="1" ht="15.6" x14ac:dyDescent="0.3">
      <c r="A16" s="59" t="s">
        <v>20</v>
      </c>
      <c r="B16" s="60" t="s">
        <v>21</v>
      </c>
      <c r="C16" s="61" t="s">
        <v>3</v>
      </c>
      <c r="D16" s="62" t="s">
        <v>3</v>
      </c>
      <c r="E16" s="41" t="str">
        <f>IF(D16="","",_xlfn.XLOOKUP(A16,[5]ריכוז!$A:$A,[5]ריכוז!$D:$D,"אין כזה"))</f>
        <v/>
      </c>
      <c r="F16" s="10" t="str">
        <f t="shared" si="1"/>
        <v/>
      </c>
      <c r="G16" s="10" t="str">
        <f t="shared" si="2"/>
        <v/>
      </c>
      <c r="H16" s="10" t="str">
        <f t="shared" si="0"/>
        <v/>
      </c>
      <c r="I16" s="57" t="str">
        <f t="shared" si="3"/>
        <v/>
      </c>
      <c r="J16" s="112"/>
      <c r="K16" s="38"/>
    </row>
    <row r="17" spans="1:11" ht="28.8" x14ac:dyDescent="0.3">
      <c r="A17" s="63" t="s">
        <v>22</v>
      </c>
      <c r="B17" s="55" t="s">
        <v>23</v>
      </c>
      <c r="C17" s="56" t="s">
        <v>24</v>
      </c>
      <c r="D17" s="57">
        <v>0</v>
      </c>
      <c r="E17" s="41">
        <f>IF(D17="","",_xlfn.XLOOKUP(A17,[5]ריכוז!$A:$A,[5]ריכוז!$D:$D,"אין כזה"))</f>
        <v>1760</v>
      </c>
      <c r="F17" s="10">
        <f t="shared" si="1"/>
        <v>264</v>
      </c>
      <c r="G17" s="10">
        <f t="shared" si="2"/>
        <v>88</v>
      </c>
      <c r="H17" s="10">
        <f t="shared" si="0"/>
        <v>1570.8</v>
      </c>
      <c r="I17" s="57">
        <f t="shared" si="3"/>
        <v>0</v>
      </c>
      <c r="J17" s="112"/>
      <c r="K17" s="38"/>
    </row>
    <row r="18" spans="1:11" ht="28.8" x14ac:dyDescent="0.3">
      <c r="A18" s="63" t="s">
        <v>25</v>
      </c>
      <c r="B18" s="55" t="s">
        <v>26</v>
      </c>
      <c r="C18" s="56" t="s">
        <v>24</v>
      </c>
      <c r="D18" s="57">
        <v>11.21</v>
      </c>
      <c r="E18" s="41">
        <f>IF(D18="","",_xlfn.XLOOKUP(A18,[5]ריכוז!$A:$A,[5]ריכוז!$D:$D,"אין כזה"))</f>
        <v>1980</v>
      </c>
      <c r="F18" s="10">
        <f t="shared" si="1"/>
        <v>297</v>
      </c>
      <c r="G18" s="10">
        <f t="shared" si="2"/>
        <v>99</v>
      </c>
      <c r="H18" s="10">
        <f t="shared" si="0"/>
        <v>1767.1499999999999</v>
      </c>
      <c r="I18" s="57">
        <f t="shared" si="3"/>
        <v>19809.751499999998</v>
      </c>
      <c r="J18" s="112"/>
      <c r="K18" s="38"/>
    </row>
    <row r="19" spans="1:11" ht="28.8" x14ac:dyDescent="0.3">
      <c r="A19" s="63" t="s">
        <v>27</v>
      </c>
      <c r="B19" s="55" t="s">
        <v>28</v>
      </c>
      <c r="C19" s="56" t="s">
        <v>24</v>
      </c>
      <c r="D19" s="57">
        <v>0</v>
      </c>
      <c r="E19" s="41">
        <f>IF(D19="","",_xlfn.XLOOKUP(A19,[5]ריכוז!$A:$A,[5]ריכוז!$D:$D,"אין כזה"))</f>
        <v>2210</v>
      </c>
      <c r="F19" s="10">
        <f t="shared" si="1"/>
        <v>331.5</v>
      </c>
      <c r="G19" s="10">
        <f t="shared" si="2"/>
        <v>110.5</v>
      </c>
      <c r="H19" s="10">
        <f t="shared" si="0"/>
        <v>1972.425</v>
      </c>
      <c r="I19" s="57">
        <f t="shared" si="3"/>
        <v>0</v>
      </c>
      <c r="J19" s="112"/>
      <c r="K19" s="38"/>
    </row>
    <row r="20" spans="1:11" ht="28.8" x14ac:dyDescent="0.3">
      <c r="A20" s="63" t="s">
        <v>29</v>
      </c>
      <c r="B20" s="55" t="s">
        <v>30</v>
      </c>
      <c r="C20" s="56" t="s">
        <v>17</v>
      </c>
      <c r="D20" s="57">
        <v>0</v>
      </c>
      <c r="E20" s="41">
        <f>IF(D20="","",_xlfn.XLOOKUP(A20,[5]ריכוז!$A:$A,[5]ריכוז!$D:$D,"אין כזה"))</f>
        <v>0.15</v>
      </c>
      <c r="F20" s="10">
        <f t="shared" si="1"/>
        <v>2.2499999999999999E-2</v>
      </c>
      <c r="G20" s="10">
        <f t="shared" si="2"/>
        <v>7.4999999999999997E-3</v>
      </c>
      <c r="H20" s="10">
        <f t="shared" si="0"/>
        <v>0.13387499999999999</v>
      </c>
      <c r="I20" s="57">
        <f t="shared" si="3"/>
        <v>0</v>
      </c>
      <c r="J20" s="112"/>
      <c r="K20" s="38"/>
    </row>
    <row r="21" spans="1:11" x14ac:dyDescent="0.3">
      <c r="A21" s="63" t="s">
        <v>31</v>
      </c>
      <c r="B21" s="55" t="s">
        <v>32</v>
      </c>
      <c r="C21" s="56" t="s">
        <v>2</v>
      </c>
      <c r="D21" s="57">
        <v>0</v>
      </c>
      <c r="E21" s="41">
        <f>IF(D21="","",_xlfn.XLOOKUP(A21,[5]ריכוז!$A:$A,[5]ריכוז!$D:$D,"אין כזה"))</f>
        <v>140</v>
      </c>
      <c r="F21" s="10">
        <f t="shared" si="1"/>
        <v>21</v>
      </c>
      <c r="G21" s="10">
        <f t="shared" si="2"/>
        <v>7</v>
      </c>
      <c r="H21" s="10">
        <f t="shared" si="0"/>
        <v>124.95</v>
      </c>
      <c r="I21" s="57">
        <f t="shared" si="3"/>
        <v>0</v>
      </c>
      <c r="J21" s="112"/>
      <c r="K21" s="38"/>
    </row>
    <row r="22" spans="1:11" x14ac:dyDescent="0.3">
      <c r="A22" s="63" t="s">
        <v>33</v>
      </c>
      <c r="B22" s="55" t="s">
        <v>34</v>
      </c>
      <c r="C22" s="56" t="s">
        <v>2</v>
      </c>
      <c r="D22" s="57">
        <v>0</v>
      </c>
      <c r="E22" s="41">
        <f>IF(D22="","",_xlfn.XLOOKUP(A22,[5]ריכוז!$A:$A,[5]ריכוז!$D:$D,"אין כזה"))</f>
        <v>240</v>
      </c>
      <c r="F22" s="10">
        <f t="shared" si="1"/>
        <v>36</v>
      </c>
      <c r="G22" s="10">
        <f t="shared" si="2"/>
        <v>12</v>
      </c>
      <c r="H22" s="10">
        <f t="shared" si="0"/>
        <v>214.2</v>
      </c>
      <c r="I22" s="57">
        <f t="shared" si="3"/>
        <v>0</v>
      </c>
      <c r="J22" s="112"/>
      <c r="K22" s="38"/>
    </row>
    <row r="23" spans="1:11" x14ac:dyDescent="0.3">
      <c r="A23" s="63" t="s">
        <v>35</v>
      </c>
      <c r="B23" s="55" t="s">
        <v>36</v>
      </c>
      <c r="C23" s="56" t="s">
        <v>2</v>
      </c>
      <c r="D23" s="57">
        <v>6</v>
      </c>
      <c r="E23" s="41">
        <f>IF(D23="","",_xlfn.XLOOKUP(A23,[5]ריכוז!$A:$A,[5]ריכוז!$D:$D,"אין כזה"))</f>
        <v>310</v>
      </c>
      <c r="F23" s="10">
        <f t="shared" si="1"/>
        <v>46.5</v>
      </c>
      <c r="G23" s="10">
        <f t="shared" si="2"/>
        <v>15.5</v>
      </c>
      <c r="H23" s="10">
        <f t="shared" si="0"/>
        <v>276.67500000000001</v>
      </c>
      <c r="I23" s="57">
        <f t="shared" si="3"/>
        <v>1660.0500000000002</v>
      </c>
      <c r="J23" s="112"/>
      <c r="K23" s="38"/>
    </row>
    <row r="24" spans="1:11" s="27" customFormat="1" ht="15.6" x14ac:dyDescent="0.3">
      <c r="A24" s="59" t="s">
        <v>37</v>
      </c>
      <c r="B24" s="60" t="s">
        <v>38</v>
      </c>
      <c r="C24" s="61" t="s">
        <v>3</v>
      </c>
      <c r="D24" s="62" t="s">
        <v>3</v>
      </c>
      <c r="E24" s="41" t="str">
        <f>IF(D24="","",_xlfn.XLOOKUP(A24,[5]ריכוז!$A:$A,[5]ריכוז!$D:$D,"אין כזה"))</f>
        <v/>
      </c>
      <c r="F24" s="10" t="str">
        <f t="shared" si="1"/>
        <v/>
      </c>
      <c r="G24" s="10" t="str">
        <f t="shared" si="2"/>
        <v/>
      </c>
      <c r="H24" s="10" t="str">
        <f t="shared" si="0"/>
        <v/>
      </c>
      <c r="I24" s="57" t="str">
        <f t="shared" si="3"/>
        <v/>
      </c>
      <c r="J24" s="112"/>
      <c r="K24" s="38"/>
    </row>
    <row r="25" spans="1:11" ht="28.8" x14ac:dyDescent="0.3">
      <c r="A25" s="63" t="s">
        <v>39</v>
      </c>
      <c r="B25" s="55" t="s">
        <v>40</v>
      </c>
      <c r="C25" s="56" t="s">
        <v>24</v>
      </c>
      <c r="D25" s="57">
        <v>0</v>
      </c>
      <c r="E25" s="41">
        <f>IF(D25="","",_xlfn.XLOOKUP(A25,[5]ריכוז!$A:$A,[5]ריכוז!$D:$D,"אין כזה"))</f>
        <v>2220</v>
      </c>
      <c r="F25" s="10">
        <f t="shared" si="1"/>
        <v>333</v>
      </c>
      <c r="G25" s="10">
        <f t="shared" si="2"/>
        <v>111</v>
      </c>
      <c r="H25" s="10">
        <f t="shared" si="0"/>
        <v>1981.35</v>
      </c>
      <c r="I25" s="57">
        <f t="shared" si="3"/>
        <v>0</v>
      </c>
      <c r="J25" s="112"/>
      <c r="K25" s="38"/>
    </row>
    <row r="26" spans="1:11" ht="28.8" x14ac:dyDescent="0.3">
      <c r="A26" s="63" t="s">
        <v>188</v>
      </c>
      <c r="B26" s="55" t="s">
        <v>40</v>
      </c>
      <c r="C26" s="56" t="s">
        <v>24</v>
      </c>
      <c r="D26" s="57">
        <v>0</v>
      </c>
      <c r="E26" s="41">
        <f>IF(D26="","",_xlfn.XLOOKUP(A26,[5]ריכוז!$A:$A,[5]ריכוז!$D:$D,"אין כזה"))</f>
        <v>2790</v>
      </c>
      <c r="F26" s="10">
        <f t="shared" si="1"/>
        <v>418.5</v>
      </c>
      <c r="G26" s="10">
        <f t="shared" si="2"/>
        <v>139.5</v>
      </c>
      <c r="H26" s="10">
        <f t="shared" si="0"/>
        <v>2490.0749999999998</v>
      </c>
      <c r="I26" s="57">
        <f t="shared" si="3"/>
        <v>0</v>
      </c>
      <c r="J26" s="112"/>
      <c r="K26" s="38"/>
    </row>
    <row r="27" spans="1:11" ht="28.8" x14ac:dyDescent="0.3">
      <c r="A27" s="63" t="s">
        <v>41</v>
      </c>
      <c r="B27" s="55" t="s">
        <v>42</v>
      </c>
      <c r="C27" s="56" t="s">
        <v>24</v>
      </c>
      <c r="D27" s="57">
        <v>0</v>
      </c>
      <c r="E27" s="41">
        <f>IF(D27="","",_xlfn.XLOOKUP(A27,[5]ריכוז!$A:$A,[5]ריכוז!$D:$D,"אין כזה"))</f>
        <v>2700</v>
      </c>
      <c r="F27" s="10">
        <f t="shared" si="1"/>
        <v>405</v>
      </c>
      <c r="G27" s="10">
        <f t="shared" si="2"/>
        <v>135</v>
      </c>
      <c r="H27" s="10">
        <f t="shared" si="0"/>
        <v>2409.75</v>
      </c>
      <c r="I27" s="57">
        <f t="shared" si="3"/>
        <v>0</v>
      </c>
      <c r="J27" s="112"/>
      <c r="K27" s="38"/>
    </row>
    <row r="28" spans="1:11" s="27" customFormat="1" ht="15.6" x14ac:dyDescent="0.3">
      <c r="A28" s="59" t="s">
        <v>43</v>
      </c>
      <c r="B28" s="60" t="s">
        <v>44</v>
      </c>
      <c r="C28" s="61" t="s">
        <v>3</v>
      </c>
      <c r="D28" s="62" t="s">
        <v>3</v>
      </c>
      <c r="E28" s="41" t="str">
        <f>IF(D28="","",_xlfn.XLOOKUP(A28,[5]ריכוז!$A:$A,[5]ריכוז!$D:$D,"אין כזה"))</f>
        <v/>
      </c>
      <c r="F28" s="10" t="str">
        <f t="shared" si="1"/>
        <v/>
      </c>
      <c r="G28" s="10" t="str">
        <f t="shared" si="2"/>
        <v/>
      </c>
      <c r="H28" s="10" t="str">
        <f t="shared" si="0"/>
        <v/>
      </c>
      <c r="I28" s="57" t="str">
        <f t="shared" si="3"/>
        <v/>
      </c>
      <c r="J28" s="112"/>
      <c r="K28" s="38"/>
    </row>
    <row r="29" spans="1:11" ht="28.8" x14ac:dyDescent="0.3">
      <c r="A29" s="63" t="s">
        <v>45</v>
      </c>
      <c r="B29" s="55" t="s">
        <v>46</v>
      </c>
      <c r="C29" s="56" t="s">
        <v>2</v>
      </c>
      <c r="D29" s="57">
        <v>0</v>
      </c>
      <c r="E29" s="41">
        <f>IF(D29="","",_xlfn.XLOOKUP(A29,[5]ריכוז!$A:$A,[5]ריכוז!$D:$D,"אין כזה"))</f>
        <v>1310</v>
      </c>
      <c r="F29" s="10">
        <f t="shared" si="1"/>
        <v>196.5</v>
      </c>
      <c r="G29" s="10">
        <f t="shared" si="2"/>
        <v>65.5</v>
      </c>
      <c r="H29" s="10">
        <f t="shared" si="0"/>
        <v>1169.175</v>
      </c>
      <c r="I29" s="57">
        <f t="shared" si="3"/>
        <v>0</v>
      </c>
      <c r="J29" s="112"/>
      <c r="K29" s="38"/>
    </row>
    <row r="30" spans="1:11" ht="28.8" x14ac:dyDescent="0.3">
      <c r="A30" s="63" t="s">
        <v>47</v>
      </c>
      <c r="B30" s="55" t="s">
        <v>48</v>
      </c>
      <c r="C30" s="56" t="s">
        <v>2</v>
      </c>
      <c r="D30" s="57">
        <v>0</v>
      </c>
      <c r="E30" s="41">
        <f>IF(D30="","",_xlfn.XLOOKUP(A30,[5]ריכוז!$A:$A,[5]ריכוז!$D:$D,"אין כזה"))</f>
        <v>2090</v>
      </c>
      <c r="F30" s="10">
        <f t="shared" si="1"/>
        <v>313.5</v>
      </c>
      <c r="G30" s="10">
        <f t="shared" si="2"/>
        <v>104.5</v>
      </c>
      <c r="H30" s="10">
        <f t="shared" si="0"/>
        <v>1865.325</v>
      </c>
      <c r="I30" s="57">
        <f t="shared" si="3"/>
        <v>0</v>
      </c>
      <c r="J30" s="112"/>
      <c r="K30" s="38"/>
    </row>
    <row r="31" spans="1:11" s="27" customFormat="1" ht="15.6" x14ac:dyDescent="0.3">
      <c r="A31" s="59" t="s">
        <v>50</v>
      </c>
      <c r="B31" s="60" t="s">
        <v>51</v>
      </c>
      <c r="C31" s="61" t="s">
        <v>3</v>
      </c>
      <c r="D31" s="62" t="s">
        <v>3</v>
      </c>
      <c r="E31" s="41" t="str">
        <f>IF(D31="","",_xlfn.XLOOKUP(A31,[5]ריכוז!$A:$A,[5]ריכוז!$D:$D,"אין כזה"))</f>
        <v/>
      </c>
      <c r="F31" s="10" t="str">
        <f t="shared" si="1"/>
        <v/>
      </c>
      <c r="G31" s="10" t="str">
        <f t="shared" si="2"/>
        <v/>
      </c>
      <c r="H31" s="10" t="str">
        <f t="shared" si="0"/>
        <v/>
      </c>
      <c r="I31" s="57" t="str">
        <f t="shared" si="3"/>
        <v/>
      </c>
      <c r="J31" s="112"/>
      <c r="K31" s="38"/>
    </row>
    <row r="32" spans="1:11" ht="28.8" x14ac:dyDescent="0.3">
      <c r="A32" s="63" t="s">
        <v>52</v>
      </c>
      <c r="B32" s="55" t="s">
        <v>53</v>
      </c>
      <c r="C32" s="56" t="s">
        <v>24</v>
      </c>
      <c r="D32" s="57">
        <v>0</v>
      </c>
      <c r="E32" s="41">
        <f>IF(D32="","",_xlfn.XLOOKUP(A32,[5]ריכוז!$A:$A,[5]ריכוז!$D:$D,"אין כזה"))</f>
        <v>1760</v>
      </c>
      <c r="F32" s="10">
        <f t="shared" si="1"/>
        <v>264</v>
      </c>
      <c r="G32" s="10">
        <f t="shared" si="2"/>
        <v>88</v>
      </c>
      <c r="H32" s="10">
        <f t="shared" si="0"/>
        <v>1570.8</v>
      </c>
      <c r="I32" s="57">
        <f t="shared" si="3"/>
        <v>0</v>
      </c>
      <c r="J32" s="112"/>
      <c r="K32" s="38"/>
    </row>
    <row r="33" spans="1:11" ht="28.8" x14ac:dyDescent="0.3">
      <c r="A33" s="63" t="s">
        <v>54</v>
      </c>
      <c r="B33" s="55" t="s">
        <v>55</v>
      </c>
      <c r="C33" s="56" t="s">
        <v>24</v>
      </c>
      <c r="D33" s="57">
        <v>8.74</v>
      </c>
      <c r="E33" s="41">
        <f>IF(D33="","",_xlfn.XLOOKUP(A33,[5]ריכוז!$A:$A,[5]ריכוז!$D:$D,"אין כזה"))</f>
        <v>1850</v>
      </c>
      <c r="F33" s="10">
        <f t="shared" si="1"/>
        <v>277.5</v>
      </c>
      <c r="G33" s="10">
        <f t="shared" si="2"/>
        <v>92.5</v>
      </c>
      <c r="H33" s="10">
        <f t="shared" si="0"/>
        <v>1651.125</v>
      </c>
      <c r="I33" s="57">
        <f t="shared" si="3"/>
        <v>14430.8325</v>
      </c>
      <c r="J33" s="112"/>
      <c r="K33" s="38"/>
    </row>
    <row r="34" spans="1:11" ht="28.8" x14ac:dyDescent="0.3">
      <c r="A34" s="63" t="s">
        <v>56</v>
      </c>
      <c r="B34" s="55" t="s">
        <v>57</v>
      </c>
      <c r="C34" s="56" t="s">
        <v>24</v>
      </c>
      <c r="D34" s="57">
        <v>0</v>
      </c>
      <c r="E34" s="41">
        <f>IF(D34="","",_xlfn.XLOOKUP(A34,[5]ריכוז!$A:$A,[5]ריכוז!$D:$D,"אין כזה"))</f>
        <v>1680</v>
      </c>
      <c r="F34" s="10">
        <f t="shared" si="1"/>
        <v>252</v>
      </c>
      <c r="G34" s="10">
        <f t="shared" si="2"/>
        <v>84</v>
      </c>
      <c r="H34" s="10">
        <f t="shared" si="0"/>
        <v>1499.3999999999999</v>
      </c>
      <c r="I34" s="57">
        <f t="shared" si="3"/>
        <v>0</v>
      </c>
      <c r="J34" s="112"/>
      <c r="K34" s="38"/>
    </row>
    <row r="35" spans="1:11" s="27" customFormat="1" ht="15.6" x14ac:dyDescent="0.3">
      <c r="A35" s="59" t="s">
        <v>58</v>
      </c>
      <c r="B35" s="60" t="s">
        <v>59</v>
      </c>
      <c r="C35" s="61" t="s">
        <v>3</v>
      </c>
      <c r="D35" s="62" t="s">
        <v>3</v>
      </c>
      <c r="E35" s="41" t="str">
        <f>IF(D35="","",_xlfn.XLOOKUP(A35,[5]ריכוז!$A:$A,[5]ריכוז!$D:$D,"אין כזה"))</f>
        <v/>
      </c>
      <c r="F35" s="10" t="str">
        <f t="shared" si="1"/>
        <v/>
      </c>
      <c r="G35" s="10" t="str">
        <f t="shared" si="2"/>
        <v/>
      </c>
      <c r="H35" s="10" t="str">
        <f t="shared" si="0"/>
        <v/>
      </c>
      <c r="I35" s="57" t="str">
        <f t="shared" si="3"/>
        <v/>
      </c>
      <c r="J35" s="112"/>
      <c r="K35" s="38"/>
    </row>
    <row r="36" spans="1:11" s="27" customFormat="1" ht="28.8" x14ac:dyDescent="0.3">
      <c r="A36" s="63" t="s">
        <v>171</v>
      </c>
      <c r="B36" s="55" t="s">
        <v>172</v>
      </c>
      <c r="C36" s="56" t="s">
        <v>24</v>
      </c>
      <c r="D36" s="57">
        <v>0</v>
      </c>
      <c r="E36" s="41">
        <f>IF(D36="","",_xlfn.XLOOKUP(A36,[5]ריכוז!$A:$A,[5]ריכוז!$D:$D,"אין כזה"))</f>
        <v>2850</v>
      </c>
      <c r="F36" s="10">
        <f t="shared" si="1"/>
        <v>427.5</v>
      </c>
      <c r="G36" s="10">
        <f t="shared" si="2"/>
        <v>142.5</v>
      </c>
      <c r="H36" s="10">
        <f t="shared" si="0"/>
        <v>2543.625</v>
      </c>
      <c r="I36" s="57">
        <f t="shared" si="3"/>
        <v>0</v>
      </c>
      <c r="J36" s="112"/>
      <c r="K36" s="38"/>
    </row>
    <row r="37" spans="1:11" ht="28.8" x14ac:dyDescent="0.3">
      <c r="A37" s="63" t="s">
        <v>60</v>
      </c>
      <c r="B37" s="55" t="s">
        <v>61</v>
      </c>
      <c r="C37" s="56" t="s">
        <v>24</v>
      </c>
      <c r="D37" s="57">
        <v>0</v>
      </c>
      <c r="E37" s="41">
        <f>IF(D37="","",_xlfn.XLOOKUP(A37,[5]ריכוז!$A:$A,[5]ריכוז!$D:$D,"אין כזה"))</f>
        <v>2300</v>
      </c>
      <c r="F37" s="10">
        <f t="shared" si="1"/>
        <v>345</v>
      </c>
      <c r="G37" s="10">
        <f t="shared" si="2"/>
        <v>115</v>
      </c>
      <c r="H37" s="10">
        <f t="shared" si="0"/>
        <v>2052.75</v>
      </c>
      <c r="I37" s="57">
        <f t="shared" si="3"/>
        <v>0</v>
      </c>
      <c r="J37" s="112"/>
      <c r="K37" s="38"/>
    </row>
    <row r="38" spans="1:11" ht="28.8" x14ac:dyDescent="0.3">
      <c r="A38" s="63" t="s">
        <v>62</v>
      </c>
      <c r="B38" s="55" t="s">
        <v>63</v>
      </c>
      <c r="C38" s="56" t="s">
        <v>24</v>
      </c>
      <c r="D38" s="57">
        <v>0</v>
      </c>
      <c r="E38" s="41">
        <f>IF(D38="","",_xlfn.XLOOKUP(A38,[5]ריכוז!$A:$A,[5]ריכוז!$D:$D,"אין כזה"))</f>
        <v>3250</v>
      </c>
      <c r="F38" s="10">
        <f t="shared" si="1"/>
        <v>487.5</v>
      </c>
      <c r="G38" s="10">
        <f t="shared" si="2"/>
        <v>162.5</v>
      </c>
      <c r="H38" s="10">
        <f t="shared" si="0"/>
        <v>2900.625</v>
      </c>
      <c r="I38" s="57">
        <f t="shared" si="3"/>
        <v>0</v>
      </c>
      <c r="J38" s="112"/>
      <c r="K38" s="38"/>
    </row>
    <row r="39" spans="1:11" s="27" customFormat="1" ht="15.6" x14ac:dyDescent="0.3">
      <c r="A39" s="59" t="s">
        <v>64</v>
      </c>
      <c r="B39" s="60" t="s">
        <v>65</v>
      </c>
      <c r="C39" s="61" t="s">
        <v>3</v>
      </c>
      <c r="D39" s="62" t="s">
        <v>3</v>
      </c>
      <c r="E39" s="41" t="str">
        <f>IF(D39="","",_xlfn.XLOOKUP(A39,[5]ריכוז!$A:$A,[5]ריכוז!$D:$D,"אין כזה"))</f>
        <v/>
      </c>
      <c r="F39" s="10" t="str">
        <f t="shared" si="1"/>
        <v/>
      </c>
      <c r="G39" s="10" t="str">
        <f t="shared" si="2"/>
        <v/>
      </c>
      <c r="H39" s="10" t="str">
        <f t="shared" si="0"/>
        <v/>
      </c>
      <c r="I39" s="57" t="str">
        <f t="shared" si="3"/>
        <v/>
      </c>
      <c r="J39" s="112"/>
      <c r="K39" s="38"/>
    </row>
    <row r="40" spans="1:11" x14ac:dyDescent="0.3">
      <c r="A40" s="63" t="s">
        <v>66</v>
      </c>
      <c r="B40" s="55" t="s">
        <v>67</v>
      </c>
      <c r="C40" s="56" t="s">
        <v>24</v>
      </c>
      <c r="D40" s="57">
        <f>D33+D38</f>
        <v>8.74</v>
      </c>
      <c r="E40" s="41">
        <f>IF(D40="","",_xlfn.XLOOKUP(A40,[5]ריכוז!$A:$A,[5]ריכוז!$D:$D,"אין כזה"))</f>
        <v>88</v>
      </c>
      <c r="F40" s="10">
        <f t="shared" si="1"/>
        <v>13.2</v>
      </c>
      <c r="G40" s="10">
        <f t="shared" si="2"/>
        <v>4.4000000000000004</v>
      </c>
      <c r="H40" s="10">
        <f t="shared" si="0"/>
        <v>78.540000000000006</v>
      </c>
      <c r="I40" s="57">
        <f t="shared" si="3"/>
        <v>686.43960000000004</v>
      </c>
      <c r="J40" s="112"/>
      <c r="K40" s="38"/>
    </row>
    <row r="41" spans="1:11" s="27" customFormat="1" ht="15.6" x14ac:dyDescent="0.3">
      <c r="A41" s="59" t="s">
        <v>68</v>
      </c>
      <c r="B41" s="60" t="s">
        <v>69</v>
      </c>
      <c r="C41" s="61" t="s">
        <v>3</v>
      </c>
      <c r="D41" s="62" t="s">
        <v>3</v>
      </c>
      <c r="E41" s="41" t="str">
        <f>IF(D41="","",_xlfn.XLOOKUP(A41,[5]ריכוז!$A:$A,[5]ריכוז!$D:$D,"אין כזה"))</f>
        <v/>
      </c>
      <c r="F41" s="10" t="str">
        <f t="shared" si="1"/>
        <v/>
      </c>
      <c r="G41" s="10" t="str">
        <f t="shared" si="2"/>
        <v/>
      </c>
      <c r="H41" s="10" t="str">
        <f t="shared" si="0"/>
        <v/>
      </c>
      <c r="I41" s="57" t="str">
        <f t="shared" si="3"/>
        <v/>
      </c>
      <c r="J41" s="112"/>
      <c r="K41" s="38"/>
    </row>
    <row r="42" spans="1:11" ht="28.8" x14ac:dyDescent="0.3">
      <c r="A42" s="63" t="s">
        <v>70</v>
      </c>
      <c r="B42" s="55" t="s">
        <v>71</v>
      </c>
      <c r="C42" s="56" t="s">
        <v>24</v>
      </c>
      <c r="D42" s="57">
        <v>0</v>
      </c>
      <c r="E42" s="41">
        <f>IF(D42="","",_xlfn.XLOOKUP(A42,[5]ריכוז!$A:$A,[5]ריכוז!$D:$D,"אין כזה"))</f>
        <v>717</v>
      </c>
      <c r="F42" s="10">
        <f t="shared" si="1"/>
        <v>107.55</v>
      </c>
      <c r="G42" s="10">
        <f t="shared" si="2"/>
        <v>35.85</v>
      </c>
      <c r="H42" s="10">
        <f t="shared" si="0"/>
        <v>639.92250000000001</v>
      </c>
      <c r="I42" s="57">
        <f t="shared" si="3"/>
        <v>0</v>
      </c>
      <c r="J42" s="112"/>
      <c r="K42" s="38"/>
    </row>
    <row r="43" spans="1:11" ht="28.8" x14ac:dyDescent="0.3">
      <c r="A43" s="63" t="s">
        <v>72</v>
      </c>
      <c r="B43" s="55" t="s">
        <v>73</v>
      </c>
      <c r="C43" s="56" t="s">
        <v>24</v>
      </c>
      <c r="D43" s="57">
        <v>0</v>
      </c>
      <c r="E43" s="41">
        <f>IF(D43="","",_xlfn.XLOOKUP(A43,[5]ריכוז!$A:$A,[5]ריכוז!$D:$D,"אין כזה"))</f>
        <v>582</v>
      </c>
      <c r="F43" s="10">
        <f t="shared" si="1"/>
        <v>87.3</v>
      </c>
      <c r="G43" s="10">
        <f t="shared" si="2"/>
        <v>29.1</v>
      </c>
      <c r="H43" s="10">
        <f t="shared" si="0"/>
        <v>519.43500000000006</v>
      </c>
      <c r="I43" s="57">
        <f t="shared" si="3"/>
        <v>0</v>
      </c>
      <c r="J43" s="112"/>
      <c r="K43" s="38"/>
    </row>
    <row r="44" spans="1:11" ht="28.2" x14ac:dyDescent="0.3">
      <c r="A44" s="9" t="s">
        <v>218</v>
      </c>
      <c r="B44" s="2" t="s">
        <v>219</v>
      </c>
      <c r="C44" s="56" t="s">
        <v>24</v>
      </c>
      <c r="D44" s="57">
        <f>D18</f>
        <v>11.21</v>
      </c>
      <c r="E44" s="41">
        <v>800</v>
      </c>
      <c r="F44" s="10">
        <f t="shared" si="1"/>
        <v>120</v>
      </c>
      <c r="G44" s="10">
        <f t="shared" si="2"/>
        <v>40</v>
      </c>
      <c r="H44" s="10">
        <f t="shared" si="0"/>
        <v>714</v>
      </c>
      <c r="I44" s="57">
        <f t="shared" si="3"/>
        <v>8003.9400000000005</v>
      </c>
      <c r="J44" s="112"/>
      <c r="K44" s="38"/>
    </row>
    <row r="45" spans="1:11" ht="28.8" x14ac:dyDescent="0.3">
      <c r="A45" s="63" t="s">
        <v>173</v>
      </c>
      <c r="B45" s="55" t="s">
        <v>174</v>
      </c>
      <c r="C45" s="56" t="s">
        <v>24</v>
      </c>
      <c r="D45" s="57">
        <f>D33</f>
        <v>8.74</v>
      </c>
      <c r="E45" s="41">
        <f>IF(D45="","",_xlfn.XLOOKUP(A45,[5]ריכוז!$A:$A,[5]ריכוז!$D:$D,"אין כזה"))</f>
        <v>1440</v>
      </c>
      <c r="F45" s="10">
        <f t="shared" si="1"/>
        <v>216</v>
      </c>
      <c r="G45" s="10">
        <f t="shared" si="2"/>
        <v>72</v>
      </c>
      <c r="H45" s="10">
        <f t="shared" si="0"/>
        <v>1285.2</v>
      </c>
      <c r="I45" s="57">
        <f t="shared" si="3"/>
        <v>11232.648000000001</v>
      </c>
      <c r="J45" s="112"/>
      <c r="K45" s="38"/>
    </row>
    <row r="46" spans="1:11" x14ac:dyDescent="0.3">
      <c r="A46" s="63" t="s">
        <v>74</v>
      </c>
      <c r="B46" s="55" t="s">
        <v>75</v>
      </c>
      <c r="C46" s="56" t="s">
        <v>2</v>
      </c>
      <c r="D46" s="57">
        <v>0</v>
      </c>
      <c r="E46" s="41">
        <f>IF(D46="","",_xlfn.XLOOKUP(A46,[5]ריכוז!$A:$A,[5]ריכוז!$D:$D,"אין כזה"))</f>
        <v>620</v>
      </c>
      <c r="F46" s="10">
        <f t="shared" si="1"/>
        <v>93</v>
      </c>
      <c r="G46" s="10">
        <f t="shared" si="2"/>
        <v>31</v>
      </c>
      <c r="H46" s="10">
        <f t="shared" si="0"/>
        <v>553.35</v>
      </c>
      <c r="I46" s="57">
        <f t="shared" si="3"/>
        <v>0</v>
      </c>
      <c r="J46" s="112"/>
      <c r="K46" s="38"/>
    </row>
    <row r="47" spans="1:11" x14ac:dyDescent="0.3">
      <c r="A47" s="63" t="s">
        <v>76</v>
      </c>
      <c r="B47" s="55" t="s">
        <v>77</v>
      </c>
      <c r="C47" s="56" t="s">
        <v>2</v>
      </c>
      <c r="D47" s="57">
        <v>0</v>
      </c>
      <c r="E47" s="41">
        <f>IF(D47="","",_xlfn.XLOOKUP(A47,[5]ריכוז!$A:$A,[5]ריכוז!$D:$D,"אין כזה"))</f>
        <v>750</v>
      </c>
      <c r="F47" s="10">
        <f t="shared" si="1"/>
        <v>112.5</v>
      </c>
      <c r="G47" s="10">
        <f t="shared" si="2"/>
        <v>37.5</v>
      </c>
      <c r="H47" s="10">
        <f t="shared" si="0"/>
        <v>669.375</v>
      </c>
      <c r="I47" s="57">
        <f t="shared" si="3"/>
        <v>0</v>
      </c>
      <c r="J47" s="112"/>
      <c r="K47" s="38"/>
    </row>
    <row r="48" spans="1:11" x14ac:dyDescent="0.3">
      <c r="A48" s="63" t="s">
        <v>78</v>
      </c>
      <c r="B48" s="55" t="s">
        <v>79</v>
      </c>
      <c r="C48" s="56" t="s">
        <v>2</v>
      </c>
      <c r="D48" s="57">
        <v>1</v>
      </c>
      <c r="E48" s="41">
        <f>IF(D48="","",_xlfn.XLOOKUP(A48,[5]ריכוז!$A:$A,[5]ריכוז!$D:$D,"אין כזה"))</f>
        <v>1020</v>
      </c>
      <c r="F48" s="10">
        <f t="shared" si="1"/>
        <v>153</v>
      </c>
      <c r="G48" s="10">
        <f t="shared" si="2"/>
        <v>51</v>
      </c>
      <c r="H48" s="10">
        <f t="shared" si="0"/>
        <v>910.35</v>
      </c>
      <c r="I48" s="57">
        <f t="shared" si="3"/>
        <v>910.35</v>
      </c>
      <c r="J48" s="112"/>
      <c r="K48" s="38"/>
    </row>
    <row r="49" spans="1:11" x14ac:dyDescent="0.3">
      <c r="A49" s="63" t="s">
        <v>80</v>
      </c>
      <c r="B49" s="55" t="s">
        <v>81</v>
      </c>
      <c r="C49" s="56" t="s">
        <v>2</v>
      </c>
      <c r="D49" s="57">
        <v>5</v>
      </c>
      <c r="E49" s="41">
        <f>IF(D49="","",_xlfn.XLOOKUP(A49,[5]ריכוז!$A:$A,[5]ריכוז!$D:$D,"אין כזה"))</f>
        <v>1370</v>
      </c>
      <c r="F49" s="10">
        <f t="shared" si="1"/>
        <v>205.5</v>
      </c>
      <c r="G49" s="10">
        <f t="shared" si="2"/>
        <v>68.5</v>
      </c>
      <c r="H49" s="10">
        <f t="shared" si="0"/>
        <v>1222.7249999999999</v>
      </c>
      <c r="I49" s="57">
        <f t="shared" si="3"/>
        <v>6113.625</v>
      </c>
      <c r="J49" s="112"/>
      <c r="K49" s="38"/>
    </row>
    <row r="50" spans="1:11" x14ac:dyDescent="0.3">
      <c r="A50" s="63" t="s">
        <v>82</v>
      </c>
      <c r="B50" s="55" t="s">
        <v>83</v>
      </c>
      <c r="C50" s="56" t="s">
        <v>2</v>
      </c>
      <c r="D50" s="57">
        <v>0</v>
      </c>
      <c r="E50" s="41">
        <f>IF(D50="","",_xlfn.XLOOKUP(A50,[5]ריכוז!$A:$A,[5]ריכוז!$D:$D,"אין כזה"))</f>
        <v>1650</v>
      </c>
      <c r="F50" s="10">
        <f t="shared" si="1"/>
        <v>247.5</v>
      </c>
      <c r="G50" s="10">
        <f t="shared" si="2"/>
        <v>82.5</v>
      </c>
      <c r="H50" s="10">
        <f t="shared" si="0"/>
        <v>1472.625</v>
      </c>
      <c r="I50" s="57">
        <f t="shared" si="3"/>
        <v>0</v>
      </c>
      <c r="J50" s="112"/>
      <c r="K50" s="38"/>
    </row>
    <row r="51" spans="1:11" x14ac:dyDescent="0.3">
      <c r="A51" s="63" t="s">
        <v>84</v>
      </c>
      <c r="B51" s="55" t="s">
        <v>85</v>
      </c>
      <c r="C51" s="56" t="s">
        <v>2</v>
      </c>
      <c r="D51" s="57">
        <v>1</v>
      </c>
      <c r="E51" s="41">
        <f>IF(D51="","",_xlfn.XLOOKUP(A51,[5]ריכוז!$A:$A,[5]ריכוז!$D:$D,"אין כזה"))</f>
        <v>1820</v>
      </c>
      <c r="F51" s="10">
        <f t="shared" si="1"/>
        <v>273</v>
      </c>
      <c r="G51" s="10">
        <f t="shared" si="2"/>
        <v>91</v>
      </c>
      <c r="H51" s="10">
        <f t="shared" si="0"/>
        <v>1624.35</v>
      </c>
      <c r="I51" s="57">
        <f t="shared" si="3"/>
        <v>1624.35</v>
      </c>
      <c r="J51" s="112"/>
      <c r="K51" s="38"/>
    </row>
    <row r="52" spans="1:11" x14ac:dyDescent="0.3">
      <c r="A52" s="63" t="s">
        <v>86</v>
      </c>
      <c r="B52" s="55" t="s">
        <v>87</v>
      </c>
      <c r="C52" s="56" t="s">
        <v>2</v>
      </c>
      <c r="D52" s="57">
        <v>0</v>
      </c>
      <c r="E52" s="41">
        <f>IF(D52="","",_xlfn.XLOOKUP(A52,[5]ריכוז!$A:$A,[5]ריכוז!$D:$D,"אין כזה"))</f>
        <v>130</v>
      </c>
      <c r="F52" s="10">
        <f t="shared" si="1"/>
        <v>19.5</v>
      </c>
      <c r="G52" s="10">
        <f t="shared" si="2"/>
        <v>6.5</v>
      </c>
      <c r="H52" s="10">
        <f t="shared" si="0"/>
        <v>116.02499999999999</v>
      </c>
      <c r="I52" s="57">
        <f t="shared" si="3"/>
        <v>0</v>
      </c>
      <c r="J52" s="112"/>
      <c r="K52" s="38"/>
    </row>
    <row r="53" spans="1:11" x14ac:dyDescent="0.3">
      <c r="A53" s="63" t="s">
        <v>175</v>
      </c>
      <c r="B53" s="55" t="s">
        <v>176</v>
      </c>
      <c r="C53" s="56" t="s">
        <v>24</v>
      </c>
      <c r="D53" s="57">
        <f>(D44+D45+D42+D43)</f>
        <v>19.950000000000003</v>
      </c>
      <c r="E53" s="41">
        <f>IF(D53="","",_xlfn.XLOOKUP(A53,[5]ריכוז!$A:$A,[5]ריכוז!$D:$D,"אין כזה"))</f>
        <v>60</v>
      </c>
      <c r="F53" s="10">
        <f t="shared" si="1"/>
        <v>9</v>
      </c>
      <c r="G53" s="10">
        <f t="shared" si="2"/>
        <v>3</v>
      </c>
      <c r="H53" s="10">
        <f t="shared" si="0"/>
        <v>53.55</v>
      </c>
      <c r="I53" s="57">
        <f t="shared" si="3"/>
        <v>1068.3225</v>
      </c>
      <c r="J53" s="112"/>
      <c r="K53" s="38"/>
    </row>
    <row r="54" spans="1:11" x14ac:dyDescent="0.3">
      <c r="A54" s="63" t="s">
        <v>88</v>
      </c>
      <c r="B54" s="55" t="s">
        <v>89</v>
      </c>
      <c r="C54" s="56" t="s">
        <v>2</v>
      </c>
      <c r="D54" s="57">
        <v>1</v>
      </c>
      <c r="E54" s="41">
        <f>IF(D54="","",_xlfn.XLOOKUP(A54,[5]ריכוז!$A:$A,[5]ריכוז!$D:$D,"אין כזה"))</f>
        <v>109</v>
      </c>
      <c r="F54" s="10">
        <f t="shared" si="1"/>
        <v>16.349999999999998</v>
      </c>
      <c r="G54" s="10">
        <f t="shared" si="2"/>
        <v>5.45</v>
      </c>
      <c r="H54" s="10">
        <f t="shared" si="0"/>
        <v>97.282499999999999</v>
      </c>
      <c r="I54" s="57">
        <f t="shared" si="3"/>
        <v>97.282499999999999</v>
      </c>
      <c r="J54" s="112"/>
      <c r="K54" s="38"/>
    </row>
    <row r="55" spans="1:11" x14ac:dyDescent="0.3">
      <c r="A55" s="63" t="s">
        <v>90</v>
      </c>
      <c r="B55" s="55" t="s">
        <v>91</v>
      </c>
      <c r="C55" s="56" t="s">
        <v>2</v>
      </c>
      <c r="D55" s="57">
        <v>5</v>
      </c>
      <c r="E55" s="41">
        <f>IF(D55="","",_xlfn.XLOOKUP(A55,[5]ריכוז!$A:$A,[5]ריכוז!$D:$D,"אין כזה"))</f>
        <v>121</v>
      </c>
      <c r="F55" s="10">
        <f t="shared" si="1"/>
        <v>18.149999999999999</v>
      </c>
      <c r="G55" s="10">
        <f t="shared" si="2"/>
        <v>6.0500000000000007</v>
      </c>
      <c r="H55" s="10">
        <f t="shared" si="0"/>
        <v>107.99250000000001</v>
      </c>
      <c r="I55" s="57">
        <f t="shared" si="3"/>
        <v>539.96250000000009</v>
      </c>
      <c r="J55" s="112"/>
      <c r="K55" s="38"/>
    </row>
    <row r="56" spans="1:11" ht="14.4" customHeight="1" x14ac:dyDescent="0.3">
      <c r="A56" s="63" t="s">
        <v>195</v>
      </c>
      <c r="B56" s="55" t="s">
        <v>182</v>
      </c>
      <c r="C56" s="56" t="s">
        <v>2</v>
      </c>
      <c r="D56" s="57">
        <v>0</v>
      </c>
      <c r="E56" s="41">
        <f>IF(D56="","",_xlfn.XLOOKUP(A56,[5]ריכוז!$A:$A,[5]ריכוז!$D:$D,"אין כזה"))</f>
        <v>133</v>
      </c>
      <c r="F56" s="10">
        <f t="shared" si="1"/>
        <v>19.95</v>
      </c>
      <c r="G56" s="10">
        <f t="shared" si="2"/>
        <v>6.65</v>
      </c>
      <c r="H56" s="10">
        <f t="shared" si="0"/>
        <v>118.7025</v>
      </c>
      <c r="I56" s="57">
        <f t="shared" si="3"/>
        <v>0</v>
      </c>
      <c r="J56" s="112"/>
      <c r="K56" s="38"/>
    </row>
    <row r="57" spans="1:11" ht="14.4" customHeight="1" x14ac:dyDescent="0.3">
      <c r="A57" s="63" t="s">
        <v>196</v>
      </c>
      <c r="B57" s="55" t="s">
        <v>183</v>
      </c>
      <c r="C57" s="56" t="s">
        <v>2</v>
      </c>
      <c r="D57" s="57">
        <v>0</v>
      </c>
      <c r="E57" s="41">
        <f>IF(D57="","",_xlfn.XLOOKUP(A57,[5]ריכוז!$A:$A,[5]ריכוז!$D:$D,"אין כזה"))</f>
        <v>145</v>
      </c>
      <c r="F57" s="10">
        <f t="shared" si="1"/>
        <v>21.75</v>
      </c>
      <c r="G57" s="10">
        <f t="shared" si="2"/>
        <v>7.25</v>
      </c>
      <c r="H57" s="10">
        <f t="shared" si="0"/>
        <v>129.41249999999999</v>
      </c>
      <c r="I57" s="57">
        <f t="shared" si="3"/>
        <v>0</v>
      </c>
      <c r="J57" s="112"/>
      <c r="K57" s="38"/>
    </row>
    <row r="58" spans="1:11" ht="14.4" customHeight="1" x14ac:dyDescent="0.3">
      <c r="A58" s="63" t="s">
        <v>197</v>
      </c>
      <c r="B58" s="55" t="s">
        <v>184</v>
      </c>
      <c r="C58" s="56" t="s">
        <v>2</v>
      </c>
      <c r="D58" s="57">
        <v>0</v>
      </c>
      <c r="E58" s="41">
        <f>IF(D58="","",_xlfn.XLOOKUP(A58,[5]ריכוז!$A:$A,[5]ריכוז!$D:$D,"אין כזה"))</f>
        <v>157</v>
      </c>
      <c r="F58" s="10">
        <f t="shared" si="1"/>
        <v>23.55</v>
      </c>
      <c r="G58" s="10">
        <f t="shared" si="2"/>
        <v>7.8500000000000005</v>
      </c>
      <c r="H58" s="10">
        <f t="shared" si="0"/>
        <v>140.1225</v>
      </c>
      <c r="I58" s="57">
        <f t="shared" si="3"/>
        <v>0</v>
      </c>
      <c r="J58" s="112"/>
      <c r="K58" s="38"/>
    </row>
    <row r="59" spans="1:11" ht="14.4" customHeight="1" x14ac:dyDescent="0.3">
      <c r="A59" s="63" t="s">
        <v>198</v>
      </c>
      <c r="B59" s="55" t="s">
        <v>185</v>
      </c>
      <c r="C59" s="56" t="s">
        <v>2</v>
      </c>
      <c r="D59" s="57">
        <v>1</v>
      </c>
      <c r="E59" s="41">
        <f>IF(D59="","",_xlfn.XLOOKUP(A59,[5]ריכוז!$A:$A,[5]ריכוז!$D:$D,"אין כזה"))</f>
        <v>169</v>
      </c>
      <c r="F59" s="10">
        <f t="shared" si="1"/>
        <v>25.349999999999998</v>
      </c>
      <c r="G59" s="10">
        <f t="shared" si="2"/>
        <v>8.4500000000000011</v>
      </c>
      <c r="H59" s="10">
        <f t="shared" si="0"/>
        <v>150.83250000000001</v>
      </c>
      <c r="I59" s="57">
        <f t="shared" si="3"/>
        <v>150.83250000000001</v>
      </c>
      <c r="J59" s="112"/>
      <c r="K59" s="38"/>
    </row>
    <row r="60" spans="1:11" ht="14.4" customHeight="1" x14ac:dyDescent="0.3">
      <c r="A60" s="63" t="s">
        <v>199</v>
      </c>
      <c r="B60" s="55" t="s">
        <v>186</v>
      </c>
      <c r="C60" s="56" t="s">
        <v>2</v>
      </c>
      <c r="D60" s="57">
        <v>0</v>
      </c>
      <c r="E60" s="41">
        <f>IF(D60="","",_xlfn.XLOOKUP(A60,[5]ריכוז!$A:$A,[5]ריכוז!$D:$D,"אין כזה"))</f>
        <v>181</v>
      </c>
      <c r="F60" s="10">
        <f t="shared" si="1"/>
        <v>27.15</v>
      </c>
      <c r="G60" s="10">
        <f t="shared" si="2"/>
        <v>9.0500000000000007</v>
      </c>
      <c r="H60" s="10">
        <f t="shared" si="0"/>
        <v>161.54250000000002</v>
      </c>
      <c r="I60" s="57">
        <f t="shared" si="3"/>
        <v>0</v>
      </c>
      <c r="J60" s="112"/>
      <c r="K60" s="38"/>
    </row>
    <row r="61" spans="1:11" ht="14.4" customHeight="1" x14ac:dyDescent="0.3">
      <c r="A61" s="63" t="s">
        <v>200</v>
      </c>
      <c r="B61" s="55" t="s">
        <v>187</v>
      </c>
      <c r="C61" s="56" t="s">
        <v>2</v>
      </c>
      <c r="D61" s="57">
        <v>0</v>
      </c>
      <c r="E61" s="41">
        <f>IF(D61="","",_xlfn.XLOOKUP(A61,[5]ריכוז!$A:$A,[5]ריכוז!$D:$D,"אין כזה"))</f>
        <v>193</v>
      </c>
      <c r="F61" s="10">
        <f t="shared" si="1"/>
        <v>28.95</v>
      </c>
      <c r="G61" s="10">
        <f t="shared" si="2"/>
        <v>9.65</v>
      </c>
      <c r="H61" s="10">
        <f t="shared" si="0"/>
        <v>172.2525</v>
      </c>
      <c r="I61" s="57">
        <f t="shared" si="3"/>
        <v>0</v>
      </c>
      <c r="J61" s="112"/>
      <c r="K61" s="38"/>
    </row>
    <row r="62" spans="1:11" s="27" customFormat="1" ht="15.6" x14ac:dyDescent="0.3">
      <c r="A62" s="59" t="s">
        <v>92</v>
      </c>
      <c r="B62" s="60" t="s">
        <v>93</v>
      </c>
      <c r="C62" s="61" t="s">
        <v>3</v>
      </c>
      <c r="D62" s="62" t="s">
        <v>3</v>
      </c>
      <c r="E62" s="41" t="str">
        <f>IF(D62="","",_xlfn.XLOOKUP(A62,[5]ריכוז!$A:$A,[5]ריכוז!$D:$D,"אין כזה"))</f>
        <v/>
      </c>
      <c r="F62" s="10" t="str">
        <f t="shared" si="1"/>
        <v/>
      </c>
      <c r="G62" s="10" t="str">
        <f t="shared" si="2"/>
        <v/>
      </c>
      <c r="H62" s="10" t="str">
        <f t="shared" si="0"/>
        <v/>
      </c>
      <c r="I62" s="57" t="str">
        <f t="shared" si="3"/>
        <v/>
      </c>
      <c r="J62" s="112"/>
      <c r="K62" s="38"/>
    </row>
    <row r="63" spans="1:11" ht="15" thickBot="1" x14ac:dyDescent="0.35">
      <c r="A63" s="54" t="s">
        <v>94</v>
      </c>
      <c r="B63" s="55" t="s">
        <v>95</v>
      </c>
      <c r="C63" s="56" t="s">
        <v>24</v>
      </c>
      <c r="D63" s="92">
        <v>0</v>
      </c>
      <c r="E63" s="41">
        <f>IF(D63="","",_xlfn.XLOOKUP(A63,[5]ריכוז!$A:$A,[5]ריכוז!$D:$D,"אין כזה"))</f>
        <v>53</v>
      </c>
      <c r="F63" s="10">
        <f t="shared" si="1"/>
        <v>7.9499999999999993</v>
      </c>
      <c r="G63" s="10">
        <f t="shared" si="2"/>
        <v>2.6500000000000004</v>
      </c>
      <c r="H63" s="10">
        <f t="shared" si="0"/>
        <v>47.302500000000002</v>
      </c>
      <c r="I63" s="57">
        <f t="shared" si="3"/>
        <v>0</v>
      </c>
      <c r="J63" s="112"/>
      <c r="K63" s="38"/>
    </row>
    <row r="64" spans="1:11" ht="43.2" x14ac:dyDescent="0.3">
      <c r="A64" s="54" t="s">
        <v>96</v>
      </c>
      <c r="B64" s="55" t="s">
        <v>97</v>
      </c>
      <c r="C64" s="56" t="s">
        <v>24</v>
      </c>
      <c r="D64" s="57">
        <v>0</v>
      </c>
      <c r="E64" s="41">
        <f>IF(D64="","",_xlfn.XLOOKUP(A64,[5]ריכוז!$A:$A,[5]ריכוז!$D:$D,"אין כזה"))</f>
        <v>880</v>
      </c>
      <c r="F64" s="10">
        <f t="shared" si="1"/>
        <v>132</v>
      </c>
      <c r="G64" s="10">
        <f t="shared" si="2"/>
        <v>44</v>
      </c>
      <c r="H64" s="10">
        <f t="shared" si="0"/>
        <v>785.4</v>
      </c>
      <c r="I64" s="57">
        <f t="shared" si="3"/>
        <v>0</v>
      </c>
      <c r="J64" s="112"/>
      <c r="K64" s="38"/>
    </row>
    <row r="65" spans="1:11" ht="43.2" x14ac:dyDescent="0.3">
      <c r="A65" s="54" t="s">
        <v>215</v>
      </c>
      <c r="B65" s="55" t="s">
        <v>98</v>
      </c>
      <c r="C65" s="56" t="s">
        <v>24</v>
      </c>
      <c r="D65" s="57">
        <f>D63</f>
        <v>0</v>
      </c>
      <c r="E65" s="41">
        <f>IF(D65="","",_xlfn.XLOOKUP(A65,[5]ריכוז!$A:$A,[5]ריכוז!$D:$D,"אין כזה"))</f>
        <v>650</v>
      </c>
      <c r="F65" s="10">
        <f t="shared" si="1"/>
        <v>97.5</v>
      </c>
      <c r="G65" s="10">
        <f t="shared" si="2"/>
        <v>32.5</v>
      </c>
      <c r="H65" s="10">
        <f t="shared" si="0"/>
        <v>580.125</v>
      </c>
      <c r="I65" s="57">
        <f t="shared" si="3"/>
        <v>0</v>
      </c>
      <c r="J65" s="112"/>
      <c r="K65" s="38"/>
    </row>
    <row r="66" spans="1:11" s="27" customFormat="1" ht="15.6" x14ac:dyDescent="0.3">
      <c r="A66" s="59" t="s">
        <v>99</v>
      </c>
      <c r="B66" s="60" t="s">
        <v>100</v>
      </c>
      <c r="C66" s="61" t="s">
        <v>3</v>
      </c>
      <c r="D66" s="62" t="s">
        <v>3</v>
      </c>
      <c r="E66" s="41" t="str">
        <f>IF(D66="","",_xlfn.XLOOKUP(A66,[5]ריכוז!$A:$A,[5]ריכוז!$D:$D,"אין כזה"))</f>
        <v/>
      </c>
      <c r="F66" s="10" t="str">
        <f t="shared" si="1"/>
        <v/>
      </c>
      <c r="G66" s="10" t="str">
        <f t="shared" si="2"/>
        <v/>
      </c>
      <c r="H66" s="10" t="str">
        <f t="shared" si="0"/>
        <v/>
      </c>
      <c r="I66" s="57" t="str">
        <f t="shared" si="3"/>
        <v/>
      </c>
      <c r="J66" s="112"/>
      <c r="K66" s="38"/>
    </row>
    <row r="67" spans="1:11" x14ac:dyDescent="0.3">
      <c r="A67" s="63" t="s">
        <v>101</v>
      </c>
      <c r="B67" s="55" t="s">
        <v>102</v>
      </c>
      <c r="C67" s="56" t="s">
        <v>24</v>
      </c>
      <c r="D67" s="57">
        <v>0</v>
      </c>
      <c r="E67" s="41">
        <f>IF(D67="","",_xlfn.XLOOKUP(A67,[5]ריכוז!$A:$A,[5]ריכוז!$D:$D,"אין כזה"))</f>
        <v>265</v>
      </c>
      <c r="F67" s="10">
        <f t="shared" si="1"/>
        <v>39.75</v>
      </c>
      <c r="G67" s="10">
        <f t="shared" si="2"/>
        <v>13.25</v>
      </c>
      <c r="H67" s="10">
        <f t="shared" si="0"/>
        <v>236.51249999999999</v>
      </c>
      <c r="I67" s="57">
        <f t="shared" si="3"/>
        <v>0</v>
      </c>
      <c r="J67" s="112"/>
      <c r="K67" s="38"/>
    </row>
    <row r="68" spans="1:11" x14ac:dyDescent="0.3">
      <c r="A68" s="64" t="s">
        <v>103</v>
      </c>
      <c r="B68" s="65" t="s">
        <v>104</v>
      </c>
      <c r="C68" s="56" t="s">
        <v>24</v>
      </c>
      <c r="D68" s="57">
        <f>D40</f>
        <v>8.74</v>
      </c>
      <c r="E68" s="41">
        <f>IF(D68="","",_xlfn.XLOOKUP(A68,[5]ריכוז!$A:$A,[5]ריכוז!$D:$D,"אין כזה"))</f>
        <v>375</v>
      </c>
      <c r="F68" s="10">
        <f t="shared" si="1"/>
        <v>56.25</v>
      </c>
      <c r="G68" s="10">
        <f t="shared" si="2"/>
        <v>18.75</v>
      </c>
      <c r="H68" s="10">
        <f t="shared" si="0"/>
        <v>334.6875</v>
      </c>
      <c r="I68" s="57">
        <f t="shared" si="3"/>
        <v>2925.1687500000003</v>
      </c>
      <c r="J68" s="112"/>
      <c r="K68" s="38"/>
    </row>
    <row r="69" spans="1:11" x14ac:dyDescent="0.3">
      <c r="A69" s="64" t="s">
        <v>105</v>
      </c>
      <c r="B69" s="65" t="s">
        <v>106</v>
      </c>
      <c r="C69" s="56" t="s">
        <v>24</v>
      </c>
      <c r="D69" s="57">
        <f>-D19</f>
        <v>0</v>
      </c>
      <c r="E69" s="41">
        <f>IF(D69="","",_xlfn.XLOOKUP(A69,[5]ריכוז!$A:$A,[5]ריכוז!$D:$D,"אין כזה"))</f>
        <v>317</v>
      </c>
      <c r="F69" s="10">
        <f t="shared" si="1"/>
        <v>47.55</v>
      </c>
      <c r="G69" s="10">
        <f t="shared" si="2"/>
        <v>15.850000000000001</v>
      </c>
      <c r="H69" s="10">
        <f t="shared" si="0"/>
        <v>282.92250000000001</v>
      </c>
      <c r="I69" s="57">
        <f t="shared" si="3"/>
        <v>0</v>
      </c>
      <c r="J69" s="112"/>
      <c r="K69" s="38"/>
    </row>
    <row r="70" spans="1:11" x14ac:dyDescent="0.3">
      <c r="A70" s="64" t="s">
        <v>107</v>
      </c>
      <c r="B70" s="65" t="s">
        <v>108</v>
      </c>
      <c r="C70" s="56" t="s">
        <v>24</v>
      </c>
      <c r="D70" s="57">
        <f>-D40-D36</f>
        <v>-8.74</v>
      </c>
      <c r="E70" s="41">
        <f>IF(D70="","",_xlfn.XLOOKUP(A70,[5]ריכוז!$A:$A,[5]ריכוז!$D:$D,"אין כזה"))</f>
        <v>172</v>
      </c>
      <c r="F70" s="10">
        <f t="shared" si="1"/>
        <v>25.8</v>
      </c>
      <c r="G70" s="10">
        <f t="shared" si="2"/>
        <v>8.6</v>
      </c>
      <c r="H70" s="10">
        <f t="shared" si="0"/>
        <v>153.51</v>
      </c>
      <c r="I70" s="57">
        <f t="shared" si="3"/>
        <v>-1341.6774</v>
      </c>
      <c r="J70" s="112"/>
      <c r="K70" s="38"/>
    </row>
    <row r="71" spans="1:11" x14ac:dyDescent="0.3">
      <c r="A71" s="63" t="s">
        <v>109</v>
      </c>
      <c r="B71" s="55" t="s">
        <v>110</v>
      </c>
      <c r="C71" s="56" t="s">
        <v>24</v>
      </c>
      <c r="D71" s="57">
        <f>-D67</f>
        <v>0</v>
      </c>
      <c r="E71" s="41">
        <f>IF(D71="","",_xlfn.XLOOKUP(A71,[5]ריכוז!$A:$A,[5]ריכוז!$D:$D,"אין כזה"))</f>
        <v>94</v>
      </c>
      <c r="F71" s="10">
        <f t="shared" si="1"/>
        <v>14.1</v>
      </c>
      <c r="G71" s="10">
        <f t="shared" si="2"/>
        <v>4.7</v>
      </c>
      <c r="H71" s="10">
        <f t="shared" si="0"/>
        <v>83.894999999999996</v>
      </c>
      <c r="I71" s="57">
        <f t="shared" si="3"/>
        <v>0</v>
      </c>
      <c r="J71" s="112"/>
      <c r="K71" s="38"/>
    </row>
    <row r="72" spans="1:11" x14ac:dyDescent="0.3">
      <c r="A72" s="63" t="s">
        <v>111</v>
      </c>
      <c r="B72" s="55" t="s">
        <v>112</v>
      </c>
      <c r="C72" s="56" t="s">
        <v>24</v>
      </c>
      <c r="D72" s="57">
        <v>0</v>
      </c>
      <c r="E72" s="41">
        <f>IF(D72="","",_xlfn.XLOOKUP(A72,[5]ריכוז!$A:$A,[5]ריכוז!$D:$D,"אין כזה"))</f>
        <v>157</v>
      </c>
      <c r="F72" s="10">
        <f t="shared" si="1"/>
        <v>23.55</v>
      </c>
      <c r="G72" s="10">
        <f t="shared" si="2"/>
        <v>7.8500000000000005</v>
      </c>
      <c r="H72" s="10">
        <f t="shared" si="0"/>
        <v>140.1225</v>
      </c>
      <c r="I72" s="57">
        <f t="shared" si="3"/>
        <v>0</v>
      </c>
      <c r="J72" s="112"/>
      <c r="K72" s="38"/>
    </row>
    <row r="73" spans="1:11" s="27" customFormat="1" ht="15.6" x14ac:dyDescent="0.3">
      <c r="A73" s="59" t="s">
        <v>113</v>
      </c>
      <c r="B73" s="60" t="s">
        <v>114</v>
      </c>
      <c r="C73" s="61" t="s">
        <v>3</v>
      </c>
      <c r="D73" s="62" t="s">
        <v>3</v>
      </c>
      <c r="E73" s="41" t="str">
        <f>IF(D73="","",_xlfn.XLOOKUP(A73,[5]ריכוז!$A:$A,[5]ריכוז!$D:$D,"אין כזה"))</f>
        <v/>
      </c>
      <c r="F73" s="10" t="str">
        <f t="shared" si="1"/>
        <v/>
      </c>
      <c r="G73" s="10" t="str">
        <f t="shared" si="2"/>
        <v/>
      </c>
      <c r="H73" s="10" t="str">
        <f t="shared" si="0"/>
        <v/>
      </c>
      <c r="I73" s="57" t="str">
        <f t="shared" si="3"/>
        <v/>
      </c>
      <c r="J73" s="112"/>
      <c r="K73" s="38"/>
    </row>
    <row r="74" spans="1:11" s="27" customFormat="1" ht="15.6" x14ac:dyDescent="0.3">
      <c r="A74" s="59" t="s">
        <v>115</v>
      </c>
      <c r="B74" s="60" t="s">
        <v>116</v>
      </c>
      <c r="C74" s="61" t="s">
        <v>3</v>
      </c>
      <c r="D74" s="62" t="s">
        <v>3</v>
      </c>
      <c r="E74" s="41" t="str">
        <f>IF(D74="","",_xlfn.XLOOKUP(A74,[5]ריכוז!$A:$A,[5]ריכוז!$D:$D,"אין כזה"))</f>
        <v/>
      </c>
      <c r="F74" s="10" t="str">
        <f t="shared" si="1"/>
        <v/>
      </c>
      <c r="G74" s="10" t="str">
        <f t="shared" si="2"/>
        <v/>
      </c>
      <c r="H74" s="10" t="str">
        <f t="shared" si="0"/>
        <v/>
      </c>
      <c r="I74" s="57" t="str">
        <f t="shared" si="3"/>
        <v/>
      </c>
      <c r="J74" s="112"/>
      <c r="K74" s="38"/>
    </row>
    <row r="75" spans="1:11" ht="28.8" x14ac:dyDescent="0.3">
      <c r="A75" s="63" t="s">
        <v>117</v>
      </c>
      <c r="B75" s="55" t="s">
        <v>118</v>
      </c>
      <c r="C75" s="56" t="s">
        <v>17</v>
      </c>
      <c r="D75" s="57">
        <v>0</v>
      </c>
      <c r="E75" s="41">
        <f>IF(D75="","",_xlfn.XLOOKUP(A75,[5]ריכוז!$A:$A,[5]ריכוז!$D:$D,"אין כזה"))</f>
        <v>3500</v>
      </c>
      <c r="F75" s="10">
        <f t="shared" si="1"/>
        <v>525</v>
      </c>
      <c r="G75" s="10">
        <f t="shared" si="2"/>
        <v>175</v>
      </c>
      <c r="H75" s="10">
        <f t="shared" si="0"/>
        <v>3123.75</v>
      </c>
      <c r="I75" s="57">
        <f t="shared" si="3"/>
        <v>0</v>
      </c>
      <c r="J75" s="112"/>
      <c r="K75" s="38"/>
    </row>
    <row r="76" spans="1:11" ht="43.2" x14ac:dyDescent="0.3">
      <c r="A76" s="63" t="s">
        <v>119</v>
      </c>
      <c r="B76" s="55" t="s">
        <v>120</v>
      </c>
      <c r="C76" s="56" t="s">
        <v>4</v>
      </c>
      <c r="D76" s="57">
        <v>0</v>
      </c>
      <c r="E76" s="41">
        <f>IF(D76="","",_xlfn.XLOOKUP(A76,[5]ריכוז!$A:$A,[5]ריכוז!$D:$D,"אין כזה"))</f>
        <v>172</v>
      </c>
      <c r="F76" s="10">
        <f t="shared" si="1"/>
        <v>25.8</v>
      </c>
      <c r="G76" s="10">
        <f t="shared" si="2"/>
        <v>8.6</v>
      </c>
      <c r="H76" s="10">
        <f t="shared" si="0"/>
        <v>153.51</v>
      </c>
      <c r="I76" s="57">
        <f t="shared" si="3"/>
        <v>0</v>
      </c>
      <c r="J76" s="112"/>
      <c r="K76" s="38"/>
    </row>
    <row r="77" spans="1:11" x14ac:dyDescent="0.3">
      <c r="A77" s="63" t="s">
        <v>177</v>
      </c>
      <c r="B77" s="55" t="s">
        <v>178</v>
      </c>
      <c r="C77" s="56" t="s">
        <v>24</v>
      </c>
      <c r="D77" s="57">
        <f>SUM(D17:D19,D25:D27,D29:D30,D32:D34,D36:D38)</f>
        <v>19.950000000000003</v>
      </c>
      <c r="E77" s="41">
        <f>IF(D77="","",_xlfn.XLOOKUP(A77,[5]ריכוז!$A:$A,[5]ריכוז!$D:$D,"אין כזה"))</f>
        <v>48</v>
      </c>
      <c r="F77" s="10">
        <f t="shared" si="1"/>
        <v>7.1999999999999993</v>
      </c>
      <c r="G77" s="10">
        <f t="shared" si="2"/>
        <v>2.4000000000000004</v>
      </c>
      <c r="H77" s="10">
        <f t="shared" si="0"/>
        <v>42.84</v>
      </c>
      <c r="I77" s="57">
        <f t="shared" si="3"/>
        <v>854.65800000000024</v>
      </c>
      <c r="J77" s="112"/>
      <c r="K77" s="38"/>
    </row>
    <row r="78" spans="1:11" s="27" customFormat="1" ht="15.6" x14ac:dyDescent="0.3">
      <c r="A78" s="59" t="s">
        <v>121</v>
      </c>
      <c r="B78" s="60" t="s">
        <v>122</v>
      </c>
      <c r="C78" s="61" t="s">
        <v>3</v>
      </c>
      <c r="D78" s="62" t="s">
        <v>3</v>
      </c>
      <c r="E78" s="41" t="str">
        <f>IF(D78="","",_xlfn.XLOOKUP(A78,[5]ריכוז!$A:$A,[5]ריכוז!$D:$D,"אין כזה"))</f>
        <v/>
      </c>
      <c r="F78" s="10" t="str">
        <f t="shared" si="1"/>
        <v/>
      </c>
      <c r="G78" s="10" t="str">
        <f t="shared" si="2"/>
        <v/>
      </c>
      <c r="H78" s="10" t="str">
        <f t="shared" ref="H78:H92" si="4">IF(E78="","",E78*1.05*0.85)</f>
        <v/>
      </c>
      <c r="I78" s="57" t="str">
        <f t="shared" si="3"/>
        <v/>
      </c>
      <c r="J78" s="112"/>
      <c r="K78" s="38"/>
    </row>
    <row r="79" spans="1:11" s="27" customFormat="1" ht="15.6" x14ac:dyDescent="0.3">
      <c r="A79" s="59" t="s">
        <v>123</v>
      </c>
      <c r="B79" s="60" t="s">
        <v>124</v>
      </c>
      <c r="C79" s="61" t="s">
        <v>3</v>
      </c>
      <c r="D79" s="62" t="s">
        <v>3</v>
      </c>
      <c r="E79" s="41" t="str">
        <f>IF(D79="","",_xlfn.XLOOKUP(A79,[5]ריכוז!$A:$A,[5]ריכוז!$D:$D,"אין כזה"))</f>
        <v/>
      </c>
      <c r="F79" s="10" t="str">
        <f t="shared" si="1"/>
        <v/>
      </c>
      <c r="G79" s="10" t="str">
        <f t="shared" si="2"/>
        <v/>
      </c>
      <c r="H79" s="10" t="str">
        <f t="shared" si="4"/>
        <v/>
      </c>
      <c r="I79" s="57" t="str">
        <f t="shared" si="3"/>
        <v/>
      </c>
      <c r="J79" s="112"/>
      <c r="K79" s="38"/>
    </row>
    <row r="80" spans="1:11" s="27" customFormat="1" ht="15.6" x14ac:dyDescent="0.3">
      <c r="A80" s="9" t="s">
        <v>208</v>
      </c>
      <c r="B80" s="55" t="s">
        <v>209</v>
      </c>
      <c r="C80" s="56" t="s">
        <v>125</v>
      </c>
      <c r="D80" s="57">
        <v>3</v>
      </c>
      <c r="E80" s="41">
        <v>130</v>
      </c>
      <c r="F80" s="10">
        <f t="shared" si="1"/>
        <v>19.5</v>
      </c>
      <c r="G80" s="10">
        <f t="shared" si="2"/>
        <v>6.5</v>
      </c>
      <c r="H80" s="10">
        <f t="shared" si="4"/>
        <v>116.02499999999999</v>
      </c>
      <c r="I80" s="57">
        <f t="shared" si="3"/>
        <v>348.07499999999999</v>
      </c>
      <c r="J80" s="112"/>
      <c r="K80" s="38"/>
    </row>
    <row r="81" spans="1:15" s="27" customFormat="1" ht="15.6" x14ac:dyDescent="0.3">
      <c r="A81" s="9" t="s">
        <v>169</v>
      </c>
      <c r="B81" s="55" t="s">
        <v>170</v>
      </c>
      <c r="C81" s="56" t="s">
        <v>125</v>
      </c>
      <c r="D81" s="57">
        <f>2+6</f>
        <v>8</v>
      </c>
      <c r="E81" s="41">
        <f>IF(D81="","",_xlfn.XLOOKUP(A81,[5]ריכוז!$A:$A,[5]ריכוז!$D:$D,"אין כזה"))</f>
        <v>145</v>
      </c>
      <c r="F81" s="10">
        <f t="shared" si="1"/>
        <v>21.75</v>
      </c>
      <c r="G81" s="10">
        <f t="shared" si="2"/>
        <v>7.25</v>
      </c>
      <c r="H81" s="10">
        <f t="shared" si="4"/>
        <v>129.41249999999999</v>
      </c>
      <c r="I81" s="57">
        <f t="shared" si="3"/>
        <v>1035.3</v>
      </c>
      <c r="J81" s="112"/>
      <c r="K81" s="38"/>
    </row>
    <row r="82" spans="1:15" s="27" customFormat="1" ht="15.6" x14ac:dyDescent="0.3">
      <c r="A82" s="59" t="s">
        <v>126</v>
      </c>
      <c r="B82" s="60" t="s">
        <v>127</v>
      </c>
      <c r="C82" s="61" t="s">
        <v>3</v>
      </c>
      <c r="D82" s="62" t="s">
        <v>3</v>
      </c>
      <c r="E82" s="41" t="str">
        <f>IF(D82="","",_xlfn.XLOOKUP(A82,[5]ריכוז!$A:$A,[5]ריכוז!$D:$D,"אין כזה"))</f>
        <v/>
      </c>
      <c r="F82" s="10" t="str">
        <f t="shared" ref="F82:F92" si="5">IF(E82="","",E82*0.15)</f>
        <v/>
      </c>
      <c r="G82" s="10" t="str">
        <f t="shared" ref="G82:G92" si="6">IF(E82="","",E82*0.05)</f>
        <v/>
      </c>
      <c r="H82" s="10" t="str">
        <f t="shared" si="4"/>
        <v/>
      </c>
      <c r="I82" s="57" t="str">
        <f t="shared" ref="I82:I91" si="7">IF(D82="","",H82*D82)</f>
        <v/>
      </c>
      <c r="J82" s="112"/>
      <c r="K82" s="38"/>
    </row>
    <row r="83" spans="1:15" ht="28.8" x14ac:dyDescent="0.3">
      <c r="A83" s="63" t="s">
        <v>128</v>
      </c>
      <c r="B83" s="55" t="s">
        <v>129</v>
      </c>
      <c r="C83" s="56" t="s">
        <v>2</v>
      </c>
      <c r="D83" s="57">
        <v>0</v>
      </c>
      <c r="E83" s="41">
        <f>IF(D83="","",_xlfn.XLOOKUP(A83,[5]ריכוז!$A:$A,[5]ריכוז!$D:$D,"אין כזה"))</f>
        <v>1460</v>
      </c>
      <c r="F83" s="10">
        <f t="shared" si="5"/>
        <v>219</v>
      </c>
      <c r="G83" s="10">
        <f t="shared" si="6"/>
        <v>73</v>
      </c>
      <c r="H83" s="10">
        <f t="shared" si="4"/>
        <v>1303.05</v>
      </c>
      <c r="I83" s="57">
        <f t="shared" si="7"/>
        <v>0</v>
      </c>
      <c r="J83" s="112"/>
      <c r="K83" s="38"/>
    </row>
    <row r="84" spans="1:15" ht="28.8" x14ac:dyDescent="0.3">
      <c r="A84" s="63" t="s">
        <v>130</v>
      </c>
      <c r="B84" s="55" t="s">
        <v>131</v>
      </c>
      <c r="C84" s="56" t="s">
        <v>2</v>
      </c>
      <c r="D84" s="57">
        <v>2</v>
      </c>
      <c r="E84" s="41">
        <f>IF(D84="","",_xlfn.XLOOKUP(A84,[5]ריכוז!$A:$A,[5]ריכוז!$D:$D,"אין כזה"))</f>
        <v>1810</v>
      </c>
      <c r="F84" s="10">
        <f t="shared" si="5"/>
        <v>271.5</v>
      </c>
      <c r="G84" s="10">
        <f t="shared" si="6"/>
        <v>90.5</v>
      </c>
      <c r="H84" s="10">
        <f t="shared" si="4"/>
        <v>1615.425</v>
      </c>
      <c r="I84" s="57">
        <f t="shared" si="7"/>
        <v>3230.85</v>
      </c>
      <c r="J84" s="112"/>
      <c r="K84" s="38"/>
    </row>
    <row r="85" spans="1:15" ht="28.2" x14ac:dyDescent="0.3">
      <c r="A85" s="9" t="s">
        <v>204</v>
      </c>
      <c r="B85" s="2" t="s">
        <v>205</v>
      </c>
      <c r="C85" s="3" t="s">
        <v>2</v>
      </c>
      <c r="D85" s="57">
        <v>0</v>
      </c>
      <c r="E85" s="41">
        <v>2200</v>
      </c>
      <c r="F85" s="10">
        <f t="shared" si="5"/>
        <v>330</v>
      </c>
      <c r="G85" s="10">
        <f t="shared" si="6"/>
        <v>110</v>
      </c>
      <c r="H85" s="10">
        <f t="shared" si="4"/>
        <v>1963.5</v>
      </c>
      <c r="I85" s="57">
        <f t="shared" si="7"/>
        <v>0</v>
      </c>
      <c r="J85" s="112"/>
      <c r="K85" s="38"/>
    </row>
    <row r="86" spans="1:15" s="27" customFormat="1" ht="15.6" x14ac:dyDescent="0.3">
      <c r="A86" s="59" t="s">
        <v>132</v>
      </c>
      <c r="B86" s="60" t="s">
        <v>133</v>
      </c>
      <c r="C86" s="61" t="s">
        <v>3</v>
      </c>
      <c r="D86" s="62" t="s">
        <v>3</v>
      </c>
      <c r="E86" s="41" t="str">
        <f>IF(D86="","",_xlfn.XLOOKUP(A86,[5]ריכוז!$A:$A,[5]ריכוז!$D:$D,"אין כזה"))</f>
        <v/>
      </c>
      <c r="F86" s="10" t="str">
        <f t="shared" si="5"/>
        <v/>
      </c>
      <c r="G86" s="10" t="str">
        <f t="shared" si="6"/>
        <v/>
      </c>
      <c r="H86" s="10" t="str">
        <f t="shared" si="4"/>
        <v/>
      </c>
      <c r="I86" s="57" t="str">
        <f t="shared" si="7"/>
        <v/>
      </c>
      <c r="J86" s="112"/>
      <c r="K86" s="38"/>
    </row>
    <row r="87" spans="1:15" s="27" customFormat="1" ht="15.6" x14ac:dyDescent="0.3">
      <c r="A87" s="59" t="s">
        <v>134</v>
      </c>
      <c r="B87" s="60" t="s">
        <v>135</v>
      </c>
      <c r="C87" s="61" t="s">
        <v>3</v>
      </c>
      <c r="D87" s="62" t="s">
        <v>3</v>
      </c>
      <c r="E87" s="41" t="str">
        <f>IF(D87="","",_xlfn.XLOOKUP(A87,[5]ריכוז!$A:$A,[5]ריכוז!$D:$D,"אין כזה"))</f>
        <v/>
      </c>
      <c r="F87" s="10" t="str">
        <f t="shared" si="5"/>
        <v/>
      </c>
      <c r="G87" s="10" t="str">
        <f t="shared" si="6"/>
        <v/>
      </c>
      <c r="H87" s="10" t="str">
        <f t="shared" si="4"/>
        <v/>
      </c>
      <c r="I87" s="57" t="str">
        <f t="shared" si="7"/>
        <v/>
      </c>
      <c r="J87" s="112"/>
      <c r="K87" s="38"/>
    </row>
    <row r="88" spans="1:15" ht="43.2" x14ac:dyDescent="0.3">
      <c r="A88" s="63" t="s">
        <v>136</v>
      </c>
      <c r="B88" s="55" t="s">
        <v>137</v>
      </c>
      <c r="C88" s="56" t="s">
        <v>24</v>
      </c>
      <c r="D88" s="57">
        <v>8.24</v>
      </c>
      <c r="E88" s="41">
        <f>IF(D88="","",_xlfn.XLOOKUP(A88,[5]ריכוז!$A:$A,[5]ריכוז!$D:$D,"אין כזה"))</f>
        <v>129.78142076502732</v>
      </c>
      <c r="F88" s="10">
        <f t="shared" si="5"/>
        <v>19.467213114754099</v>
      </c>
      <c r="G88" s="10">
        <f t="shared" si="6"/>
        <v>6.4890710382513666</v>
      </c>
      <c r="H88" s="10">
        <f t="shared" si="4"/>
        <v>115.82991803278689</v>
      </c>
      <c r="I88" s="57">
        <f t="shared" si="7"/>
        <v>954.43852459016398</v>
      </c>
      <c r="J88" s="112"/>
      <c r="K88" s="38"/>
    </row>
    <row r="89" spans="1:15" x14ac:dyDescent="0.3">
      <c r="A89" s="54" t="s">
        <v>138</v>
      </c>
      <c r="B89" s="55" t="s">
        <v>139</v>
      </c>
      <c r="C89" s="56" t="s">
        <v>2</v>
      </c>
      <c r="D89" s="57">
        <v>0</v>
      </c>
      <c r="E89" s="41">
        <f>IF(D89="","",_xlfn.XLOOKUP(A89,[5]ריכוז!$A:$A,[5]ריכוז!$D:$D,"אין כזה"))</f>
        <v>2375.3501400560222</v>
      </c>
      <c r="F89" s="10">
        <f t="shared" si="5"/>
        <v>356.30252100840329</v>
      </c>
      <c r="G89" s="10">
        <f t="shared" si="6"/>
        <v>118.76750700280111</v>
      </c>
      <c r="H89" s="10">
        <f t="shared" si="4"/>
        <v>2120</v>
      </c>
      <c r="I89" s="57">
        <f t="shared" si="7"/>
        <v>0</v>
      </c>
      <c r="J89" s="112"/>
      <c r="K89" s="38"/>
    </row>
    <row r="90" spans="1:15" x14ac:dyDescent="0.3">
      <c r="A90" s="54" t="s">
        <v>140</v>
      </c>
      <c r="B90" s="55" t="s">
        <v>141</v>
      </c>
      <c r="C90" s="56" t="s">
        <v>2</v>
      </c>
      <c r="D90" s="57">
        <v>0</v>
      </c>
      <c r="E90" s="41">
        <f>IF(D90="","",_xlfn.XLOOKUP(A90,[5]ריכוז!$A:$A,[5]ריכוז!$D:$D,"אין כזה"))</f>
        <v>950.14005602240888</v>
      </c>
      <c r="F90" s="10">
        <f t="shared" si="5"/>
        <v>142.52100840336132</v>
      </c>
      <c r="G90" s="10">
        <f t="shared" si="6"/>
        <v>47.50700280112045</v>
      </c>
      <c r="H90" s="10">
        <f t="shared" si="4"/>
        <v>848</v>
      </c>
      <c r="I90" s="57">
        <f t="shared" si="7"/>
        <v>0</v>
      </c>
      <c r="J90" s="112"/>
      <c r="K90" s="38"/>
    </row>
    <row r="91" spans="1:15" ht="28.8" x14ac:dyDescent="0.3">
      <c r="A91" s="54" t="s">
        <v>165</v>
      </c>
      <c r="B91" s="55" t="s">
        <v>166</v>
      </c>
      <c r="C91" s="56" t="s">
        <v>167</v>
      </c>
      <c r="D91" s="96">
        <f>SUM(I17:I20,I25:I27,I29:I30,I32:I34,I36:I38,I42:I45,I64:I65,I89:I90)/0.85/1.05</f>
        <v>59918.400000000001</v>
      </c>
      <c r="E91" s="41">
        <f>IF(D91="","",_xlfn.XLOOKUP(A91,[5]ריכוז!$A:$A,[5]ריכוז!$D:$D,"אין כזה"))</f>
        <v>0.06</v>
      </c>
      <c r="F91" s="10">
        <f t="shared" si="5"/>
        <v>8.9999999999999993E-3</v>
      </c>
      <c r="G91" s="10">
        <f t="shared" si="6"/>
        <v>3.0000000000000001E-3</v>
      </c>
      <c r="H91" s="10">
        <f t="shared" si="4"/>
        <v>5.355E-2</v>
      </c>
      <c r="I91" s="57">
        <f t="shared" si="7"/>
        <v>3208.6303200000002</v>
      </c>
      <c r="J91" s="112"/>
      <c r="K91" s="38"/>
    </row>
    <row r="92" spans="1:15" ht="55.8" x14ac:dyDescent="0.3">
      <c r="A92" s="48" t="s">
        <v>162</v>
      </c>
      <c r="B92" s="2" t="s">
        <v>163</v>
      </c>
      <c r="C92" s="3" t="s">
        <v>164</v>
      </c>
      <c r="D92" s="3">
        <v>0</v>
      </c>
      <c r="E92" s="41">
        <f>IF(D92="","",_xlfn.XLOOKUP(A92,[5]ריכוז!$A:$A,[5]ריכוז!$D:$D,"אין כזה"))</f>
        <v>3500</v>
      </c>
      <c r="F92" s="10">
        <f t="shared" si="5"/>
        <v>525</v>
      </c>
      <c r="G92" s="10">
        <f t="shared" si="6"/>
        <v>175</v>
      </c>
      <c r="H92" s="10">
        <f t="shared" si="4"/>
        <v>3123.75</v>
      </c>
      <c r="I92" s="57">
        <f>H92*D92</f>
        <v>0</v>
      </c>
      <c r="J92" s="112"/>
      <c r="K92" s="38"/>
      <c r="L92"/>
      <c r="M92"/>
      <c r="N92"/>
      <c r="O92"/>
    </row>
    <row r="93" spans="1:15" x14ac:dyDescent="0.3">
      <c r="A93" s="21" t="s">
        <v>3</v>
      </c>
      <c r="B93" s="22" t="s">
        <v>152</v>
      </c>
      <c r="C93" s="23"/>
      <c r="D93" s="24"/>
      <c r="E93" s="25"/>
      <c r="F93" s="24"/>
      <c r="G93" s="24"/>
      <c r="H93" s="24"/>
      <c r="I93" s="31">
        <f>SUMIF(A:A,"01.*",I:I)</f>
        <v>0</v>
      </c>
      <c r="K93"/>
      <c r="L93"/>
      <c r="M93"/>
      <c r="N93"/>
      <c r="O93"/>
    </row>
    <row r="94" spans="1:15" x14ac:dyDescent="0.3">
      <c r="A94" s="21" t="s">
        <v>3</v>
      </c>
      <c r="B94" s="22" t="s">
        <v>153</v>
      </c>
      <c r="C94" s="23"/>
      <c r="D94" s="24"/>
      <c r="E94" s="25"/>
      <c r="F94" s="24"/>
      <c r="G94" s="24"/>
      <c r="H94" s="24"/>
      <c r="I94" s="31">
        <f>SUMIF(A:A,"05.*",I:I)</f>
        <v>0</v>
      </c>
      <c r="K94"/>
      <c r="L94"/>
      <c r="M94"/>
      <c r="N94"/>
      <c r="O94"/>
    </row>
    <row r="95" spans="1:15" x14ac:dyDescent="0.3">
      <c r="A95" s="21" t="s">
        <v>3</v>
      </c>
      <c r="B95" s="22" t="s">
        <v>154</v>
      </c>
      <c r="C95" s="23"/>
      <c r="D95" s="24"/>
      <c r="E95" s="25"/>
      <c r="F95" s="24"/>
      <c r="G95" s="24"/>
      <c r="H95" s="24"/>
      <c r="I95" s="31">
        <f>SUMIF(A:A,"09.*",I:I)</f>
        <v>2355.6288</v>
      </c>
      <c r="K95"/>
      <c r="L95"/>
      <c r="M95"/>
      <c r="N95"/>
      <c r="O95"/>
    </row>
    <row r="96" spans="1:15" x14ac:dyDescent="0.3">
      <c r="A96" s="21" t="s">
        <v>3</v>
      </c>
      <c r="B96" s="22" t="s">
        <v>155</v>
      </c>
      <c r="C96" s="23"/>
      <c r="D96" s="24"/>
      <c r="E96" s="25"/>
      <c r="F96" s="24"/>
      <c r="G96" s="24"/>
      <c r="H96" s="24"/>
      <c r="I96" s="31">
        <f>SUMIF(A:A,"11.*",I:I)</f>
        <v>6318.9</v>
      </c>
      <c r="K96"/>
      <c r="L96"/>
      <c r="M96"/>
      <c r="N96"/>
      <c r="O96"/>
    </row>
    <row r="97" spans="1:15" x14ac:dyDescent="0.3">
      <c r="A97" s="21" t="s">
        <v>3</v>
      </c>
      <c r="B97" s="22" t="s">
        <v>156</v>
      </c>
      <c r="C97" s="23"/>
      <c r="D97" s="24"/>
      <c r="E97" s="25"/>
      <c r="F97" s="24"/>
      <c r="G97" s="24"/>
      <c r="H97" s="24"/>
      <c r="I97" s="31">
        <f>SUMIF(A:A,"12.*",I:I)</f>
        <v>71120.508269999991</v>
      </c>
      <c r="K97"/>
      <c r="L97"/>
      <c r="M97"/>
      <c r="N97"/>
      <c r="O97"/>
    </row>
    <row r="98" spans="1:15" x14ac:dyDescent="0.3">
      <c r="A98" s="21" t="s">
        <v>3</v>
      </c>
      <c r="B98" s="22" t="s">
        <v>157</v>
      </c>
      <c r="C98" s="23"/>
      <c r="D98" s="24"/>
      <c r="E98" s="25"/>
      <c r="F98" s="24"/>
      <c r="G98" s="24"/>
      <c r="H98" s="24"/>
      <c r="I98" s="31">
        <f>SUMIF(A:A,"15.*",I:I)</f>
        <v>0</v>
      </c>
      <c r="K98"/>
      <c r="L98"/>
      <c r="M98"/>
      <c r="N98"/>
      <c r="O98"/>
    </row>
    <row r="99" spans="1:15" x14ac:dyDescent="0.3">
      <c r="A99" s="21"/>
      <c r="B99" s="90" t="s">
        <v>181</v>
      </c>
      <c r="C99" s="23"/>
      <c r="D99" s="24"/>
      <c r="E99" s="25"/>
      <c r="F99" s="24"/>
      <c r="G99" s="24"/>
      <c r="H99" s="24"/>
      <c r="I99" s="31">
        <f>SUMIF(A:A,"30.*",I:I)</f>
        <v>854.65800000000024</v>
      </c>
      <c r="K99"/>
      <c r="L99"/>
      <c r="M99"/>
      <c r="N99"/>
      <c r="O99"/>
    </row>
    <row r="100" spans="1:15" x14ac:dyDescent="0.3">
      <c r="A100" s="21" t="s">
        <v>3</v>
      </c>
      <c r="B100" s="22" t="s">
        <v>158</v>
      </c>
      <c r="C100" s="23"/>
      <c r="D100" s="24"/>
      <c r="E100" s="25"/>
      <c r="F100" s="24"/>
      <c r="G100" s="24"/>
      <c r="H100" s="24"/>
      <c r="I100" s="31">
        <f>SUMIF(A:A,"60.*",I:I)</f>
        <v>4881.9750000000004</v>
      </c>
      <c r="K100"/>
      <c r="L100"/>
      <c r="M100"/>
      <c r="N100"/>
      <c r="O100"/>
    </row>
    <row r="101" spans="1:15" x14ac:dyDescent="0.3">
      <c r="A101" s="21" t="s">
        <v>3</v>
      </c>
      <c r="B101" s="22" t="s">
        <v>159</v>
      </c>
      <c r="C101" s="23"/>
      <c r="D101" s="24"/>
      <c r="E101" s="25"/>
      <c r="F101" s="24"/>
      <c r="G101" s="24"/>
      <c r="H101" s="24"/>
      <c r="I101" s="31">
        <f>SUMIF(A:A,"85.*",I:I)</f>
        <v>954.43852459016398</v>
      </c>
      <c r="K101"/>
      <c r="L101"/>
      <c r="M101"/>
      <c r="N101"/>
      <c r="O101"/>
    </row>
    <row r="102" spans="1:15" x14ac:dyDescent="0.3">
      <c r="A102" s="28" t="s">
        <v>3</v>
      </c>
      <c r="B102" s="29" t="s">
        <v>160</v>
      </c>
      <c r="C102" s="23"/>
      <c r="D102" s="24"/>
      <c r="E102" s="25"/>
      <c r="F102" s="30"/>
      <c r="G102" s="30"/>
      <c r="H102" s="30"/>
      <c r="I102" s="30">
        <f>SUM(I93:I101)</f>
        <v>86486.108594590158</v>
      </c>
      <c r="K102"/>
      <c r="L102"/>
      <c r="M102"/>
      <c r="N102"/>
      <c r="O102"/>
    </row>
    <row r="103" spans="1:15" x14ac:dyDescent="0.3">
      <c r="A103" s="28" t="s">
        <v>3</v>
      </c>
      <c r="B103" s="29" t="s">
        <v>161</v>
      </c>
      <c r="C103" s="23"/>
      <c r="D103" s="24"/>
      <c r="E103" s="25"/>
      <c r="F103" s="30"/>
      <c r="G103" s="30"/>
      <c r="H103" s="30"/>
      <c r="I103" s="30">
        <f t="shared" ref="I103" si="8">(I102 * (1 / 100 * 18))</f>
        <v>15567.499547026227</v>
      </c>
      <c r="K103"/>
      <c r="L103"/>
      <c r="M103"/>
      <c r="N103"/>
      <c r="O103"/>
    </row>
    <row r="104" spans="1:15" x14ac:dyDescent="0.3">
      <c r="A104" s="32" t="s">
        <v>3</v>
      </c>
      <c r="B104" s="33" t="s">
        <v>160</v>
      </c>
      <c r="C104" s="34"/>
      <c r="D104" s="35"/>
      <c r="E104" s="36"/>
      <c r="F104" s="37"/>
      <c r="G104" s="37"/>
      <c r="H104" s="37"/>
      <c r="I104" s="37">
        <f t="shared" ref="I104" si="9">I102 + I103</f>
        <v>102053.60814161638</v>
      </c>
      <c r="K104"/>
      <c r="L104"/>
      <c r="M104"/>
      <c r="N104"/>
      <c r="O104"/>
    </row>
  </sheetData>
  <conditionalFormatting sqref="A7:D43 C44:D44 A45:D84">
    <cfRule type="expression" dxfId="30" priority="1">
      <formula>$K7="אין"</formula>
    </cfRule>
  </conditionalFormatting>
  <conditionalFormatting sqref="F7:K92 D85 A86:D92">
    <cfRule type="expression" dxfId="29" priority="2">
      <formula>$K7="אין"</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76DE2-0A68-48FA-99A3-D3DA64D6A44B}">
  <sheetPr>
    <tabColor rgb="FFFFFF00"/>
  </sheetPr>
  <dimension ref="A1:O104"/>
  <sheetViews>
    <sheetView rightToLeft="1" topLeftCell="E87" zoomScale="70" zoomScaleNormal="70" workbookViewId="0">
      <selection activeCell="D91" sqref="D91"/>
    </sheetView>
  </sheetViews>
  <sheetFormatPr defaultColWidth="8.69921875" defaultRowHeight="14.4" x14ac:dyDescent="0.3"/>
  <cols>
    <col min="1" max="1" width="11.69921875" style="38" customWidth="1"/>
    <col min="2" max="2" width="63" style="13" customWidth="1"/>
    <col min="3" max="3" width="8.19921875" style="39" customWidth="1"/>
    <col min="4" max="4" width="10.09765625" style="14" customWidth="1"/>
    <col min="5" max="5" width="11.19921875" style="15" bestFit="1" customWidth="1"/>
    <col min="6" max="6" width="10.19921875" style="14" customWidth="1"/>
    <col min="7" max="7" width="12.19921875" style="14" customWidth="1"/>
    <col min="8" max="8" width="14" style="13" bestFit="1" customWidth="1"/>
    <col min="9" max="9" width="13.3984375" style="13" bestFit="1" customWidth="1"/>
    <col min="10" max="10" width="8.69921875" style="13"/>
    <col min="11" max="11" width="13.19921875" style="13" bestFit="1" customWidth="1"/>
    <col min="12" max="12" width="11.19921875" style="13" bestFit="1" customWidth="1"/>
    <col min="13" max="16384" width="8.69921875" style="13"/>
  </cols>
  <sheetData>
    <row r="1" spans="1:11" ht="17.399999999999999" x14ac:dyDescent="0.3">
      <c r="A1" s="12"/>
      <c r="C1" s="89" t="s">
        <v>229</v>
      </c>
      <c r="D1" s="40">
        <v>1700</v>
      </c>
    </row>
    <row r="3" spans="1:11" ht="21" x14ac:dyDescent="0.4">
      <c r="A3" s="16"/>
      <c r="B3" s="17"/>
      <c r="C3" s="18"/>
      <c r="D3" s="19"/>
      <c r="E3" s="20"/>
      <c r="F3" s="19"/>
      <c r="G3" s="19"/>
      <c r="H3" s="19"/>
      <c r="I3" s="19"/>
    </row>
    <row r="4" spans="1:11" x14ac:dyDescent="0.3">
      <c r="A4" s="21"/>
      <c r="B4" s="22"/>
      <c r="C4" s="23"/>
      <c r="D4" s="24"/>
      <c r="E4" s="25"/>
      <c r="F4" s="24"/>
      <c r="G4" s="24"/>
      <c r="H4" s="24"/>
      <c r="I4" s="24"/>
    </row>
    <row r="5" spans="1:11" ht="15" thickBot="1" x14ac:dyDescent="0.35">
      <c r="A5" s="21"/>
      <c r="B5" s="22"/>
      <c r="C5" s="23"/>
      <c r="D5" s="24"/>
      <c r="E5" s="25"/>
      <c r="F5" s="24"/>
      <c r="G5" s="26"/>
      <c r="H5" s="26"/>
      <c r="I5" s="24"/>
    </row>
    <row r="6" spans="1:11" ht="29.4" thickTop="1" x14ac:dyDescent="0.3">
      <c r="A6" s="50" t="s">
        <v>0</v>
      </c>
      <c r="B6" s="51" t="s">
        <v>1</v>
      </c>
      <c r="C6" s="52" t="s">
        <v>2</v>
      </c>
      <c r="D6" s="53" t="s">
        <v>147</v>
      </c>
      <c r="E6" s="66" t="s">
        <v>142</v>
      </c>
      <c r="F6" s="66" t="s">
        <v>143</v>
      </c>
      <c r="G6" s="66" t="s">
        <v>144</v>
      </c>
      <c r="H6" s="66" t="s">
        <v>145</v>
      </c>
      <c r="I6" s="53" t="s">
        <v>151</v>
      </c>
    </row>
    <row r="7" spans="1:11" x14ac:dyDescent="0.3">
      <c r="A7" s="63" t="s">
        <v>179</v>
      </c>
      <c r="B7" s="55" t="s">
        <v>180</v>
      </c>
      <c r="C7" s="56" t="s">
        <v>125</v>
      </c>
      <c r="D7" s="14">
        <v>2</v>
      </c>
      <c r="E7" s="41">
        <f>IF(D7="","",_xlfn.XLOOKUP(A7,[5]ריכוז!$A:$A,[5]ריכוז!$D:$D,"אין כזה"))</f>
        <v>150</v>
      </c>
      <c r="F7" s="10">
        <f>IF(E7="","",E7*0.15)</f>
        <v>22.5</v>
      </c>
      <c r="G7" s="10">
        <f>IF(E7="","",E7*0.05)</f>
        <v>7.5</v>
      </c>
      <c r="H7" s="10">
        <f>IF(E7="","",E7*1.05*0.85)</f>
        <v>133.875</v>
      </c>
      <c r="I7" s="57">
        <f>IF(D7="","",H7*D7)</f>
        <v>267.75</v>
      </c>
      <c r="K7" s="38"/>
    </row>
    <row r="8" spans="1:11" s="27" customFormat="1" ht="15.6" x14ac:dyDescent="0.3">
      <c r="A8" s="59" t="s">
        <v>5</v>
      </c>
      <c r="B8" s="60" t="s">
        <v>6</v>
      </c>
      <c r="C8" s="61" t="s">
        <v>3</v>
      </c>
      <c r="D8" s="62" t="s">
        <v>3</v>
      </c>
      <c r="E8" s="41" t="str">
        <f>IF(D8="","",_xlfn.XLOOKUP(A8,[5]ריכוז!$A:$A,[5]ריכוז!$D:$D,"אין כזה"))</f>
        <v/>
      </c>
      <c r="F8" s="62" t="s">
        <v>3</v>
      </c>
      <c r="G8" s="62"/>
      <c r="H8" s="10" t="str">
        <f t="shared" ref="H8:H77" si="0">IF(E8="","",E8*1.05*0.85)</f>
        <v/>
      </c>
      <c r="I8" s="62"/>
      <c r="K8" s="38"/>
    </row>
    <row r="9" spans="1:11" s="27" customFormat="1" ht="15.6" x14ac:dyDescent="0.3">
      <c r="A9" s="59" t="s">
        <v>7</v>
      </c>
      <c r="B9" s="60" t="s">
        <v>8</v>
      </c>
      <c r="C9" s="61" t="s">
        <v>3</v>
      </c>
      <c r="D9" s="62" t="s">
        <v>3</v>
      </c>
      <c r="E9" s="41" t="str">
        <f>IF(D9="","",_xlfn.XLOOKUP(A9,[5]ריכוז!$A:$A,[5]ריכוז!$D:$D,"אין כזה"))</f>
        <v/>
      </c>
      <c r="F9" s="62" t="s">
        <v>3</v>
      </c>
      <c r="G9" s="62"/>
      <c r="H9" s="10" t="str">
        <f t="shared" si="0"/>
        <v/>
      </c>
      <c r="I9" s="62"/>
      <c r="K9" s="38"/>
    </row>
    <row r="10" spans="1:11" ht="57.6" x14ac:dyDescent="0.3">
      <c r="A10" s="63" t="s">
        <v>9</v>
      </c>
      <c r="B10" s="55" t="s">
        <v>10</v>
      </c>
      <c r="C10" s="56" t="s">
        <v>4</v>
      </c>
      <c r="D10" s="57">
        <v>35.549999999999997</v>
      </c>
      <c r="E10" s="41">
        <f>IF(D10="","",_xlfn.XLOOKUP(A10,[5]ריכוז!$A:$A,[5]ריכוז!$D:$D,"אין כזה"))</f>
        <v>64</v>
      </c>
      <c r="F10" s="10">
        <f>IF(E10="","",E10*0.15)</f>
        <v>9.6</v>
      </c>
      <c r="G10" s="10">
        <f>IF(E10="","",E10*0.05)</f>
        <v>3.2</v>
      </c>
      <c r="H10" s="10">
        <f t="shared" si="0"/>
        <v>57.12</v>
      </c>
      <c r="I10" s="57">
        <f>IF(D10="","",H10*D10)</f>
        <v>2030.6159999999998</v>
      </c>
      <c r="K10" s="38"/>
    </row>
    <row r="11" spans="1:11" s="27" customFormat="1" ht="15.6" x14ac:dyDescent="0.3">
      <c r="A11" s="59" t="s">
        <v>11</v>
      </c>
      <c r="B11" s="60" t="s">
        <v>12</v>
      </c>
      <c r="C11" s="61" t="s">
        <v>3</v>
      </c>
      <c r="D11" s="62" t="s">
        <v>3</v>
      </c>
      <c r="E11" s="41" t="str">
        <f>IF(D11="","",_xlfn.XLOOKUP(A11,[5]ריכוז!$A:$A,[5]ריכוז!$D:$D,"אין כזה"))</f>
        <v/>
      </c>
      <c r="F11" s="10" t="str">
        <f t="shared" ref="F11:F81" si="1">IF(E11="","",E11*0.15)</f>
        <v/>
      </c>
      <c r="G11" s="10" t="str">
        <f t="shared" ref="G11:G81" si="2">IF(E11="","",E11*0.05)</f>
        <v/>
      </c>
      <c r="H11" s="10" t="str">
        <f t="shared" si="0"/>
        <v/>
      </c>
      <c r="I11" s="57" t="str">
        <f t="shared" ref="I11:I81" si="3">IF(D11="","",H11*D11)</f>
        <v/>
      </c>
      <c r="K11" s="38"/>
    </row>
    <row r="12" spans="1:11" s="27" customFormat="1" ht="15.6" x14ac:dyDescent="0.3">
      <c r="A12" s="59" t="s">
        <v>13</v>
      </c>
      <c r="B12" s="60" t="s">
        <v>14</v>
      </c>
      <c r="C12" s="61" t="s">
        <v>3</v>
      </c>
      <c r="D12" s="62" t="s">
        <v>3</v>
      </c>
      <c r="E12" s="41" t="str">
        <f>IF(D12="","",_xlfn.XLOOKUP(A12,[5]ריכוז!$A:$A,[5]ריכוז!$D:$D,"אין כזה"))</f>
        <v/>
      </c>
      <c r="F12" s="10" t="str">
        <f t="shared" si="1"/>
        <v/>
      </c>
      <c r="G12" s="10" t="str">
        <f t="shared" si="2"/>
        <v/>
      </c>
      <c r="H12" s="10" t="str">
        <f t="shared" si="0"/>
        <v/>
      </c>
      <c r="I12" s="57" t="str">
        <f t="shared" si="3"/>
        <v/>
      </c>
      <c r="K12" s="38"/>
    </row>
    <row r="13" spans="1:11" ht="43.2" x14ac:dyDescent="0.3">
      <c r="A13" s="63" t="s">
        <v>15</v>
      </c>
      <c r="B13" s="55" t="s">
        <v>16</v>
      </c>
      <c r="C13" s="56" t="s">
        <v>17</v>
      </c>
      <c r="D13" s="57">
        <v>3</v>
      </c>
      <c r="E13" s="41">
        <f>IF(D13="","",_xlfn.XLOOKUP(A13,[5]ריכוז!$A:$A,[5]ריכוז!$D:$D,"אין כזה"))</f>
        <v>1770</v>
      </c>
      <c r="F13" s="10">
        <f t="shared" si="1"/>
        <v>265.5</v>
      </c>
      <c r="G13" s="10">
        <f t="shared" si="2"/>
        <v>88.5</v>
      </c>
      <c r="H13" s="10">
        <f t="shared" si="0"/>
        <v>1579.7249999999999</v>
      </c>
      <c r="I13" s="57">
        <f t="shared" si="3"/>
        <v>4739.1749999999993</v>
      </c>
      <c r="K13" s="38"/>
    </row>
    <row r="14" spans="1:11" x14ac:dyDescent="0.3">
      <c r="A14" s="54"/>
      <c r="B14" s="55"/>
      <c r="C14" s="56"/>
      <c r="D14" s="57"/>
      <c r="E14" s="41" t="str">
        <f>IF(D14="","",_xlfn.XLOOKUP(A14,[5]ריכוז!$A:$A,[5]ריכוז!$D:$D,"אין כזה"))</f>
        <v/>
      </c>
      <c r="F14" s="10" t="str">
        <f t="shared" si="1"/>
        <v/>
      </c>
      <c r="G14" s="10" t="str">
        <f t="shared" si="2"/>
        <v/>
      </c>
      <c r="H14" s="10" t="str">
        <f t="shared" si="0"/>
        <v/>
      </c>
      <c r="I14" s="57" t="str">
        <f t="shared" si="3"/>
        <v/>
      </c>
      <c r="K14" s="38"/>
    </row>
    <row r="15" spans="1:11" s="27" customFormat="1" ht="15.6" x14ac:dyDescent="0.3">
      <c r="A15" s="59" t="s">
        <v>18</v>
      </c>
      <c r="B15" s="60" t="s">
        <v>19</v>
      </c>
      <c r="C15" s="61" t="s">
        <v>3</v>
      </c>
      <c r="D15" s="62" t="s">
        <v>3</v>
      </c>
      <c r="E15" s="41" t="str">
        <f>IF(D15="","",_xlfn.XLOOKUP(A15,[5]ריכוז!$A:$A,[5]ריכוז!$D:$D,"אין כזה"))</f>
        <v/>
      </c>
      <c r="F15" s="10" t="str">
        <f t="shared" si="1"/>
        <v/>
      </c>
      <c r="G15" s="10" t="str">
        <f t="shared" si="2"/>
        <v/>
      </c>
      <c r="H15" s="10" t="str">
        <f t="shared" si="0"/>
        <v/>
      </c>
      <c r="I15" s="57" t="str">
        <f t="shared" si="3"/>
        <v/>
      </c>
      <c r="K15" s="38"/>
    </row>
    <row r="16" spans="1:11" s="27" customFormat="1" ht="15.6" x14ac:dyDescent="0.3">
      <c r="A16" s="59" t="s">
        <v>20</v>
      </c>
      <c r="B16" s="60" t="s">
        <v>21</v>
      </c>
      <c r="C16" s="61" t="s">
        <v>3</v>
      </c>
      <c r="D16" s="62" t="s">
        <v>3</v>
      </c>
      <c r="E16" s="41" t="str">
        <f>IF(D16="","",_xlfn.XLOOKUP(A16,[5]ריכוז!$A:$A,[5]ריכוז!$D:$D,"אין כזה"))</f>
        <v/>
      </c>
      <c r="F16" s="10" t="str">
        <f t="shared" si="1"/>
        <v/>
      </c>
      <c r="G16" s="10" t="str">
        <f t="shared" si="2"/>
        <v/>
      </c>
      <c r="H16" s="10" t="str">
        <f t="shared" si="0"/>
        <v/>
      </c>
      <c r="I16" s="57" t="str">
        <f t="shared" si="3"/>
        <v/>
      </c>
      <c r="K16" s="38"/>
    </row>
    <row r="17" spans="1:11" ht="28.8" x14ac:dyDescent="0.3">
      <c r="A17" s="63" t="s">
        <v>22</v>
      </c>
      <c r="B17" s="55" t="s">
        <v>23</v>
      </c>
      <c r="C17" s="56" t="s">
        <v>24</v>
      </c>
      <c r="D17" s="57">
        <v>0</v>
      </c>
      <c r="E17" s="41">
        <f>IF(D17="","",_xlfn.XLOOKUP(A17,[5]ריכוז!$A:$A,[5]ריכוז!$D:$D,"אין כזה"))</f>
        <v>1760</v>
      </c>
      <c r="F17" s="10">
        <f t="shared" si="1"/>
        <v>264</v>
      </c>
      <c r="G17" s="10">
        <f t="shared" si="2"/>
        <v>88</v>
      </c>
      <c r="H17" s="10">
        <f t="shared" si="0"/>
        <v>1570.8</v>
      </c>
      <c r="I17" s="57">
        <f t="shared" si="3"/>
        <v>0</v>
      </c>
      <c r="K17" s="38"/>
    </row>
    <row r="18" spans="1:11" ht="44.4" customHeight="1" x14ac:dyDescent="0.3">
      <c r="A18" s="63" t="s">
        <v>25</v>
      </c>
      <c r="B18" s="55" t="s">
        <v>26</v>
      </c>
      <c r="C18" s="56" t="s">
        <v>24</v>
      </c>
      <c r="D18" s="57">
        <f>3.31+6.87</f>
        <v>10.18</v>
      </c>
      <c r="E18" s="41">
        <f>IF(D18="","",_xlfn.XLOOKUP(A18,[5]ריכוז!$A:$A,[5]ריכוז!$D:$D,"אין כזה"))</f>
        <v>1980</v>
      </c>
      <c r="F18" s="10">
        <f t="shared" si="1"/>
        <v>297</v>
      </c>
      <c r="G18" s="10">
        <f t="shared" si="2"/>
        <v>99</v>
      </c>
      <c r="H18" s="10">
        <f t="shared" si="0"/>
        <v>1767.1499999999999</v>
      </c>
      <c r="I18" s="57">
        <f t="shared" si="3"/>
        <v>17989.587</v>
      </c>
      <c r="K18" s="38"/>
    </row>
    <row r="19" spans="1:11" ht="28.8" x14ac:dyDescent="0.3">
      <c r="A19" s="63" t="s">
        <v>27</v>
      </c>
      <c r="B19" s="55" t="s">
        <v>28</v>
      </c>
      <c r="C19" s="56" t="s">
        <v>24</v>
      </c>
      <c r="D19" s="57">
        <v>0</v>
      </c>
      <c r="E19" s="41">
        <f>IF(D19="","",_xlfn.XLOOKUP(A19,[5]ריכוז!$A:$A,[5]ריכוז!$D:$D,"אין כזה"))</f>
        <v>2210</v>
      </c>
      <c r="F19" s="10">
        <f t="shared" si="1"/>
        <v>331.5</v>
      </c>
      <c r="G19" s="10">
        <f t="shared" si="2"/>
        <v>110.5</v>
      </c>
      <c r="H19" s="10">
        <f t="shared" si="0"/>
        <v>1972.425</v>
      </c>
      <c r="I19" s="57">
        <f t="shared" si="3"/>
        <v>0</v>
      </c>
      <c r="K19" s="38"/>
    </row>
    <row r="20" spans="1:11" ht="28.8" x14ac:dyDescent="0.3">
      <c r="A20" s="63" t="s">
        <v>29</v>
      </c>
      <c r="B20" s="55" t="s">
        <v>30</v>
      </c>
      <c r="C20" s="56" t="s">
        <v>17</v>
      </c>
      <c r="D20" s="57">
        <f>1.84*1.8*E18</f>
        <v>6557.76</v>
      </c>
      <c r="E20" s="42">
        <f>IF(D20="","",_xlfn.XLOOKUP(A20,[5]ריכוז!$A:$A,[5]ריכוז!$D:$D,"אין כזה"))</f>
        <v>0.15</v>
      </c>
      <c r="F20" s="10">
        <f t="shared" si="1"/>
        <v>2.2499999999999999E-2</v>
      </c>
      <c r="G20" s="10">
        <f t="shared" si="2"/>
        <v>7.4999999999999997E-3</v>
      </c>
      <c r="H20" s="10">
        <f t="shared" si="0"/>
        <v>0.13387499999999999</v>
      </c>
      <c r="I20" s="57">
        <f t="shared" si="3"/>
        <v>877.92012</v>
      </c>
      <c r="K20" s="38"/>
    </row>
    <row r="21" spans="1:11" x14ac:dyDescent="0.3">
      <c r="A21" s="63" t="s">
        <v>31</v>
      </c>
      <c r="B21" s="55" t="s">
        <v>32</v>
      </c>
      <c r="C21" s="56" t="s">
        <v>2</v>
      </c>
      <c r="D21" s="138">
        <v>1</v>
      </c>
      <c r="E21" s="41">
        <f>IF(D21="","",_xlfn.XLOOKUP(A21,[5]ריכוז!$A:$A,[5]ריכוז!$D:$D,"אין כזה"))</f>
        <v>140</v>
      </c>
      <c r="F21" s="10">
        <f t="shared" si="1"/>
        <v>21</v>
      </c>
      <c r="G21" s="10">
        <f t="shared" si="2"/>
        <v>7</v>
      </c>
      <c r="H21" s="10">
        <f t="shared" si="0"/>
        <v>124.95</v>
      </c>
      <c r="I21" s="57">
        <f t="shared" si="3"/>
        <v>124.95</v>
      </c>
      <c r="K21" s="38"/>
    </row>
    <row r="22" spans="1:11" x14ac:dyDescent="0.3">
      <c r="A22" s="63" t="s">
        <v>33</v>
      </c>
      <c r="B22" s="55" t="s">
        <v>34</v>
      </c>
      <c r="C22" s="56" t="s">
        <v>2</v>
      </c>
      <c r="D22" s="138">
        <v>3</v>
      </c>
      <c r="E22" s="41">
        <f>IF(D22="","",_xlfn.XLOOKUP(A22,[5]ריכוז!$A:$A,[5]ריכוז!$D:$D,"אין כזה"))</f>
        <v>240</v>
      </c>
      <c r="F22" s="10">
        <f t="shared" si="1"/>
        <v>36</v>
      </c>
      <c r="G22" s="10">
        <f t="shared" si="2"/>
        <v>12</v>
      </c>
      <c r="H22" s="10">
        <f t="shared" si="0"/>
        <v>214.2</v>
      </c>
      <c r="I22" s="57">
        <f t="shared" si="3"/>
        <v>642.59999999999991</v>
      </c>
      <c r="K22" s="38"/>
    </row>
    <row r="23" spans="1:11" x14ac:dyDescent="0.3">
      <c r="A23" s="63" t="s">
        <v>35</v>
      </c>
      <c r="B23" s="55" t="s">
        <v>36</v>
      </c>
      <c r="C23" s="56" t="s">
        <v>2</v>
      </c>
      <c r="D23" s="57">
        <v>1</v>
      </c>
      <c r="E23" s="41">
        <f>IF(D23="","",_xlfn.XLOOKUP(A23,[5]ריכוז!$A:$A,[5]ריכוז!$D:$D,"אין כזה"))</f>
        <v>310</v>
      </c>
      <c r="F23" s="10">
        <f t="shared" si="1"/>
        <v>46.5</v>
      </c>
      <c r="G23" s="10">
        <f t="shared" si="2"/>
        <v>15.5</v>
      </c>
      <c r="H23" s="10">
        <f t="shared" si="0"/>
        <v>276.67500000000001</v>
      </c>
      <c r="I23" s="57">
        <f t="shared" si="3"/>
        <v>276.67500000000001</v>
      </c>
      <c r="K23" s="38"/>
    </row>
    <row r="24" spans="1:11" s="27" customFormat="1" ht="15.6" x14ac:dyDescent="0.3">
      <c r="A24" s="59" t="s">
        <v>37</v>
      </c>
      <c r="B24" s="60" t="s">
        <v>38</v>
      </c>
      <c r="C24" s="61" t="s">
        <v>3</v>
      </c>
      <c r="D24" s="62" t="s">
        <v>3</v>
      </c>
      <c r="E24" s="41" t="str">
        <f>IF(D24="","",_xlfn.XLOOKUP(A24,[5]ריכוז!$A:$A,[5]ריכוז!$D:$D,"אין כזה"))</f>
        <v/>
      </c>
      <c r="F24" s="10" t="str">
        <f t="shared" si="1"/>
        <v/>
      </c>
      <c r="G24" s="10" t="str">
        <f t="shared" si="2"/>
        <v/>
      </c>
      <c r="H24" s="10" t="str">
        <f t="shared" si="0"/>
        <v/>
      </c>
      <c r="I24" s="57" t="str">
        <f t="shared" si="3"/>
        <v/>
      </c>
      <c r="K24" s="38"/>
    </row>
    <row r="25" spans="1:11" ht="28.8" x14ac:dyDescent="0.3">
      <c r="A25" s="63" t="s">
        <v>39</v>
      </c>
      <c r="B25" s="55" t="s">
        <v>40</v>
      </c>
      <c r="C25" s="56" t="s">
        <v>24</v>
      </c>
      <c r="D25" s="57">
        <v>0</v>
      </c>
      <c r="E25" s="41">
        <f>IF(D25="","",_xlfn.XLOOKUP(A25,[5]ריכוז!$A:$A,[5]ריכוז!$D:$D,"אין כזה"))</f>
        <v>2220</v>
      </c>
      <c r="F25" s="10">
        <f t="shared" si="1"/>
        <v>333</v>
      </c>
      <c r="G25" s="10">
        <f t="shared" si="2"/>
        <v>111</v>
      </c>
      <c r="H25" s="10">
        <f t="shared" si="0"/>
        <v>1981.35</v>
      </c>
      <c r="I25" s="57">
        <f t="shared" si="3"/>
        <v>0</v>
      </c>
      <c r="K25" s="38"/>
    </row>
    <row r="26" spans="1:11" ht="28.8" x14ac:dyDescent="0.3">
      <c r="A26" s="63" t="s">
        <v>188</v>
      </c>
      <c r="B26" s="55" t="s">
        <v>40</v>
      </c>
      <c r="C26" s="56" t="s">
        <v>24</v>
      </c>
      <c r="D26" s="57">
        <v>0</v>
      </c>
      <c r="E26" s="41">
        <f>IF(D26="","",_xlfn.XLOOKUP(A26,[5]ריכוז!$A:$A,[5]ריכוז!$D:$D,"אין כזה"))</f>
        <v>2790</v>
      </c>
      <c r="F26" s="10">
        <f t="shared" si="1"/>
        <v>418.5</v>
      </c>
      <c r="G26" s="10">
        <f t="shared" si="2"/>
        <v>139.5</v>
      </c>
      <c r="H26" s="10">
        <f t="shared" si="0"/>
        <v>2490.0749999999998</v>
      </c>
      <c r="I26" s="57">
        <f t="shared" si="3"/>
        <v>0</v>
      </c>
      <c r="K26" s="38"/>
    </row>
    <row r="27" spans="1:11" ht="28.8" x14ac:dyDescent="0.3">
      <c r="A27" s="63" t="s">
        <v>41</v>
      </c>
      <c r="B27" s="55" t="s">
        <v>42</v>
      </c>
      <c r="C27" s="56" t="s">
        <v>24</v>
      </c>
      <c r="D27" s="57">
        <v>0</v>
      </c>
      <c r="E27" s="41">
        <f>IF(D27="","",_xlfn.XLOOKUP(A27,[5]ריכוז!$A:$A,[5]ריכוז!$D:$D,"אין כזה"))</f>
        <v>2700</v>
      </c>
      <c r="F27" s="10">
        <f t="shared" si="1"/>
        <v>405</v>
      </c>
      <c r="G27" s="10">
        <f t="shared" si="2"/>
        <v>135</v>
      </c>
      <c r="H27" s="10">
        <f t="shared" si="0"/>
        <v>2409.75</v>
      </c>
      <c r="I27" s="57">
        <f t="shared" si="3"/>
        <v>0</v>
      </c>
      <c r="K27" s="38"/>
    </row>
    <row r="28" spans="1:11" s="27" customFormat="1" ht="15.6" x14ac:dyDescent="0.3">
      <c r="A28" s="59" t="s">
        <v>43</v>
      </c>
      <c r="B28" s="60" t="s">
        <v>44</v>
      </c>
      <c r="C28" s="61" t="s">
        <v>3</v>
      </c>
      <c r="D28" s="62" t="s">
        <v>3</v>
      </c>
      <c r="E28" s="41" t="str">
        <f>IF(D28="","",_xlfn.XLOOKUP(A28,[5]ריכוז!$A:$A,[5]ריכוז!$D:$D,"אין כזה"))</f>
        <v/>
      </c>
      <c r="F28" s="10" t="str">
        <f t="shared" si="1"/>
        <v/>
      </c>
      <c r="G28" s="10" t="str">
        <f t="shared" si="2"/>
        <v/>
      </c>
      <c r="H28" s="10" t="str">
        <f t="shared" si="0"/>
        <v/>
      </c>
      <c r="I28" s="57" t="str">
        <f t="shared" si="3"/>
        <v/>
      </c>
      <c r="K28" s="38"/>
    </row>
    <row r="29" spans="1:11" ht="28.8" x14ac:dyDescent="0.3">
      <c r="A29" s="63" t="s">
        <v>45</v>
      </c>
      <c r="B29" s="55" t="s">
        <v>46</v>
      </c>
      <c r="C29" s="56" t="s">
        <v>2</v>
      </c>
      <c r="D29" s="57">
        <v>0</v>
      </c>
      <c r="E29" s="41">
        <f>IF(D29="","",_xlfn.XLOOKUP(A29,[5]ריכוז!$A:$A,[5]ריכוז!$D:$D,"אין כזה"))</f>
        <v>1310</v>
      </c>
      <c r="F29" s="10">
        <f t="shared" si="1"/>
        <v>196.5</v>
      </c>
      <c r="G29" s="10">
        <f t="shared" si="2"/>
        <v>65.5</v>
      </c>
      <c r="H29" s="10">
        <f t="shared" si="0"/>
        <v>1169.175</v>
      </c>
      <c r="I29" s="57">
        <f t="shared" si="3"/>
        <v>0</v>
      </c>
      <c r="K29" s="38"/>
    </row>
    <row r="30" spans="1:11" ht="28.8" x14ac:dyDescent="0.3">
      <c r="A30" s="63" t="s">
        <v>47</v>
      </c>
      <c r="B30" s="55" t="s">
        <v>48</v>
      </c>
      <c r="C30" s="56" t="s">
        <v>2</v>
      </c>
      <c r="D30" s="57">
        <v>0</v>
      </c>
      <c r="E30" s="41">
        <f>IF(D30="","",_xlfn.XLOOKUP(A30,[5]ריכוז!$A:$A,[5]ריכוז!$D:$D,"אין כזה"))</f>
        <v>2090</v>
      </c>
      <c r="F30" s="10">
        <f t="shared" si="1"/>
        <v>313.5</v>
      </c>
      <c r="G30" s="10">
        <f t="shared" si="2"/>
        <v>104.5</v>
      </c>
      <c r="H30" s="10">
        <f t="shared" si="0"/>
        <v>1865.325</v>
      </c>
      <c r="I30" s="57">
        <f t="shared" si="3"/>
        <v>0</v>
      </c>
      <c r="K30" s="38"/>
    </row>
    <row r="31" spans="1:11" s="27" customFormat="1" ht="15.6" x14ac:dyDescent="0.3">
      <c r="A31" s="59" t="s">
        <v>50</v>
      </c>
      <c r="B31" s="60" t="s">
        <v>51</v>
      </c>
      <c r="C31" s="61" t="s">
        <v>3</v>
      </c>
      <c r="D31" s="62" t="s">
        <v>3</v>
      </c>
      <c r="E31" s="41" t="str">
        <f>IF(D31="","",_xlfn.XLOOKUP(A31,[5]ריכוז!$A:$A,[5]ריכוז!$D:$D,"אין כזה"))</f>
        <v/>
      </c>
      <c r="F31" s="10" t="str">
        <f t="shared" si="1"/>
        <v/>
      </c>
      <c r="G31" s="10" t="str">
        <f t="shared" si="2"/>
        <v/>
      </c>
      <c r="H31" s="10" t="str">
        <f t="shared" si="0"/>
        <v/>
      </c>
      <c r="I31" s="57" t="str">
        <f t="shared" si="3"/>
        <v/>
      </c>
      <c r="K31" s="38"/>
    </row>
    <row r="32" spans="1:11" ht="28.8" x14ac:dyDescent="0.3">
      <c r="A32" s="63" t="s">
        <v>52</v>
      </c>
      <c r="B32" s="55" t="s">
        <v>53</v>
      </c>
      <c r="C32" s="56" t="s">
        <v>24</v>
      </c>
      <c r="D32" s="57">
        <v>0</v>
      </c>
      <c r="E32" s="41">
        <f>IF(D32="","",_xlfn.XLOOKUP(A32,[5]ריכוז!$A:$A,[5]ריכוז!$D:$D,"אין כזה"))</f>
        <v>1760</v>
      </c>
      <c r="F32" s="10">
        <f t="shared" si="1"/>
        <v>264</v>
      </c>
      <c r="G32" s="10">
        <f t="shared" si="2"/>
        <v>88</v>
      </c>
      <c r="H32" s="10">
        <f t="shared" si="0"/>
        <v>1570.8</v>
      </c>
      <c r="I32" s="57">
        <f t="shared" si="3"/>
        <v>0</v>
      </c>
      <c r="K32" s="38"/>
    </row>
    <row r="33" spans="1:11" ht="28.8" x14ac:dyDescent="0.3">
      <c r="A33" s="63" t="s">
        <v>54</v>
      </c>
      <c r="B33" s="55" t="s">
        <v>55</v>
      </c>
      <c r="C33" s="56" t="s">
        <v>24</v>
      </c>
      <c r="D33" s="57">
        <v>6.83</v>
      </c>
      <c r="E33" s="41">
        <f>IF(D33="","",_xlfn.XLOOKUP(A33,[5]ריכוז!$A:$A,[5]ריכוז!$D:$D,"אין כזה"))</f>
        <v>1850</v>
      </c>
      <c r="F33" s="10">
        <f t="shared" si="1"/>
        <v>277.5</v>
      </c>
      <c r="G33" s="10">
        <f t="shared" si="2"/>
        <v>92.5</v>
      </c>
      <c r="H33" s="10">
        <f t="shared" si="0"/>
        <v>1651.125</v>
      </c>
      <c r="I33" s="57">
        <f t="shared" si="3"/>
        <v>11277.18375</v>
      </c>
      <c r="K33" s="38"/>
    </row>
    <row r="34" spans="1:11" ht="28.8" x14ac:dyDescent="0.3">
      <c r="A34" s="63" t="s">
        <v>56</v>
      </c>
      <c r="B34" s="55" t="s">
        <v>57</v>
      </c>
      <c r="C34" s="56" t="s">
        <v>24</v>
      </c>
      <c r="D34" s="57">
        <v>0</v>
      </c>
      <c r="E34" s="41">
        <f>IF(D34="","",_xlfn.XLOOKUP(A34,[5]ריכוז!$A:$A,[5]ריכוז!$D:$D,"אין כזה"))</f>
        <v>1680</v>
      </c>
      <c r="F34" s="10">
        <f t="shared" si="1"/>
        <v>252</v>
      </c>
      <c r="G34" s="10">
        <f t="shared" si="2"/>
        <v>84</v>
      </c>
      <c r="H34" s="10">
        <f t="shared" si="0"/>
        <v>1499.3999999999999</v>
      </c>
      <c r="I34" s="57">
        <f t="shared" si="3"/>
        <v>0</v>
      </c>
      <c r="K34" s="38"/>
    </row>
    <row r="35" spans="1:11" s="27" customFormat="1" ht="15.6" x14ac:dyDescent="0.3">
      <c r="A35" s="59" t="s">
        <v>58</v>
      </c>
      <c r="B35" s="60" t="s">
        <v>59</v>
      </c>
      <c r="C35" s="61" t="s">
        <v>3</v>
      </c>
      <c r="D35" s="62" t="s">
        <v>3</v>
      </c>
      <c r="E35" s="41" t="str">
        <f>IF(D35="","",_xlfn.XLOOKUP(A35,[5]ריכוז!$A:$A,[5]ריכוז!$D:$D,"אין כזה"))</f>
        <v/>
      </c>
      <c r="F35" s="10" t="str">
        <f t="shared" si="1"/>
        <v/>
      </c>
      <c r="G35" s="10" t="str">
        <f t="shared" si="2"/>
        <v/>
      </c>
      <c r="H35" s="10" t="str">
        <f t="shared" si="0"/>
        <v/>
      </c>
      <c r="I35" s="57" t="str">
        <f t="shared" si="3"/>
        <v/>
      </c>
      <c r="K35" s="38"/>
    </row>
    <row r="36" spans="1:11" s="27" customFormat="1" ht="28.8" x14ac:dyDescent="0.3">
      <c r="A36" s="63" t="s">
        <v>171</v>
      </c>
      <c r="B36" s="55" t="s">
        <v>172</v>
      </c>
      <c r="C36" s="56" t="s">
        <v>24</v>
      </c>
      <c r="D36" s="57">
        <v>0</v>
      </c>
      <c r="E36" s="41">
        <f>IF(D36="","",_xlfn.XLOOKUP(A36,[5]ריכוז!$A:$A,[5]ריכוז!$D:$D,"אין כזה"))</f>
        <v>2850</v>
      </c>
      <c r="F36" s="10">
        <f t="shared" si="1"/>
        <v>427.5</v>
      </c>
      <c r="G36" s="10">
        <f t="shared" si="2"/>
        <v>142.5</v>
      </c>
      <c r="H36" s="10">
        <f t="shared" si="0"/>
        <v>2543.625</v>
      </c>
      <c r="I36" s="57">
        <f t="shared" si="3"/>
        <v>0</v>
      </c>
      <c r="K36" s="38"/>
    </row>
    <row r="37" spans="1:11" ht="28.8" x14ac:dyDescent="0.3">
      <c r="A37" s="63" t="s">
        <v>60</v>
      </c>
      <c r="B37" s="55" t="s">
        <v>61</v>
      </c>
      <c r="C37" s="56" t="s">
        <v>24</v>
      </c>
      <c r="D37" s="57">
        <v>0</v>
      </c>
      <c r="E37" s="41">
        <f>IF(D37="","",_xlfn.XLOOKUP(A37,[5]ריכוז!$A:$A,[5]ריכוז!$D:$D,"אין כזה"))</f>
        <v>2300</v>
      </c>
      <c r="F37" s="10">
        <f t="shared" si="1"/>
        <v>345</v>
      </c>
      <c r="G37" s="10">
        <f t="shared" si="2"/>
        <v>115</v>
      </c>
      <c r="H37" s="10">
        <f t="shared" si="0"/>
        <v>2052.75</v>
      </c>
      <c r="I37" s="57">
        <f t="shared" si="3"/>
        <v>0</v>
      </c>
      <c r="K37" s="38"/>
    </row>
    <row r="38" spans="1:11" ht="28.8" x14ac:dyDescent="0.3">
      <c r="A38" s="63" t="s">
        <v>62</v>
      </c>
      <c r="B38" s="55" t="s">
        <v>63</v>
      </c>
      <c r="C38" s="56" t="s">
        <v>24</v>
      </c>
      <c r="D38" s="57">
        <v>0</v>
      </c>
      <c r="E38" s="41">
        <f>IF(D38="","",_xlfn.XLOOKUP(A38,[5]ריכוז!$A:$A,[5]ריכוז!$D:$D,"אין כזה"))</f>
        <v>3250</v>
      </c>
      <c r="F38" s="10">
        <f t="shared" si="1"/>
        <v>487.5</v>
      </c>
      <c r="G38" s="10">
        <f t="shared" si="2"/>
        <v>162.5</v>
      </c>
      <c r="H38" s="10">
        <f t="shared" si="0"/>
        <v>2900.625</v>
      </c>
      <c r="I38" s="57">
        <f t="shared" si="3"/>
        <v>0</v>
      </c>
      <c r="K38" s="38"/>
    </row>
    <row r="39" spans="1:11" s="27" customFormat="1" ht="15.6" x14ac:dyDescent="0.3">
      <c r="A39" s="59" t="s">
        <v>64</v>
      </c>
      <c r="B39" s="60" t="s">
        <v>65</v>
      </c>
      <c r="C39" s="61" t="s">
        <v>3</v>
      </c>
      <c r="D39" s="62" t="s">
        <v>3</v>
      </c>
      <c r="E39" s="41" t="str">
        <f>IF(D39="","",_xlfn.XLOOKUP(A39,[5]ריכוז!$A:$A,[5]ריכוז!$D:$D,"אין כזה"))</f>
        <v/>
      </c>
      <c r="F39" s="10" t="str">
        <f t="shared" si="1"/>
        <v/>
      </c>
      <c r="G39" s="10" t="str">
        <f t="shared" si="2"/>
        <v/>
      </c>
      <c r="H39" s="10" t="str">
        <f t="shared" si="0"/>
        <v/>
      </c>
      <c r="I39" s="57" t="str">
        <f t="shared" si="3"/>
        <v/>
      </c>
      <c r="K39" s="38"/>
    </row>
    <row r="40" spans="1:11" x14ac:dyDescent="0.3">
      <c r="A40" s="63" t="s">
        <v>66</v>
      </c>
      <c r="B40" s="55" t="s">
        <v>67</v>
      </c>
      <c r="C40" s="56" t="s">
        <v>24</v>
      </c>
      <c r="D40" s="57">
        <f>D33+D38</f>
        <v>6.83</v>
      </c>
      <c r="E40" s="41">
        <f>IF(D40="","",_xlfn.XLOOKUP(A40,[5]ריכוז!$A:$A,[5]ריכוז!$D:$D,"אין כזה"))</f>
        <v>88</v>
      </c>
      <c r="F40" s="10">
        <f t="shared" si="1"/>
        <v>13.2</v>
      </c>
      <c r="G40" s="10">
        <f t="shared" si="2"/>
        <v>4.4000000000000004</v>
      </c>
      <c r="H40" s="10">
        <f t="shared" si="0"/>
        <v>78.540000000000006</v>
      </c>
      <c r="I40" s="57">
        <f t="shared" si="3"/>
        <v>536.42820000000006</v>
      </c>
      <c r="K40" s="38"/>
    </row>
    <row r="41" spans="1:11" s="27" customFormat="1" ht="15.6" x14ac:dyDescent="0.3">
      <c r="A41" s="59" t="s">
        <v>68</v>
      </c>
      <c r="B41" s="60" t="s">
        <v>69</v>
      </c>
      <c r="C41" s="61" t="s">
        <v>3</v>
      </c>
      <c r="D41" s="62" t="s">
        <v>3</v>
      </c>
      <c r="E41" s="41" t="str">
        <f>IF(D41="","",_xlfn.XLOOKUP(A41,[5]ריכוז!$A:$A,[5]ריכוז!$D:$D,"אין כזה"))</f>
        <v/>
      </c>
      <c r="F41" s="10" t="str">
        <f t="shared" si="1"/>
        <v/>
      </c>
      <c r="G41" s="10" t="str">
        <f t="shared" si="2"/>
        <v/>
      </c>
      <c r="H41" s="10" t="str">
        <f t="shared" si="0"/>
        <v/>
      </c>
      <c r="I41" s="57" t="str">
        <f t="shared" si="3"/>
        <v/>
      </c>
      <c r="K41" s="38"/>
    </row>
    <row r="42" spans="1:11" ht="28.8" x14ac:dyDescent="0.3">
      <c r="A42" s="63" t="s">
        <v>70</v>
      </c>
      <c r="B42" s="55" t="s">
        <v>71</v>
      </c>
      <c r="C42" s="56" t="s">
        <v>24</v>
      </c>
      <c r="D42" s="138">
        <v>0</v>
      </c>
      <c r="E42" s="41">
        <f>IF(D42="","",_xlfn.XLOOKUP(A42,[5]ריכוז!$A:$A,[5]ריכוז!$D:$D,"אין כזה"))</f>
        <v>717</v>
      </c>
      <c r="F42" s="10">
        <f t="shared" si="1"/>
        <v>107.55</v>
      </c>
      <c r="G42" s="10">
        <f t="shared" si="2"/>
        <v>35.85</v>
      </c>
      <c r="H42" s="10">
        <f t="shared" si="0"/>
        <v>639.92250000000001</v>
      </c>
      <c r="I42" s="57">
        <f t="shared" si="3"/>
        <v>0</v>
      </c>
      <c r="K42" s="38"/>
    </row>
    <row r="43" spans="1:11" ht="28.8" x14ac:dyDescent="0.3">
      <c r="A43" s="63" t="s">
        <v>72</v>
      </c>
      <c r="B43" s="55" t="s">
        <v>73</v>
      </c>
      <c r="C43" s="56" t="s">
        <v>24</v>
      </c>
      <c r="D43" s="57">
        <v>0</v>
      </c>
      <c r="E43" s="41">
        <f>IF(D43="","",_xlfn.XLOOKUP(A43,[5]ריכוז!$A:$A,[5]ריכוז!$D:$D,"אין כזה"))</f>
        <v>582</v>
      </c>
      <c r="F43" s="10">
        <f t="shared" si="1"/>
        <v>87.3</v>
      </c>
      <c r="G43" s="10">
        <f t="shared" si="2"/>
        <v>29.1</v>
      </c>
      <c r="H43" s="10">
        <f t="shared" si="0"/>
        <v>519.43500000000006</v>
      </c>
      <c r="I43" s="57">
        <f t="shared" si="3"/>
        <v>0</v>
      </c>
      <c r="K43" s="38"/>
    </row>
    <row r="44" spans="1:11" ht="28.2" x14ac:dyDescent="0.3">
      <c r="A44" s="9" t="s">
        <v>218</v>
      </c>
      <c r="B44" s="2" t="s">
        <v>219</v>
      </c>
      <c r="C44" s="56" t="s">
        <v>24</v>
      </c>
      <c r="D44" s="138">
        <f>D18</f>
        <v>10.18</v>
      </c>
      <c r="E44" s="41">
        <v>800</v>
      </c>
      <c r="F44" s="10">
        <f t="shared" si="1"/>
        <v>120</v>
      </c>
      <c r="G44" s="10">
        <f t="shared" si="2"/>
        <v>40</v>
      </c>
      <c r="H44" s="10">
        <f t="shared" si="0"/>
        <v>714</v>
      </c>
      <c r="I44" s="57">
        <f t="shared" si="3"/>
        <v>7268.5199999999995</v>
      </c>
      <c r="K44" s="38"/>
    </row>
    <row r="45" spans="1:11" ht="28.8" x14ac:dyDescent="0.3">
      <c r="A45" s="63" t="s">
        <v>173</v>
      </c>
      <c r="B45" s="55" t="s">
        <v>174</v>
      </c>
      <c r="C45" s="56" t="s">
        <v>24</v>
      </c>
      <c r="D45" s="138">
        <f>D33</f>
        <v>6.83</v>
      </c>
      <c r="E45" s="41">
        <f>IF(D45="","",_xlfn.XLOOKUP(A45,[5]ריכוז!$A:$A,[5]ריכוז!$D:$D,"אין כזה"))</f>
        <v>1440</v>
      </c>
      <c r="F45" s="10">
        <f t="shared" si="1"/>
        <v>216</v>
      </c>
      <c r="G45" s="10">
        <f t="shared" si="2"/>
        <v>72</v>
      </c>
      <c r="H45" s="10">
        <f t="shared" si="0"/>
        <v>1285.2</v>
      </c>
      <c r="I45" s="57">
        <f t="shared" si="3"/>
        <v>8777.9160000000011</v>
      </c>
      <c r="K45" s="38"/>
    </row>
    <row r="46" spans="1:11" x14ac:dyDescent="0.3">
      <c r="A46" s="63" t="s">
        <v>74</v>
      </c>
      <c r="B46" s="55" t="s">
        <v>75</v>
      </c>
      <c r="C46" s="56" t="s">
        <v>2</v>
      </c>
      <c r="D46" s="57">
        <v>0</v>
      </c>
      <c r="E46" s="41">
        <f>IF(D46="","",_xlfn.XLOOKUP(A46,[5]ריכוז!$A:$A,[5]ריכוז!$D:$D,"אין כזה"))</f>
        <v>620</v>
      </c>
      <c r="F46" s="10">
        <f t="shared" si="1"/>
        <v>93</v>
      </c>
      <c r="G46" s="10">
        <f t="shared" si="2"/>
        <v>31</v>
      </c>
      <c r="H46" s="10">
        <f t="shared" si="0"/>
        <v>553.35</v>
      </c>
      <c r="I46" s="57">
        <f t="shared" si="3"/>
        <v>0</v>
      </c>
      <c r="K46" s="38"/>
    </row>
    <row r="47" spans="1:11" x14ac:dyDescent="0.3">
      <c r="A47" s="63" t="s">
        <v>76</v>
      </c>
      <c r="B47" s="55" t="s">
        <v>77</v>
      </c>
      <c r="C47" s="56" t="s">
        <v>2</v>
      </c>
      <c r="D47" s="57">
        <v>0</v>
      </c>
      <c r="E47" s="41">
        <f>IF(D47="","",_xlfn.XLOOKUP(A47,[5]ריכוז!$A:$A,[5]ריכוז!$D:$D,"אין כזה"))</f>
        <v>750</v>
      </c>
      <c r="F47" s="10">
        <f t="shared" si="1"/>
        <v>112.5</v>
      </c>
      <c r="G47" s="10">
        <f t="shared" si="2"/>
        <v>37.5</v>
      </c>
      <c r="H47" s="10">
        <f t="shared" si="0"/>
        <v>669.375</v>
      </c>
      <c r="I47" s="57">
        <f t="shared" si="3"/>
        <v>0</v>
      </c>
      <c r="K47" s="38"/>
    </row>
    <row r="48" spans="1:11" x14ac:dyDescent="0.3">
      <c r="A48" s="63" t="s">
        <v>78</v>
      </c>
      <c r="B48" s="55" t="s">
        <v>79</v>
      </c>
      <c r="C48" s="56" t="s">
        <v>2</v>
      </c>
      <c r="D48" s="138">
        <v>1</v>
      </c>
      <c r="E48" s="41">
        <f>IF(D48="","",_xlfn.XLOOKUP(A48,[5]ריכוז!$A:$A,[5]ריכוז!$D:$D,"אין כזה"))</f>
        <v>1020</v>
      </c>
      <c r="F48" s="10">
        <f t="shared" si="1"/>
        <v>153</v>
      </c>
      <c r="G48" s="10">
        <f t="shared" si="2"/>
        <v>51</v>
      </c>
      <c r="H48" s="10">
        <f t="shared" si="0"/>
        <v>910.35</v>
      </c>
      <c r="I48" s="57">
        <f t="shared" si="3"/>
        <v>910.35</v>
      </c>
      <c r="K48" s="38"/>
    </row>
    <row r="49" spans="1:11" x14ac:dyDescent="0.3">
      <c r="A49" s="63" t="s">
        <v>80</v>
      </c>
      <c r="B49" s="55" t="s">
        <v>81</v>
      </c>
      <c r="C49" s="56" t="s">
        <v>2</v>
      </c>
      <c r="D49" s="138">
        <v>3</v>
      </c>
      <c r="E49" s="41">
        <f>IF(D49="","",_xlfn.XLOOKUP(A49,[5]ריכוז!$A:$A,[5]ריכוז!$D:$D,"אין כזה"))</f>
        <v>1370</v>
      </c>
      <c r="F49" s="10">
        <f t="shared" si="1"/>
        <v>205.5</v>
      </c>
      <c r="G49" s="10">
        <f t="shared" si="2"/>
        <v>68.5</v>
      </c>
      <c r="H49" s="10">
        <f t="shared" si="0"/>
        <v>1222.7249999999999</v>
      </c>
      <c r="I49" s="57">
        <f t="shared" si="3"/>
        <v>3668.1749999999997</v>
      </c>
      <c r="K49" s="38"/>
    </row>
    <row r="50" spans="1:11" x14ac:dyDescent="0.3">
      <c r="A50" s="63" t="s">
        <v>82</v>
      </c>
      <c r="B50" s="55" t="s">
        <v>83</v>
      </c>
      <c r="C50" s="56" t="s">
        <v>2</v>
      </c>
      <c r="D50" s="138">
        <v>1</v>
      </c>
      <c r="E50" s="41">
        <f>IF(D50="","",_xlfn.XLOOKUP(A50,[5]ריכוז!$A:$A,[5]ריכוז!$D:$D,"אין כזה"))</f>
        <v>1650</v>
      </c>
      <c r="F50" s="10">
        <f t="shared" si="1"/>
        <v>247.5</v>
      </c>
      <c r="G50" s="10">
        <f t="shared" si="2"/>
        <v>82.5</v>
      </c>
      <c r="H50" s="10">
        <f t="shared" si="0"/>
        <v>1472.625</v>
      </c>
      <c r="I50" s="57">
        <f t="shared" si="3"/>
        <v>1472.625</v>
      </c>
      <c r="K50" s="38"/>
    </row>
    <row r="51" spans="1:11" x14ac:dyDescent="0.3">
      <c r="A51" s="63" t="s">
        <v>84</v>
      </c>
      <c r="B51" s="55" t="s">
        <v>85</v>
      </c>
      <c r="C51" s="56" t="s">
        <v>2</v>
      </c>
      <c r="D51" s="138">
        <v>1</v>
      </c>
      <c r="E51" s="41">
        <f>IF(D51="","",_xlfn.XLOOKUP(A51,[5]ריכוז!$A:$A,[5]ריכוז!$D:$D,"אין כזה"))</f>
        <v>1820</v>
      </c>
      <c r="F51" s="10">
        <f t="shared" si="1"/>
        <v>273</v>
      </c>
      <c r="G51" s="10">
        <f t="shared" si="2"/>
        <v>91</v>
      </c>
      <c r="H51" s="10">
        <f t="shared" si="0"/>
        <v>1624.35</v>
      </c>
      <c r="I51" s="57">
        <f t="shared" si="3"/>
        <v>1624.35</v>
      </c>
      <c r="K51" s="38"/>
    </row>
    <row r="52" spans="1:11" x14ac:dyDescent="0.3">
      <c r="A52" s="63" t="s">
        <v>86</v>
      </c>
      <c r="B52" s="55" t="s">
        <v>87</v>
      </c>
      <c r="C52" s="56" t="s">
        <v>2</v>
      </c>
      <c r="D52" s="138">
        <v>1</v>
      </c>
      <c r="E52" s="41">
        <f>IF(D52="","",_xlfn.XLOOKUP(A52,[5]ריכוז!$A:$A,[5]ריכוז!$D:$D,"אין כזה"))</f>
        <v>130</v>
      </c>
      <c r="F52" s="10">
        <f t="shared" si="1"/>
        <v>19.5</v>
      </c>
      <c r="G52" s="10">
        <f t="shared" si="2"/>
        <v>6.5</v>
      </c>
      <c r="H52" s="10">
        <f t="shared" si="0"/>
        <v>116.02499999999999</v>
      </c>
      <c r="I52" s="57">
        <f t="shared" si="3"/>
        <v>116.02499999999999</v>
      </c>
      <c r="K52" s="38"/>
    </row>
    <row r="53" spans="1:11" x14ac:dyDescent="0.3">
      <c r="A53" s="63" t="s">
        <v>175</v>
      </c>
      <c r="B53" s="55" t="s">
        <v>176</v>
      </c>
      <c r="C53" s="56" t="s">
        <v>24</v>
      </c>
      <c r="D53" s="138">
        <f>D45+D44-1.2*1.42</f>
        <v>15.305999999999997</v>
      </c>
      <c r="E53" s="41">
        <f>IF(D53="","",_xlfn.XLOOKUP(A53,[5]ריכוז!$A:$A,[5]ריכוז!$D:$D,"אין כזה"))</f>
        <v>60</v>
      </c>
      <c r="F53" s="10">
        <f t="shared" si="1"/>
        <v>9</v>
      </c>
      <c r="G53" s="10">
        <f t="shared" si="2"/>
        <v>3</v>
      </c>
      <c r="H53" s="10">
        <f t="shared" si="0"/>
        <v>53.55</v>
      </c>
      <c r="I53" s="57">
        <f t="shared" si="3"/>
        <v>819.63629999999978</v>
      </c>
      <c r="K53" s="38"/>
    </row>
    <row r="54" spans="1:11" x14ac:dyDescent="0.3">
      <c r="A54" s="63" t="s">
        <v>88</v>
      </c>
      <c r="B54" s="55" t="s">
        <v>89</v>
      </c>
      <c r="C54" s="56" t="s">
        <v>2</v>
      </c>
      <c r="D54" s="57">
        <v>0</v>
      </c>
      <c r="E54" s="41">
        <f>IF(D54="","",_xlfn.XLOOKUP(A54,[5]ריכוז!$A:$A,[5]ריכוז!$D:$D,"אין כזה"))</f>
        <v>109</v>
      </c>
      <c r="F54" s="10">
        <f t="shared" si="1"/>
        <v>16.349999999999998</v>
      </c>
      <c r="G54" s="10">
        <f t="shared" si="2"/>
        <v>5.45</v>
      </c>
      <c r="H54" s="10">
        <f t="shared" si="0"/>
        <v>97.282499999999999</v>
      </c>
      <c r="I54" s="57">
        <f t="shared" si="3"/>
        <v>0</v>
      </c>
      <c r="K54" s="38"/>
    </row>
    <row r="55" spans="1:11" x14ac:dyDescent="0.3">
      <c r="A55" s="63" t="s">
        <v>90</v>
      </c>
      <c r="B55" s="55" t="s">
        <v>91</v>
      </c>
      <c r="C55" s="56" t="s">
        <v>2</v>
      </c>
      <c r="D55" s="57">
        <v>4</v>
      </c>
      <c r="E55" s="41">
        <f>IF(D55="","",_xlfn.XLOOKUP(A55,[5]ריכוז!$A:$A,[5]ריכוז!$D:$D,"אין כזה"))</f>
        <v>121</v>
      </c>
      <c r="F55" s="10">
        <f t="shared" si="1"/>
        <v>18.149999999999999</v>
      </c>
      <c r="G55" s="10">
        <f t="shared" si="2"/>
        <v>6.0500000000000007</v>
      </c>
      <c r="H55" s="10">
        <f t="shared" si="0"/>
        <v>107.99250000000001</v>
      </c>
      <c r="I55" s="57">
        <f t="shared" si="3"/>
        <v>431.97</v>
      </c>
      <c r="K55" s="38"/>
    </row>
    <row r="56" spans="1:11" ht="14.4" customHeight="1" x14ac:dyDescent="0.3">
      <c r="A56" s="63" t="s">
        <v>195</v>
      </c>
      <c r="B56" s="55" t="s">
        <v>182</v>
      </c>
      <c r="C56" s="56" t="s">
        <v>2</v>
      </c>
      <c r="D56" s="57">
        <v>1</v>
      </c>
      <c r="E56" s="41">
        <f>IF(D56="","",_xlfn.XLOOKUP(A56,[5]ריכוז!$A:$A,[5]ריכוז!$D:$D,"אין כזה"))</f>
        <v>133</v>
      </c>
      <c r="F56" s="10">
        <f t="shared" si="1"/>
        <v>19.95</v>
      </c>
      <c r="G56" s="10">
        <f t="shared" si="2"/>
        <v>6.65</v>
      </c>
      <c r="H56" s="10">
        <f t="shared" si="0"/>
        <v>118.7025</v>
      </c>
      <c r="I56" s="57">
        <f t="shared" si="3"/>
        <v>118.7025</v>
      </c>
      <c r="K56" s="38"/>
    </row>
    <row r="57" spans="1:11" ht="14.4" customHeight="1" x14ac:dyDescent="0.3">
      <c r="A57" s="63" t="s">
        <v>196</v>
      </c>
      <c r="B57" s="55" t="s">
        <v>183</v>
      </c>
      <c r="C57" s="56" t="s">
        <v>2</v>
      </c>
      <c r="D57" s="57">
        <v>0</v>
      </c>
      <c r="E57" s="41">
        <f>IF(D57="","",_xlfn.XLOOKUP(A57,[5]ריכוז!$A:$A,[5]ריכוז!$D:$D,"אין כזה"))</f>
        <v>145</v>
      </c>
      <c r="F57" s="10">
        <f t="shared" si="1"/>
        <v>21.75</v>
      </c>
      <c r="G57" s="10">
        <f t="shared" si="2"/>
        <v>7.25</v>
      </c>
      <c r="H57" s="10">
        <f t="shared" si="0"/>
        <v>129.41249999999999</v>
      </c>
      <c r="I57" s="57">
        <f t="shared" si="3"/>
        <v>0</v>
      </c>
      <c r="K57" s="38"/>
    </row>
    <row r="58" spans="1:11" ht="14.4" customHeight="1" x14ac:dyDescent="0.3">
      <c r="A58" s="63" t="s">
        <v>197</v>
      </c>
      <c r="B58" s="55" t="s">
        <v>184</v>
      </c>
      <c r="C58" s="56" t="s">
        <v>2</v>
      </c>
      <c r="D58" s="57">
        <v>1</v>
      </c>
      <c r="E58" s="41">
        <f>IF(D58="","",_xlfn.XLOOKUP(A58,[5]ריכוז!$A:$A,[5]ריכוז!$D:$D,"אין כזה"))</f>
        <v>157</v>
      </c>
      <c r="F58" s="10">
        <f t="shared" si="1"/>
        <v>23.55</v>
      </c>
      <c r="G58" s="10">
        <f t="shared" si="2"/>
        <v>7.8500000000000005</v>
      </c>
      <c r="H58" s="10">
        <f t="shared" si="0"/>
        <v>140.1225</v>
      </c>
      <c r="I58" s="57">
        <f t="shared" si="3"/>
        <v>140.1225</v>
      </c>
      <c r="K58" s="38"/>
    </row>
    <row r="59" spans="1:11" ht="14.4" customHeight="1" x14ac:dyDescent="0.3">
      <c r="A59" s="63" t="s">
        <v>198</v>
      </c>
      <c r="B59" s="55" t="s">
        <v>185</v>
      </c>
      <c r="C59" s="56" t="s">
        <v>2</v>
      </c>
      <c r="D59" s="57">
        <v>0</v>
      </c>
      <c r="E59" s="41">
        <f>IF(D59="","",_xlfn.XLOOKUP(A59,[5]ריכוז!$A:$A,[5]ריכוז!$D:$D,"אין כזה"))</f>
        <v>169</v>
      </c>
      <c r="F59" s="10">
        <f t="shared" si="1"/>
        <v>25.349999999999998</v>
      </c>
      <c r="G59" s="10">
        <f t="shared" si="2"/>
        <v>8.4500000000000011</v>
      </c>
      <c r="H59" s="10">
        <f t="shared" si="0"/>
        <v>150.83250000000001</v>
      </c>
      <c r="I59" s="57">
        <f t="shared" si="3"/>
        <v>0</v>
      </c>
      <c r="K59" s="38"/>
    </row>
    <row r="60" spans="1:11" ht="14.4" customHeight="1" x14ac:dyDescent="0.3">
      <c r="A60" s="63" t="s">
        <v>199</v>
      </c>
      <c r="B60" s="55" t="s">
        <v>186</v>
      </c>
      <c r="C60" s="56" t="s">
        <v>2</v>
      </c>
      <c r="D60" s="57">
        <v>0</v>
      </c>
      <c r="E60" s="41">
        <f>IF(D60="","",_xlfn.XLOOKUP(A60,[5]ריכוז!$A:$A,[5]ריכוז!$D:$D,"אין כזה"))</f>
        <v>181</v>
      </c>
      <c r="F60" s="10">
        <f t="shared" si="1"/>
        <v>27.15</v>
      </c>
      <c r="G60" s="10">
        <f t="shared" si="2"/>
        <v>9.0500000000000007</v>
      </c>
      <c r="H60" s="10">
        <f t="shared" si="0"/>
        <v>161.54250000000002</v>
      </c>
      <c r="I60" s="57">
        <f t="shared" si="3"/>
        <v>0</v>
      </c>
      <c r="K60" s="38"/>
    </row>
    <row r="61" spans="1:11" ht="14.4" customHeight="1" x14ac:dyDescent="0.3">
      <c r="A61" s="63" t="s">
        <v>200</v>
      </c>
      <c r="B61" s="55" t="s">
        <v>187</v>
      </c>
      <c r="C61" s="56" t="s">
        <v>2</v>
      </c>
      <c r="D61" s="57">
        <v>0</v>
      </c>
      <c r="E61" s="41">
        <f>IF(D61="","",_xlfn.XLOOKUP(A61,[5]ריכוז!$A:$A,[5]ריכוז!$D:$D,"אין כזה"))</f>
        <v>193</v>
      </c>
      <c r="F61" s="10">
        <f t="shared" si="1"/>
        <v>28.95</v>
      </c>
      <c r="G61" s="10">
        <f t="shared" si="2"/>
        <v>9.65</v>
      </c>
      <c r="H61" s="10">
        <f t="shared" si="0"/>
        <v>172.2525</v>
      </c>
      <c r="I61" s="57">
        <f t="shared" si="3"/>
        <v>0</v>
      </c>
      <c r="K61" s="38"/>
    </row>
    <row r="62" spans="1:11" s="27" customFormat="1" ht="15.6" x14ac:dyDescent="0.3">
      <c r="A62" s="59" t="s">
        <v>92</v>
      </c>
      <c r="B62" s="60" t="s">
        <v>93</v>
      </c>
      <c r="C62" s="61" t="s">
        <v>3</v>
      </c>
      <c r="D62" s="62" t="s">
        <v>3</v>
      </c>
      <c r="E62" s="41" t="str">
        <f>IF(D62="","",_xlfn.XLOOKUP(A62,[5]ריכוז!$A:$A,[5]ריכוז!$D:$D,"אין כזה"))</f>
        <v/>
      </c>
      <c r="F62" s="10" t="str">
        <f t="shared" si="1"/>
        <v/>
      </c>
      <c r="G62" s="10" t="str">
        <f t="shared" si="2"/>
        <v/>
      </c>
      <c r="H62" s="10" t="str">
        <f t="shared" si="0"/>
        <v/>
      </c>
      <c r="I62" s="57" t="str">
        <f t="shared" si="3"/>
        <v/>
      </c>
      <c r="K62" s="38"/>
    </row>
    <row r="63" spans="1:11" ht="15" thickBot="1" x14ac:dyDescent="0.35">
      <c r="A63" s="54" t="s">
        <v>94</v>
      </c>
      <c r="B63" s="55" t="s">
        <v>95</v>
      </c>
      <c r="C63" s="56" t="s">
        <v>24</v>
      </c>
      <c r="D63" s="92">
        <v>11.35</v>
      </c>
      <c r="E63" s="41">
        <f>IF(D63="","",_xlfn.XLOOKUP(A63,[5]ריכוז!$A:$A,[5]ריכוז!$D:$D,"אין כזה"))</f>
        <v>53</v>
      </c>
      <c r="F63" s="10">
        <f t="shared" si="1"/>
        <v>7.9499999999999993</v>
      </c>
      <c r="G63" s="10">
        <f t="shared" si="2"/>
        <v>2.6500000000000004</v>
      </c>
      <c r="H63" s="10">
        <f t="shared" si="0"/>
        <v>47.302500000000002</v>
      </c>
      <c r="I63" s="57">
        <f t="shared" si="3"/>
        <v>536.883375</v>
      </c>
      <c r="K63" s="38"/>
    </row>
    <row r="64" spans="1:11" ht="43.2" x14ac:dyDescent="0.3">
      <c r="A64" s="54" t="s">
        <v>96</v>
      </c>
      <c r="B64" s="55" t="s">
        <v>97</v>
      </c>
      <c r="C64" s="56" t="s">
        <v>24</v>
      </c>
      <c r="D64" s="138">
        <v>0</v>
      </c>
      <c r="E64" s="41">
        <f>IF(D64="","",_xlfn.XLOOKUP(A64,[5]ריכוז!$A:$A,[5]ריכוז!$D:$D,"אין כזה"))</f>
        <v>880</v>
      </c>
      <c r="F64" s="10">
        <f t="shared" si="1"/>
        <v>132</v>
      </c>
      <c r="G64" s="10">
        <f t="shared" si="2"/>
        <v>44</v>
      </c>
      <c r="H64" s="10">
        <f t="shared" si="0"/>
        <v>785.4</v>
      </c>
      <c r="I64" s="57">
        <f t="shared" si="3"/>
        <v>0</v>
      </c>
      <c r="K64" s="38"/>
    </row>
    <row r="65" spans="1:11" ht="43.2" x14ac:dyDescent="0.3">
      <c r="A65" s="54" t="s">
        <v>215</v>
      </c>
      <c r="B65" s="55" t="s">
        <v>98</v>
      </c>
      <c r="C65" s="56" t="s">
        <v>24</v>
      </c>
      <c r="D65" s="138">
        <f>D63</f>
        <v>11.35</v>
      </c>
      <c r="E65" s="41">
        <f>IF(D65="","",_xlfn.XLOOKUP(A65,[5]ריכוז!$A:$A,[5]ריכוז!$D:$D,"אין כזה"))</f>
        <v>650</v>
      </c>
      <c r="F65" s="10">
        <f t="shared" si="1"/>
        <v>97.5</v>
      </c>
      <c r="G65" s="10">
        <f t="shared" si="2"/>
        <v>32.5</v>
      </c>
      <c r="H65" s="10">
        <f t="shared" si="0"/>
        <v>580.125</v>
      </c>
      <c r="I65" s="57">
        <f t="shared" si="3"/>
        <v>6584.4187499999998</v>
      </c>
      <c r="K65" s="38"/>
    </row>
    <row r="66" spans="1:11" s="27" customFormat="1" ht="15.6" x14ac:dyDescent="0.3">
      <c r="A66" s="59" t="s">
        <v>99</v>
      </c>
      <c r="B66" s="60" t="s">
        <v>100</v>
      </c>
      <c r="C66" s="61" t="s">
        <v>3</v>
      </c>
      <c r="D66" s="62" t="s">
        <v>3</v>
      </c>
      <c r="E66" s="41" t="str">
        <f>IF(D66="","",_xlfn.XLOOKUP(A66,[5]ריכוז!$A:$A,[5]ריכוז!$D:$D,"אין כזה"))</f>
        <v/>
      </c>
      <c r="F66" s="10" t="str">
        <f t="shared" si="1"/>
        <v/>
      </c>
      <c r="G66" s="10" t="str">
        <f t="shared" si="2"/>
        <v/>
      </c>
      <c r="H66" s="10" t="str">
        <f t="shared" si="0"/>
        <v/>
      </c>
      <c r="I66" s="57" t="str">
        <f t="shared" si="3"/>
        <v/>
      </c>
      <c r="K66" s="38"/>
    </row>
    <row r="67" spans="1:11" x14ac:dyDescent="0.3">
      <c r="A67" s="63" t="s">
        <v>101</v>
      </c>
      <c r="B67" s="55" t="s">
        <v>102</v>
      </c>
      <c r="C67" s="56" t="s">
        <v>24</v>
      </c>
      <c r="D67" s="57">
        <v>0</v>
      </c>
      <c r="E67" s="41">
        <f>IF(D67="","",_xlfn.XLOOKUP(A67,[5]ריכוז!$A:$A,[5]ריכוז!$D:$D,"אין כזה"))</f>
        <v>265</v>
      </c>
      <c r="F67" s="10">
        <f t="shared" si="1"/>
        <v>39.75</v>
      </c>
      <c r="G67" s="10">
        <f t="shared" si="2"/>
        <v>13.25</v>
      </c>
      <c r="H67" s="10">
        <f t="shared" si="0"/>
        <v>236.51249999999999</v>
      </c>
      <c r="I67" s="57">
        <f t="shared" si="3"/>
        <v>0</v>
      </c>
      <c r="K67" s="38"/>
    </row>
    <row r="68" spans="1:11" x14ac:dyDescent="0.3">
      <c r="A68" s="64" t="s">
        <v>103</v>
      </c>
      <c r="B68" s="65" t="s">
        <v>104</v>
      </c>
      <c r="C68" s="56" t="s">
        <v>24</v>
      </c>
      <c r="D68" s="138">
        <f>-D70</f>
        <v>10.089</v>
      </c>
      <c r="E68" s="41">
        <f>IF(D68="","",_xlfn.XLOOKUP(A68,[5]ריכוז!$A:$A,[5]ריכוז!$D:$D,"אין כזה"))</f>
        <v>375</v>
      </c>
      <c r="F68" s="10">
        <f t="shared" si="1"/>
        <v>56.25</v>
      </c>
      <c r="G68" s="10">
        <f t="shared" si="2"/>
        <v>18.75</v>
      </c>
      <c r="H68" s="10">
        <f t="shared" si="0"/>
        <v>334.6875</v>
      </c>
      <c r="I68" s="57">
        <f t="shared" si="3"/>
        <v>3376.6621875000001</v>
      </c>
      <c r="K68" s="38"/>
    </row>
    <row r="69" spans="1:11" x14ac:dyDescent="0.3">
      <c r="A69" s="64" t="s">
        <v>105</v>
      </c>
      <c r="B69" s="65" t="s">
        <v>106</v>
      </c>
      <c r="C69" s="56" t="s">
        <v>24</v>
      </c>
      <c r="D69" s="57">
        <f>-D19</f>
        <v>0</v>
      </c>
      <c r="E69" s="41">
        <f>IF(D69="","",_xlfn.XLOOKUP(A69,[5]ריכוז!$A:$A,[5]ריכוז!$D:$D,"אין כזה"))</f>
        <v>317</v>
      </c>
      <c r="F69" s="10">
        <f t="shared" si="1"/>
        <v>47.55</v>
      </c>
      <c r="G69" s="10">
        <f t="shared" si="2"/>
        <v>15.850000000000001</v>
      </c>
      <c r="H69" s="10">
        <f t="shared" si="0"/>
        <v>282.92250000000001</v>
      </c>
      <c r="I69" s="57">
        <f t="shared" si="3"/>
        <v>0</v>
      </c>
      <c r="K69" s="38"/>
    </row>
    <row r="70" spans="1:11" x14ac:dyDescent="0.3">
      <c r="A70" s="64" t="s">
        <v>107</v>
      </c>
      <c r="B70" s="65" t="s">
        <v>108</v>
      </c>
      <c r="C70" s="56" t="s">
        <v>24</v>
      </c>
      <c r="D70" s="57">
        <v>-10.089</v>
      </c>
      <c r="E70" s="41">
        <f>IF(D70="","",_xlfn.XLOOKUP(A70,[5]ריכוז!$A:$A,[5]ריכוז!$D:$D,"אין כזה"))</f>
        <v>172</v>
      </c>
      <c r="F70" s="10">
        <f t="shared" si="1"/>
        <v>25.8</v>
      </c>
      <c r="G70" s="10">
        <f t="shared" si="2"/>
        <v>8.6</v>
      </c>
      <c r="H70" s="10">
        <f t="shared" si="0"/>
        <v>153.51</v>
      </c>
      <c r="I70" s="57">
        <f t="shared" si="3"/>
        <v>-1548.7623899999999</v>
      </c>
      <c r="K70" s="38"/>
    </row>
    <row r="71" spans="1:11" x14ac:dyDescent="0.3">
      <c r="A71" s="63" t="s">
        <v>109</v>
      </c>
      <c r="B71" s="55" t="s">
        <v>110</v>
      </c>
      <c r="C71" s="56" t="s">
        <v>24</v>
      </c>
      <c r="D71" s="57">
        <f>-D67</f>
        <v>0</v>
      </c>
      <c r="E71" s="41">
        <f>IF(D71="","",_xlfn.XLOOKUP(A71,[5]ריכוז!$A:$A,[5]ריכוז!$D:$D,"אין כזה"))</f>
        <v>94</v>
      </c>
      <c r="F71" s="10">
        <f t="shared" si="1"/>
        <v>14.1</v>
      </c>
      <c r="G71" s="10">
        <f t="shared" si="2"/>
        <v>4.7</v>
      </c>
      <c r="H71" s="10">
        <f t="shared" si="0"/>
        <v>83.894999999999996</v>
      </c>
      <c r="I71" s="57">
        <f t="shared" si="3"/>
        <v>0</v>
      </c>
      <c r="K71" s="38"/>
    </row>
    <row r="72" spans="1:11" x14ac:dyDescent="0.3">
      <c r="A72" s="63" t="s">
        <v>111</v>
      </c>
      <c r="B72" s="55" t="s">
        <v>112</v>
      </c>
      <c r="C72" s="56" t="s">
        <v>24</v>
      </c>
      <c r="D72" s="57">
        <v>0</v>
      </c>
      <c r="E72" s="41">
        <f>IF(D72="","",_xlfn.XLOOKUP(A72,[5]ריכוז!$A:$A,[5]ריכוז!$D:$D,"אין כזה"))</f>
        <v>157</v>
      </c>
      <c r="F72" s="10">
        <f t="shared" si="1"/>
        <v>23.55</v>
      </c>
      <c r="G72" s="10">
        <f t="shared" si="2"/>
        <v>7.8500000000000005</v>
      </c>
      <c r="H72" s="10">
        <f t="shared" si="0"/>
        <v>140.1225</v>
      </c>
      <c r="I72" s="57">
        <f t="shared" si="3"/>
        <v>0</v>
      </c>
      <c r="K72" s="38"/>
    </row>
    <row r="73" spans="1:11" s="27" customFormat="1" ht="15.6" x14ac:dyDescent="0.3">
      <c r="A73" s="59" t="s">
        <v>113</v>
      </c>
      <c r="B73" s="60" t="s">
        <v>114</v>
      </c>
      <c r="C73" s="61" t="s">
        <v>3</v>
      </c>
      <c r="D73" s="62" t="s">
        <v>3</v>
      </c>
      <c r="E73" s="41" t="str">
        <f>IF(D73="","",_xlfn.XLOOKUP(A73,[5]ריכוז!$A:$A,[5]ריכוז!$D:$D,"אין כזה"))</f>
        <v/>
      </c>
      <c r="F73" s="10" t="str">
        <f t="shared" si="1"/>
        <v/>
      </c>
      <c r="G73" s="10" t="str">
        <f t="shared" si="2"/>
        <v/>
      </c>
      <c r="H73" s="10" t="str">
        <f t="shared" si="0"/>
        <v/>
      </c>
      <c r="I73" s="57" t="str">
        <f t="shared" si="3"/>
        <v/>
      </c>
      <c r="K73" s="38"/>
    </row>
    <row r="74" spans="1:11" s="27" customFormat="1" ht="15.6" x14ac:dyDescent="0.3">
      <c r="A74" s="59" t="s">
        <v>115</v>
      </c>
      <c r="B74" s="60" t="s">
        <v>116</v>
      </c>
      <c r="C74" s="61" t="s">
        <v>3</v>
      </c>
      <c r="D74" s="62" t="s">
        <v>3</v>
      </c>
      <c r="E74" s="41" t="str">
        <f>IF(D74="","",_xlfn.XLOOKUP(A74,[5]ריכוז!$A:$A,[5]ריכוז!$D:$D,"אין כזה"))</f>
        <v/>
      </c>
      <c r="F74" s="10" t="str">
        <f t="shared" si="1"/>
        <v/>
      </c>
      <c r="G74" s="10" t="str">
        <f t="shared" si="2"/>
        <v/>
      </c>
      <c r="H74" s="10" t="str">
        <f t="shared" si="0"/>
        <v/>
      </c>
      <c r="I74" s="57" t="str">
        <f t="shared" si="3"/>
        <v/>
      </c>
      <c r="K74" s="38"/>
    </row>
    <row r="75" spans="1:11" ht="28.8" x14ac:dyDescent="0.3">
      <c r="A75" s="63" t="s">
        <v>117</v>
      </c>
      <c r="B75" s="55" t="s">
        <v>118</v>
      </c>
      <c r="C75" s="56" t="s">
        <v>17</v>
      </c>
      <c r="D75" s="57">
        <v>0</v>
      </c>
      <c r="E75" s="41">
        <f>IF(D75="","",_xlfn.XLOOKUP(A75,[5]ריכוז!$A:$A,[5]ריכוז!$D:$D,"אין כזה"))</f>
        <v>3500</v>
      </c>
      <c r="F75" s="10">
        <f t="shared" si="1"/>
        <v>525</v>
      </c>
      <c r="G75" s="10">
        <f t="shared" si="2"/>
        <v>175</v>
      </c>
      <c r="H75" s="10">
        <f t="shared" si="0"/>
        <v>3123.75</v>
      </c>
      <c r="I75" s="57">
        <f t="shared" si="3"/>
        <v>0</v>
      </c>
      <c r="K75" s="38"/>
    </row>
    <row r="76" spans="1:11" ht="43.2" x14ac:dyDescent="0.3">
      <c r="A76" s="63" t="s">
        <v>119</v>
      </c>
      <c r="B76" s="55" t="s">
        <v>120</v>
      </c>
      <c r="C76" s="56" t="s">
        <v>4</v>
      </c>
      <c r="D76" s="57">
        <v>0</v>
      </c>
      <c r="E76" s="41">
        <f>IF(D76="","",_xlfn.XLOOKUP(A76,[5]ריכוז!$A:$A,[5]ריכוז!$D:$D,"אין כזה"))</f>
        <v>172</v>
      </c>
      <c r="F76" s="10">
        <f t="shared" si="1"/>
        <v>25.8</v>
      </c>
      <c r="G76" s="10">
        <f t="shared" si="2"/>
        <v>8.6</v>
      </c>
      <c r="H76" s="10">
        <f t="shared" si="0"/>
        <v>153.51</v>
      </c>
      <c r="I76" s="57">
        <f t="shared" si="3"/>
        <v>0</v>
      </c>
      <c r="K76" s="38"/>
    </row>
    <row r="77" spans="1:11" x14ac:dyDescent="0.3">
      <c r="A77" s="63" t="s">
        <v>177</v>
      </c>
      <c r="B77" s="55" t="s">
        <v>178</v>
      </c>
      <c r="C77" s="56" t="s">
        <v>24</v>
      </c>
      <c r="D77" s="57">
        <f>SUM(D17:D19,D25:D27,D29:D30,D32:D34,D36:D38)</f>
        <v>17.009999999999998</v>
      </c>
      <c r="E77" s="41">
        <f>IF(D77="","",_xlfn.XLOOKUP(A77,[5]ריכוז!$A:$A,[5]ריכוז!$D:$D,"אין כזה"))</f>
        <v>48</v>
      </c>
      <c r="F77" s="10">
        <f t="shared" si="1"/>
        <v>7.1999999999999993</v>
      </c>
      <c r="G77" s="10">
        <f t="shared" si="2"/>
        <v>2.4000000000000004</v>
      </c>
      <c r="H77" s="10">
        <f t="shared" si="0"/>
        <v>42.84</v>
      </c>
      <c r="I77" s="57">
        <f t="shared" si="3"/>
        <v>728.70839999999998</v>
      </c>
      <c r="K77" s="38"/>
    </row>
    <row r="78" spans="1:11" s="27" customFormat="1" ht="15.6" x14ac:dyDescent="0.3">
      <c r="A78" s="59" t="s">
        <v>121</v>
      </c>
      <c r="B78" s="60" t="s">
        <v>122</v>
      </c>
      <c r="C78" s="61" t="s">
        <v>3</v>
      </c>
      <c r="D78" s="62" t="s">
        <v>3</v>
      </c>
      <c r="E78" s="41" t="str">
        <f>IF(D78="","",_xlfn.XLOOKUP(A78,[5]ריכוז!$A:$A,[5]ריכוז!$D:$D,"אין כזה"))</f>
        <v/>
      </c>
      <c r="F78" s="10" t="str">
        <f t="shared" si="1"/>
        <v/>
      </c>
      <c r="G78" s="10" t="str">
        <f t="shared" si="2"/>
        <v/>
      </c>
      <c r="H78" s="10" t="str">
        <f t="shared" ref="H78:H92" si="4">IF(E78="","",E78*1.05*0.85)</f>
        <v/>
      </c>
      <c r="I78" s="57" t="str">
        <f t="shared" si="3"/>
        <v/>
      </c>
      <c r="K78" s="38"/>
    </row>
    <row r="79" spans="1:11" s="27" customFormat="1" ht="15.6" x14ac:dyDescent="0.3">
      <c r="A79" s="59" t="s">
        <v>123</v>
      </c>
      <c r="B79" s="60" t="s">
        <v>124</v>
      </c>
      <c r="C79" s="61" t="s">
        <v>3</v>
      </c>
      <c r="D79" s="62" t="s">
        <v>3</v>
      </c>
      <c r="E79" s="41" t="str">
        <f>IF(D79="","",_xlfn.XLOOKUP(A79,[5]ריכוז!$A:$A,[5]ריכוז!$D:$D,"אין כזה"))</f>
        <v/>
      </c>
      <c r="F79" s="10" t="str">
        <f t="shared" si="1"/>
        <v/>
      </c>
      <c r="G79" s="10" t="str">
        <f t="shared" si="2"/>
        <v/>
      </c>
      <c r="H79" s="10" t="str">
        <f t="shared" si="4"/>
        <v/>
      </c>
      <c r="I79" s="57" t="str">
        <f t="shared" si="3"/>
        <v/>
      </c>
      <c r="K79" s="38"/>
    </row>
    <row r="80" spans="1:11" s="27" customFormat="1" ht="15.6" x14ac:dyDescent="0.3">
      <c r="A80" s="9" t="s">
        <v>208</v>
      </c>
      <c r="B80" s="55" t="s">
        <v>209</v>
      </c>
      <c r="C80" s="56" t="s">
        <v>125</v>
      </c>
      <c r="D80" s="57">
        <v>3</v>
      </c>
      <c r="E80" s="41">
        <v>130</v>
      </c>
      <c r="F80" s="10">
        <f t="shared" si="1"/>
        <v>19.5</v>
      </c>
      <c r="G80" s="10">
        <f t="shared" si="2"/>
        <v>6.5</v>
      </c>
      <c r="H80" s="10">
        <f t="shared" si="4"/>
        <v>116.02499999999999</v>
      </c>
      <c r="I80" s="57">
        <f t="shared" si="3"/>
        <v>348.07499999999999</v>
      </c>
      <c r="K80" s="38"/>
    </row>
    <row r="81" spans="1:15" s="27" customFormat="1" ht="15.6" x14ac:dyDescent="0.3">
      <c r="A81" s="9" t="s">
        <v>169</v>
      </c>
      <c r="B81" s="55" t="s">
        <v>170</v>
      </c>
      <c r="C81" s="56" t="s">
        <v>125</v>
      </c>
      <c r="D81" s="57">
        <f>2*1+5</f>
        <v>7</v>
      </c>
      <c r="E81" s="41">
        <f>IF(D81="","",_xlfn.XLOOKUP(A81,[5]ריכוז!$A:$A,[5]ריכוז!$D:$D,"אין כזה"))</f>
        <v>145</v>
      </c>
      <c r="F81" s="10">
        <f t="shared" si="1"/>
        <v>21.75</v>
      </c>
      <c r="G81" s="10">
        <f t="shared" si="2"/>
        <v>7.25</v>
      </c>
      <c r="H81" s="10">
        <f t="shared" si="4"/>
        <v>129.41249999999999</v>
      </c>
      <c r="I81" s="57">
        <f t="shared" si="3"/>
        <v>905.88749999999993</v>
      </c>
      <c r="K81" s="38"/>
    </row>
    <row r="82" spans="1:15" s="27" customFormat="1" ht="15.6" x14ac:dyDescent="0.3">
      <c r="A82" s="59" t="s">
        <v>126</v>
      </c>
      <c r="B82" s="60" t="s">
        <v>127</v>
      </c>
      <c r="C82" s="61" t="s">
        <v>3</v>
      </c>
      <c r="D82" s="62" t="s">
        <v>3</v>
      </c>
      <c r="E82" s="41" t="str">
        <f>IF(D82="","",_xlfn.XLOOKUP(A82,[5]ריכוז!$A:$A,[5]ריכוז!$D:$D,"אין כזה"))</f>
        <v/>
      </c>
      <c r="F82" s="10" t="str">
        <f t="shared" ref="F82:F92" si="5">IF(E82="","",E82*0.15)</f>
        <v/>
      </c>
      <c r="G82" s="10" t="str">
        <f t="shared" ref="G82:G92" si="6">IF(E82="","",E82*0.05)</f>
        <v/>
      </c>
      <c r="H82" s="10" t="str">
        <f t="shared" si="4"/>
        <v/>
      </c>
      <c r="I82" s="57" t="str">
        <f t="shared" ref="I82:I91" si="7">IF(D82="","",H82*D82)</f>
        <v/>
      </c>
      <c r="K82" s="38"/>
    </row>
    <row r="83" spans="1:15" ht="28.8" x14ac:dyDescent="0.3">
      <c r="A83" s="63" t="s">
        <v>128</v>
      </c>
      <c r="B83" s="55" t="s">
        <v>129</v>
      </c>
      <c r="C83" s="56" t="s">
        <v>2</v>
      </c>
      <c r="D83" s="57">
        <v>0</v>
      </c>
      <c r="E83" s="41">
        <f>IF(D83="","",_xlfn.XLOOKUP(A83,[5]ריכוז!$A:$A,[5]ריכוז!$D:$D,"אין כזה"))</f>
        <v>1460</v>
      </c>
      <c r="F83" s="10">
        <f t="shared" si="5"/>
        <v>219</v>
      </c>
      <c r="G83" s="10">
        <f t="shared" si="6"/>
        <v>73</v>
      </c>
      <c r="H83" s="10">
        <f t="shared" si="4"/>
        <v>1303.05</v>
      </c>
      <c r="I83" s="57">
        <f t="shared" si="7"/>
        <v>0</v>
      </c>
      <c r="K83" s="38"/>
    </row>
    <row r="84" spans="1:15" ht="28.8" x14ac:dyDescent="0.3">
      <c r="A84" s="63" t="s">
        <v>130</v>
      </c>
      <c r="B84" s="55" t="s">
        <v>131</v>
      </c>
      <c r="C84" s="56" t="s">
        <v>2</v>
      </c>
      <c r="D84" s="138">
        <v>2</v>
      </c>
      <c r="E84" s="41">
        <f>IF(D84="","",_xlfn.XLOOKUP(A84,[5]ריכוז!$A:$A,[5]ריכוז!$D:$D,"אין כזה"))</f>
        <v>1810</v>
      </c>
      <c r="F84" s="10">
        <f t="shared" si="5"/>
        <v>271.5</v>
      </c>
      <c r="G84" s="10">
        <f t="shared" si="6"/>
        <v>90.5</v>
      </c>
      <c r="H84" s="10">
        <f t="shared" si="4"/>
        <v>1615.425</v>
      </c>
      <c r="I84" s="57">
        <f t="shared" si="7"/>
        <v>3230.85</v>
      </c>
      <c r="K84" s="38"/>
    </row>
    <row r="85" spans="1:15" ht="28.2" x14ac:dyDescent="0.3">
      <c r="A85" s="9" t="s">
        <v>204</v>
      </c>
      <c r="B85" s="2" t="s">
        <v>205</v>
      </c>
      <c r="C85" s="3" t="s">
        <v>2</v>
      </c>
      <c r="D85" s="57">
        <v>0</v>
      </c>
      <c r="E85" s="41">
        <v>2200</v>
      </c>
      <c r="F85" s="10">
        <f t="shared" si="5"/>
        <v>330</v>
      </c>
      <c r="G85" s="10">
        <f t="shared" si="6"/>
        <v>110</v>
      </c>
      <c r="H85" s="10">
        <f t="shared" si="4"/>
        <v>1963.5</v>
      </c>
      <c r="I85" s="57">
        <f t="shared" si="7"/>
        <v>0</v>
      </c>
      <c r="K85" s="38"/>
    </row>
    <row r="86" spans="1:15" s="27" customFormat="1" ht="15.6" x14ac:dyDescent="0.3">
      <c r="A86" s="59" t="s">
        <v>132</v>
      </c>
      <c r="B86" s="60" t="s">
        <v>133</v>
      </c>
      <c r="C86" s="61" t="s">
        <v>3</v>
      </c>
      <c r="D86" s="62" t="s">
        <v>3</v>
      </c>
      <c r="E86" s="41" t="str">
        <f>IF(D86="","",_xlfn.XLOOKUP(A86,[5]ריכוז!$A:$A,[5]ריכוז!$D:$D,"אין כזה"))</f>
        <v/>
      </c>
      <c r="F86" s="10" t="str">
        <f t="shared" si="5"/>
        <v/>
      </c>
      <c r="G86" s="10" t="str">
        <f t="shared" si="6"/>
        <v/>
      </c>
      <c r="H86" s="10" t="str">
        <f t="shared" si="4"/>
        <v/>
      </c>
      <c r="I86" s="57" t="str">
        <f t="shared" si="7"/>
        <v/>
      </c>
      <c r="K86" s="38"/>
    </row>
    <row r="87" spans="1:15" s="27" customFormat="1" ht="15.6" x14ac:dyDescent="0.3">
      <c r="A87" s="59" t="s">
        <v>134</v>
      </c>
      <c r="B87" s="60" t="s">
        <v>135</v>
      </c>
      <c r="C87" s="61" t="s">
        <v>3</v>
      </c>
      <c r="D87" s="62" t="s">
        <v>3</v>
      </c>
      <c r="E87" s="41" t="str">
        <f>IF(D87="","",_xlfn.XLOOKUP(A87,[5]ריכוז!$A:$A,[5]ריכוז!$D:$D,"אין כזה"))</f>
        <v/>
      </c>
      <c r="F87" s="10" t="str">
        <f t="shared" si="5"/>
        <v/>
      </c>
      <c r="G87" s="10" t="str">
        <f t="shared" si="6"/>
        <v/>
      </c>
      <c r="H87" s="10" t="str">
        <f t="shared" si="4"/>
        <v/>
      </c>
      <c r="I87" s="57" t="str">
        <f t="shared" si="7"/>
        <v/>
      </c>
      <c r="K87" s="38"/>
    </row>
    <row r="88" spans="1:15" ht="43.2" x14ac:dyDescent="0.3">
      <c r="A88" s="63" t="s">
        <v>136</v>
      </c>
      <c r="B88" s="55" t="s">
        <v>137</v>
      </c>
      <c r="C88" s="56" t="s">
        <v>24</v>
      </c>
      <c r="D88" s="138">
        <v>7.25</v>
      </c>
      <c r="E88" s="41">
        <f>IF(D88="","",_xlfn.XLOOKUP(A88,[5]ריכוז!$A:$A,[5]ריכוז!$D:$D,"אין כזה"))</f>
        <v>129.78142076502732</v>
      </c>
      <c r="F88" s="10">
        <f t="shared" si="5"/>
        <v>19.467213114754099</v>
      </c>
      <c r="G88" s="10">
        <f t="shared" si="6"/>
        <v>6.4890710382513666</v>
      </c>
      <c r="H88" s="10">
        <f t="shared" si="4"/>
        <v>115.82991803278689</v>
      </c>
      <c r="I88" s="57">
        <f t="shared" si="7"/>
        <v>839.76690573770497</v>
      </c>
      <c r="K88" s="38"/>
    </row>
    <row r="89" spans="1:15" x14ac:dyDescent="0.3">
      <c r="A89" s="54" t="s">
        <v>138</v>
      </c>
      <c r="B89" s="55" t="s">
        <v>139</v>
      </c>
      <c r="C89" s="56" t="s">
        <v>2</v>
      </c>
      <c r="D89" s="57">
        <v>0</v>
      </c>
      <c r="E89" s="41">
        <f>IF(D89="","",_xlfn.XLOOKUP(A89,[5]ריכוז!$A:$A,[5]ריכוז!$D:$D,"אין כזה"))</f>
        <v>2375.3501400560222</v>
      </c>
      <c r="F89" s="10">
        <f t="shared" si="5"/>
        <v>356.30252100840329</v>
      </c>
      <c r="G89" s="10">
        <f t="shared" si="6"/>
        <v>118.76750700280111</v>
      </c>
      <c r="H89" s="10">
        <f t="shared" si="4"/>
        <v>2120</v>
      </c>
      <c r="I89" s="57">
        <f t="shared" si="7"/>
        <v>0</v>
      </c>
      <c r="K89" s="38"/>
    </row>
    <row r="90" spans="1:15" x14ac:dyDescent="0.3">
      <c r="A90" s="54" t="s">
        <v>140</v>
      </c>
      <c r="B90" s="55" t="s">
        <v>141</v>
      </c>
      <c r="C90" s="56" t="s">
        <v>2</v>
      </c>
      <c r="D90" s="57">
        <v>0</v>
      </c>
      <c r="E90" s="41">
        <f>IF(D90="","",_xlfn.XLOOKUP(A90,[5]ריכוז!$A:$A,[5]ריכוז!$D:$D,"אין כזה"))</f>
        <v>950.14005602240888</v>
      </c>
      <c r="F90" s="10">
        <f t="shared" si="5"/>
        <v>142.52100840336132</v>
      </c>
      <c r="G90" s="10">
        <f t="shared" si="6"/>
        <v>47.50700280112045</v>
      </c>
      <c r="H90" s="10">
        <f t="shared" si="4"/>
        <v>848</v>
      </c>
      <c r="I90" s="57">
        <f t="shared" si="7"/>
        <v>0</v>
      </c>
      <c r="K90" s="38"/>
    </row>
    <row r="91" spans="1:15" ht="28.8" x14ac:dyDescent="0.3">
      <c r="A91" s="54" t="s">
        <v>165</v>
      </c>
      <c r="B91" s="55" t="s">
        <v>166</v>
      </c>
      <c r="C91" s="56" t="s">
        <v>167</v>
      </c>
      <c r="D91" s="96">
        <f>SUM(I17:I20,I25:I27,I29:I30,I32:I34,I36:I38,I42:I45,I64:I65,I89:I90)/0.85/1.05</f>
        <v>59132.263999999988</v>
      </c>
      <c r="E91" s="41">
        <f>IF(D91="","",_xlfn.XLOOKUP(A91,[5]ריכוז!$A:$A,[5]ריכוז!$D:$D,"אין כזה"))</f>
        <v>0.06</v>
      </c>
      <c r="F91" s="10">
        <f t="shared" si="5"/>
        <v>8.9999999999999993E-3</v>
      </c>
      <c r="G91" s="10">
        <f t="shared" si="6"/>
        <v>3.0000000000000001E-3</v>
      </c>
      <c r="H91" s="10">
        <f t="shared" si="4"/>
        <v>5.355E-2</v>
      </c>
      <c r="I91" s="57">
        <f t="shared" si="7"/>
        <v>3166.5327371999992</v>
      </c>
      <c r="K91" s="38"/>
    </row>
    <row r="92" spans="1:15" ht="55.8" x14ac:dyDescent="0.3">
      <c r="A92" s="48" t="s">
        <v>162</v>
      </c>
      <c r="B92" s="2" t="s">
        <v>163</v>
      </c>
      <c r="C92" s="3" t="s">
        <v>164</v>
      </c>
      <c r="D92" s="3">
        <v>0</v>
      </c>
      <c r="E92" s="41">
        <f>IF(D92="","",_xlfn.XLOOKUP(A92,[5]ריכוז!$A:$A,[5]ריכוז!$D:$D,"אין כזה"))</f>
        <v>3500</v>
      </c>
      <c r="F92" s="10">
        <f t="shared" si="5"/>
        <v>525</v>
      </c>
      <c r="G92" s="10">
        <f t="shared" si="6"/>
        <v>175</v>
      </c>
      <c r="H92" s="10">
        <f t="shared" si="4"/>
        <v>3123.75</v>
      </c>
      <c r="I92" s="57">
        <f>H92*D92</f>
        <v>0</v>
      </c>
      <c r="K92" s="38"/>
      <c r="L92"/>
      <c r="M92"/>
      <c r="N92"/>
      <c r="O92"/>
    </row>
    <row r="93" spans="1:15" x14ac:dyDescent="0.3">
      <c r="A93" s="21" t="s">
        <v>3</v>
      </c>
      <c r="B93" s="22" t="s">
        <v>152</v>
      </c>
      <c r="C93" s="23"/>
      <c r="D93" s="24"/>
      <c r="E93" s="25"/>
      <c r="F93" s="24"/>
      <c r="G93" s="24"/>
      <c r="H93" s="24"/>
      <c r="I93" s="31">
        <f>SUMIF(A:A,"01.*",I:I)</f>
        <v>0</v>
      </c>
      <c r="K93"/>
      <c r="L93"/>
      <c r="M93"/>
      <c r="N93"/>
      <c r="O93"/>
    </row>
    <row r="94" spans="1:15" x14ac:dyDescent="0.3">
      <c r="A94" s="21" t="s">
        <v>3</v>
      </c>
      <c r="B94" s="22" t="s">
        <v>153</v>
      </c>
      <c r="C94" s="23"/>
      <c r="D94" s="24"/>
      <c r="E94" s="25"/>
      <c r="F94" s="24"/>
      <c r="G94" s="24"/>
      <c r="H94" s="24"/>
      <c r="I94" s="31">
        <f>SUMIF(A:A,"05.*",I:I)</f>
        <v>0</v>
      </c>
      <c r="K94"/>
      <c r="L94"/>
      <c r="M94"/>
      <c r="N94"/>
      <c r="O94"/>
    </row>
    <row r="95" spans="1:15" x14ac:dyDescent="0.3">
      <c r="A95" s="21" t="s">
        <v>3</v>
      </c>
      <c r="B95" s="22" t="s">
        <v>154</v>
      </c>
      <c r="C95" s="23"/>
      <c r="D95" s="24"/>
      <c r="E95" s="25"/>
      <c r="F95" s="24"/>
      <c r="G95" s="24"/>
      <c r="H95" s="24"/>
      <c r="I95" s="31">
        <f>SUMIF(A:A,"09.*",I:I)</f>
        <v>2030.6159999999998</v>
      </c>
      <c r="K95"/>
      <c r="L95"/>
      <c r="M95"/>
      <c r="N95"/>
      <c r="O95"/>
    </row>
    <row r="96" spans="1:15" x14ac:dyDescent="0.3">
      <c r="A96" s="21" t="s">
        <v>3</v>
      </c>
      <c r="B96" s="22" t="s">
        <v>155</v>
      </c>
      <c r="C96" s="23"/>
      <c r="D96" s="24"/>
      <c r="E96" s="25"/>
      <c r="F96" s="24"/>
      <c r="G96" s="24"/>
      <c r="H96" s="24"/>
      <c r="I96" s="31">
        <f>SUMIF(A:A,"11.*",I:I)</f>
        <v>4739.1749999999993</v>
      </c>
      <c r="K96"/>
      <c r="L96"/>
      <c r="M96"/>
      <c r="N96"/>
      <c r="O96"/>
    </row>
    <row r="97" spans="1:15" x14ac:dyDescent="0.3">
      <c r="A97" s="21" t="s">
        <v>3</v>
      </c>
      <c r="B97" s="22" t="s">
        <v>156</v>
      </c>
      <c r="C97" s="23"/>
      <c r="D97" s="24"/>
      <c r="E97" s="25"/>
      <c r="F97" s="24"/>
      <c r="G97" s="24"/>
      <c r="H97" s="24"/>
      <c r="I97" s="31">
        <f>SUMIF(A:A,"12.*",I:I)</f>
        <v>69189.471029699984</v>
      </c>
      <c r="K97"/>
      <c r="L97"/>
      <c r="M97"/>
      <c r="N97"/>
      <c r="O97"/>
    </row>
    <row r="98" spans="1:15" x14ac:dyDescent="0.3">
      <c r="A98" s="21" t="s">
        <v>3</v>
      </c>
      <c r="B98" s="22" t="s">
        <v>157</v>
      </c>
      <c r="C98" s="23"/>
      <c r="D98" s="24"/>
      <c r="E98" s="25"/>
      <c r="F98" s="24"/>
      <c r="G98" s="24"/>
      <c r="H98" s="24"/>
      <c r="I98" s="31">
        <f>SUMIF(A:A,"15.*",I:I)</f>
        <v>0</v>
      </c>
      <c r="K98"/>
      <c r="L98"/>
      <c r="M98"/>
      <c r="N98"/>
      <c r="O98"/>
    </row>
    <row r="99" spans="1:15" x14ac:dyDescent="0.3">
      <c r="A99" s="21"/>
      <c r="B99" s="90" t="s">
        <v>181</v>
      </c>
      <c r="C99" s="23"/>
      <c r="D99" s="24"/>
      <c r="E99" s="25"/>
      <c r="F99" s="24"/>
      <c r="G99" s="24"/>
      <c r="H99" s="24"/>
      <c r="I99" s="31">
        <f>SUMIF(A:A,"30.*",I:I)</f>
        <v>728.70839999999998</v>
      </c>
      <c r="K99"/>
      <c r="L99"/>
      <c r="M99"/>
      <c r="N99"/>
      <c r="O99"/>
    </row>
    <row r="100" spans="1:15" x14ac:dyDescent="0.3">
      <c r="A100" s="21" t="s">
        <v>3</v>
      </c>
      <c r="B100" s="22" t="s">
        <v>158</v>
      </c>
      <c r="C100" s="23"/>
      <c r="D100" s="24"/>
      <c r="E100" s="25"/>
      <c r="F100" s="24"/>
      <c r="G100" s="24"/>
      <c r="H100" s="24"/>
      <c r="I100" s="31">
        <f>SUMIF(A:A,"60.*",I:I)</f>
        <v>4752.5625</v>
      </c>
      <c r="K100"/>
      <c r="L100"/>
      <c r="M100"/>
      <c r="N100"/>
      <c r="O100"/>
    </row>
    <row r="101" spans="1:15" x14ac:dyDescent="0.3">
      <c r="A101" s="21" t="s">
        <v>3</v>
      </c>
      <c r="B101" s="22" t="s">
        <v>159</v>
      </c>
      <c r="C101" s="23"/>
      <c r="D101" s="24"/>
      <c r="E101" s="25"/>
      <c r="F101" s="24"/>
      <c r="G101" s="24"/>
      <c r="H101" s="24"/>
      <c r="I101" s="31">
        <f>SUMIF(A:A,"85.*",I:I)</f>
        <v>839.76690573770497</v>
      </c>
      <c r="K101"/>
      <c r="L101"/>
      <c r="M101"/>
      <c r="N101"/>
      <c r="O101"/>
    </row>
    <row r="102" spans="1:15" x14ac:dyDescent="0.3">
      <c r="A102" s="28" t="s">
        <v>3</v>
      </c>
      <c r="B102" s="29" t="s">
        <v>160</v>
      </c>
      <c r="C102" s="23"/>
      <c r="D102" s="24"/>
      <c r="E102" s="25"/>
      <c r="F102" s="30"/>
      <c r="G102" s="30"/>
      <c r="H102" s="30"/>
      <c r="I102" s="30">
        <f>SUM(I93:I101)</f>
        <v>82280.29983543769</v>
      </c>
      <c r="K102"/>
      <c r="L102"/>
      <c r="M102"/>
      <c r="N102"/>
      <c r="O102"/>
    </row>
    <row r="103" spans="1:15" x14ac:dyDescent="0.3">
      <c r="A103" s="28" t="s">
        <v>3</v>
      </c>
      <c r="B103" s="29" t="s">
        <v>161</v>
      </c>
      <c r="C103" s="23"/>
      <c r="D103" s="24"/>
      <c r="E103" s="25"/>
      <c r="F103" s="30"/>
      <c r="G103" s="30"/>
      <c r="H103" s="30"/>
      <c r="I103" s="30">
        <f t="shared" ref="I103" si="8">(I102 * (1 / 100 * 18))</f>
        <v>14810.453970378783</v>
      </c>
      <c r="K103"/>
      <c r="L103"/>
      <c r="M103"/>
      <c r="N103"/>
      <c r="O103"/>
    </row>
    <row r="104" spans="1:15" x14ac:dyDescent="0.3">
      <c r="A104" s="32" t="s">
        <v>3</v>
      </c>
      <c r="B104" s="33" t="s">
        <v>160</v>
      </c>
      <c r="C104" s="34"/>
      <c r="D104" s="35"/>
      <c r="E104" s="36"/>
      <c r="F104" s="37"/>
      <c r="G104" s="37"/>
      <c r="H104" s="37"/>
      <c r="I104" s="37">
        <f t="shared" ref="I104" si="9">I102 + I103</f>
        <v>97090.753805816479</v>
      </c>
      <c r="K104"/>
      <c r="L104"/>
      <c r="M104"/>
      <c r="N104"/>
      <c r="O104"/>
    </row>
  </sheetData>
  <conditionalFormatting sqref="A7:D43 C44:D44 A45:D84">
    <cfRule type="expression" dxfId="28" priority="1">
      <formula>$K7="אין"</formula>
    </cfRule>
  </conditionalFormatting>
  <conditionalFormatting sqref="F7:K92 D85 A86:D92">
    <cfRule type="expression" dxfId="27" priority="2">
      <formula>$K7="אין"</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4C4A-5846-41E5-80F5-7D90975455AE}">
  <sheetPr>
    <tabColor rgb="FFFFFF00"/>
  </sheetPr>
  <dimension ref="A1:O104"/>
  <sheetViews>
    <sheetView rightToLeft="1" topLeftCell="E84" zoomScale="85" zoomScaleNormal="85" workbookViewId="0">
      <selection activeCell="D91" sqref="D91"/>
    </sheetView>
  </sheetViews>
  <sheetFormatPr defaultColWidth="8.69921875" defaultRowHeight="14.4" x14ac:dyDescent="0.3"/>
  <cols>
    <col min="1" max="1" width="11.69921875" style="38" customWidth="1"/>
    <col min="2" max="2" width="63" style="13" customWidth="1"/>
    <col min="3" max="3" width="8.19921875" style="39" customWidth="1"/>
    <col min="4" max="4" width="10.09765625" style="14" customWidth="1"/>
    <col min="5" max="5" width="11.19921875" style="15" bestFit="1" customWidth="1"/>
    <col min="6" max="6" width="10.19921875" style="14" customWidth="1"/>
    <col min="7" max="7" width="12.19921875" style="14" customWidth="1"/>
    <col min="8" max="8" width="14" style="13" bestFit="1" customWidth="1"/>
    <col min="9" max="9" width="13.3984375" style="13" bestFit="1" customWidth="1"/>
    <col min="10" max="10" width="8.69921875" style="13"/>
    <col min="11" max="11" width="13.19921875" style="13" bestFit="1" customWidth="1"/>
    <col min="12" max="12" width="11.19921875" style="13" bestFit="1" customWidth="1"/>
    <col min="13" max="16384" width="8.69921875" style="13"/>
  </cols>
  <sheetData>
    <row r="1" spans="1:11" ht="17.399999999999999" x14ac:dyDescent="0.3">
      <c r="A1" s="12"/>
      <c r="C1" s="89" t="s">
        <v>231</v>
      </c>
      <c r="D1" s="40">
        <v>1812</v>
      </c>
    </row>
    <row r="3" spans="1:11" ht="21" x14ac:dyDescent="0.4">
      <c r="A3" s="16"/>
      <c r="B3" s="17"/>
      <c r="C3" s="18"/>
      <c r="D3" s="19"/>
      <c r="E3" s="20"/>
      <c r="F3" s="19"/>
      <c r="G3" s="19"/>
      <c r="H3" s="19"/>
      <c r="I3" s="19"/>
    </row>
    <row r="4" spans="1:11" x14ac:dyDescent="0.3">
      <c r="A4" s="21"/>
      <c r="B4" s="22"/>
      <c r="C4" s="23"/>
      <c r="D4" s="24"/>
      <c r="E4" s="25"/>
      <c r="F4" s="24"/>
      <c r="G4" s="24"/>
      <c r="H4" s="24"/>
      <c r="I4" s="24"/>
    </row>
    <row r="5" spans="1:11" ht="15" thickBot="1" x14ac:dyDescent="0.35">
      <c r="A5" s="21"/>
      <c r="B5" s="22"/>
      <c r="C5" s="23"/>
      <c r="D5" s="24"/>
      <c r="E5" s="25"/>
      <c r="F5" s="24"/>
      <c r="G5" s="26"/>
      <c r="H5" s="26"/>
      <c r="I5" s="24"/>
    </row>
    <row r="6" spans="1:11" ht="29.4" thickTop="1" x14ac:dyDescent="0.3">
      <c r="A6" s="50" t="s">
        <v>0</v>
      </c>
      <c r="B6" s="51" t="s">
        <v>1</v>
      </c>
      <c r="C6" s="52" t="s">
        <v>2</v>
      </c>
      <c r="D6" s="53" t="s">
        <v>147</v>
      </c>
      <c r="E6" s="66" t="s">
        <v>142</v>
      </c>
      <c r="F6" s="66" t="s">
        <v>143</v>
      </c>
      <c r="G6" s="66" t="s">
        <v>144</v>
      </c>
      <c r="H6" s="66" t="s">
        <v>145</v>
      </c>
      <c r="I6" s="53" t="s">
        <v>151</v>
      </c>
    </row>
    <row r="7" spans="1:11" x14ac:dyDescent="0.3">
      <c r="A7" s="63" t="s">
        <v>179</v>
      </c>
      <c r="B7" s="55" t="s">
        <v>180</v>
      </c>
      <c r="C7" s="56" t="s">
        <v>125</v>
      </c>
      <c r="D7" s="14">
        <v>2</v>
      </c>
      <c r="E7" s="41">
        <f>IF(D7="","",_xlfn.XLOOKUP(A7,[5]ריכוז!$A:$A,[5]ריכוז!$D:$D,"אין כזה"))</f>
        <v>150</v>
      </c>
      <c r="F7" s="10">
        <f>IF(E7="","",E7*0.15)</f>
        <v>22.5</v>
      </c>
      <c r="G7" s="10">
        <f>IF(E7="","",E7*0.05)</f>
        <v>7.5</v>
      </c>
      <c r="H7" s="10">
        <f>IF(E7="","",E7*1.05*0.85)</f>
        <v>133.875</v>
      </c>
      <c r="I7" s="57">
        <f>IF(D7="","",H7*D7)</f>
        <v>267.75</v>
      </c>
      <c r="K7" s="38"/>
    </row>
    <row r="8" spans="1:11" s="27" customFormat="1" ht="15.6" x14ac:dyDescent="0.3">
      <c r="A8" s="59" t="s">
        <v>5</v>
      </c>
      <c r="B8" s="60" t="s">
        <v>6</v>
      </c>
      <c r="C8" s="61" t="s">
        <v>3</v>
      </c>
      <c r="D8" s="62" t="s">
        <v>3</v>
      </c>
      <c r="E8" s="41" t="str">
        <f>IF(D8="","",_xlfn.XLOOKUP(A8,[5]ריכוז!$A:$A,[5]ריכוז!$D:$D,"אין כזה"))</f>
        <v/>
      </c>
      <c r="F8" s="62" t="s">
        <v>3</v>
      </c>
      <c r="G8" s="62"/>
      <c r="H8" s="10" t="str">
        <f t="shared" ref="H8:H77" si="0">IF(E8="","",E8*1.05*0.85)</f>
        <v/>
      </c>
      <c r="I8" s="62"/>
      <c r="K8" s="38"/>
    </row>
    <row r="9" spans="1:11" s="27" customFormat="1" ht="15.6" x14ac:dyDescent="0.3">
      <c r="A9" s="59" t="s">
        <v>7</v>
      </c>
      <c r="B9" s="60" t="s">
        <v>8</v>
      </c>
      <c r="C9" s="61" t="s">
        <v>3</v>
      </c>
      <c r="D9" s="62" t="s">
        <v>3</v>
      </c>
      <c r="E9" s="41" t="str">
        <f>IF(D9="","",_xlfn.XLOOKUP(A9,[5]ריכוז!$A:$A,[5]ריכוז!$D:$D,"אין כזה"))</f>
        <v/>
      </c>
      <c r="F9" s="62" t="s">
        <v>3</v>
      </c>
      <c r="G9" s="62"/>
      <c r="H9" s="10" t="str">
        <f t="shared" si="0"/>
        <v/>
      </c>
      <c r="I9" s="62"/>
      <c r="K9" s="38"/>
    </row>
    <row r="10" spans="1:11" ht="57.6" x14ac:dyDescent="0.3">
      <c r="A10" s="63" t="s">
        <v>9</v>
      </c>
      <c r="B10" s="55" t="s">
        <v>10</v>
      </c>
      <c r="C10" s="56" t="s">
        <v>4</v>
      </c>
      <c r="D10" s="138">
        <f>1.26*2+1.68*2+1*2+1.68*2+1.44*2*3+1.7*2*3</f>
        <v>30.080000000000002</v>
      </c>
      <c r="E10" s="41">
        <f>IF(D10="","",_xlfn.XLOOKUP(A10,[5]ריכוז!$A:$A,[5]ריכוז!$D:$D,"אין כזה"))</f>
        <v>64</v>
      </c>
      <c r="F10" s="10">
        <f>IF(E10="","",E10*0.15)</f>
        <v>9.6</v>
      </c>
      <c r="G10" s="10">
        <f>IF(E10="","",E10*0.05)</f>
        <v>3.2</v>
      </c>
      <c r="H10" s="10">
        <f t="shared" si="0"/>
        <v>57.12</v>
      </c>
      <c r="I10" s="57">
        <f>IF(D10="","",H10*D10)</f>
        <v>1718.1695999999999</v>
      </c>
      <c r="K10" s="38"/>
    </row>
    <row r="11" spans="1:11" s="27" customFormat="1" ht="15.6" x14ac:dyDescent="0.3">
      <c r="A11" s="59" t="s">
        <v>11</v>
      </c>
      <c r="B11" s="60" t="s">
        <v>12</v>
      </c>
      <c r="C11" s="61" t="s">
        <v>3</v>
      </c>
      <c r="D11" s="62"/>
      <c r="E11" s="41" t="str">
        <f>IF(D11="","",_xlfn.XLOOKUP(A11,[5]ריכוז!$A:$A,[5]ריכוז!$D:$D,"אין כזה"))</f>
        <v/>
      </c>
      <c r="F11" s="10" t="str">
        <f t="shared" ref="F11:F81" si="1">IF(E11="","",E11*0.15)</f>
        <v/>
      </c>
      <c r="G11" s="10" t="str">
        <f t="shared" ref="G11:G81" si="2">IF(E11="","",E11*0.05)</f>
        <v/>
      </c>
      <c r="H11" s="10" t="str">
        <f t="shared" si="0"/>
        <v/>
      </c>
      <c r="I11" s="57" t="str">
        <f t="shared" ref="I11:I81" si="3">IF(D11="","",H11*D11)</f>
        <v/>
      </c>
      <c r="K11" s="38"/>
    </row>
    <row r="12" spans="1:11" s="27" customFormat="1" ht="15.6" x14ac:dyDescent="0.3">
      <c r="A12" s="59" t="s">
        <v>13</v>
      </c>
      <c r="B12" s="60" t="s">
        <v>14</v>
      </c>
      <c r="C12" s="61" t="s">
        <v>3</v>
      </c>
      <c r="D12" s="62" t="s">
        <v>3</v>
      </c>
      <c r="E12" s="41" t="str">
        <f>IF(D12="","",_xlfn.XLOOKUP(A12,[5]ריכוז!$A:$A,[5]ריכוז!$D:$D,"אין כזה"))</f>
        <v/>
      </c>
      <c r="F12" s="10" t="str">
        <f t="shared" si="1"/>
        <v/>
      </c>
      <c r="G12" s="10" t="str">
        <f t="shared" si="2"/>
        <v/>
      </c>
      <c r="H12" s="10" t="str">
        <f t="shared" si="0"/>
        <v/>
      </c>
      <c r="I12" s="57" t="str">
        <f t="shared" si="3"/>
        <v/>
      </c>
      <c r="K12" s="38"/>
    </row>
    <row r="13" spans="1:11" ht="43.2" x14ac:dyDescent="0.3">
      <c r="A13" s="63" t="s">
        <v>15</v>
      </c>
      <c r="B13" s="55" t="s">
        <v>16</v>
      </c>
      <c r="C13" s="56" t="s">
        <v>17</v>
      </c>
      <c r="D13" s="57">
        <v>4</v>
      </c>
      <c r="E13" s="41">
        <f>IF(D13="","",_xlfn.XLOOKUP(A13,[5]ריכוז!$A:$A,[5]ריכוז!$D:$D,"אין כזה"))</f>
        <v>1770</v>
      </c>
      <c r="F13" s="10">
        <f t="shared" si="1"/>
        <v>265.5</v>
      </c>
      <c r="G13" s="10">
        <f t="shared" si="2"/>
        <v>88.5</v>
      </c>
      <c r="H13" s="10">
        <f t="shared" si="0"/>
        <v>1579.7249999999999</v>
      </c>
      <c r="I13" s="57">
        <f t="shared" si="3"/>
        <v>6318.9</v>
      </c>
      <c r="K13" s="38"/>
    </row>
    <row r="14" spans="1:11" x14ac:dyDescent="0.3">
      <c r="A14" s="54"/>
      <c r="B14" s="55"/>
      <c r="C14" s="56"/>
      <c r="D14" s="57"/>
      <c r="E14" s="41" t="str">
        <f>IF(D14="","",_xlfn.XLOOKUP(A14,[5]ריכוז!$A:$A,[5]ריכוז!$D:$D,"אין כזה"))</f>
        <v/>
      </c>
      <c r="F14" s="10" t="str">
        <f t="shared" si="1"/>
        <v/>
      </c>
      <c r="G14" s="10" t="str">
        <f t="shared" si="2"/>
        <v/>
      </c>
      <c r="H14" s="10" t="str">
        <f t="shared" si="0"/>
        <v/>
      </c>
      <c r="I14" s="57" t="str">
        <f t="shared" si="3"/>
        <v/>
      </c>
      <c r="K14" s="38"/>
    </row>
    <row r="15" spans="1:11" s="27" customFormat="1" ht="15.6" x14ac:dyDescent="0.3">
      <c r="A15" s="59" t="s">
        <v>18</v>
      </c>
      <c r="B15" s="60" t="s">
        <v>19</v>
      </c>
      <c r="C15" s="61" t="s">
        <v>3</v>
      </c>
      <c r="D15" s="62" t="s">
        <v>3</v>
      </c>
      <c r="E15" s="41" t="str">
        <f>IF(D15="","",_xlfn.XLOOKUP(A15,[5]ריכוז!$A:$A,[5]ריכוז!$D:$D,"אין כזה"))</f>
        <v/>
      </c>
      <c r="F15" s="10" t="str">
        <f t="shared" si="1"/>
        <v/>
      </c>
      <c r="G15" s="10" t="str">
        <f t="shared" si="2"/>
        <v/>
      </c>
      <c r="H15" s="10" t="str">
        <f t="shared" si="0"/>
        <v/>
      </c>
      <c r="I15" s="57" t="str">
        <f t="shared" si="3"/>
        <v/>
      </c>
      <c r="K15" s="38"/>
    </row>
    <row r="16" spans="1:11" s="27" customFormat="1" ht="15.6" x14ac:dyDescent="0.3">
      <c r="A16" s="59" t="s">
        <v>20</v>
      </c>
      <c r="B16" s="60" t="s">
        <v>21</v>
      </c>
      <c r="C16" s="61" t="s">
        <v>3</v>
      </c>
      <c r="D16" s="62" t="s">
        <v>3</v>
      </c>
      <c r="E16" s="41" t="str">
        <f>IF(D16="","",_xlfn.XLOOKUP(A16,[5]ריכוז!$A:$A,[5]ריכוז!$D:$D,"אין כזה"))</f>
        <v/>
      </c>
      <c r="F16" s="10" t="str">
        <f t="shared" si="1"/>
        <v/>
      </c>
      <c r="G16" s="10" t="str">
        <f t="shared" si="2"/>
        <v/>
      </c>
      <c r="H16" s="10" t="str">
        <f t="shared" si="0"/>
        <v/>
      </c>
      <c r="I16" s="57" t="str">
        <f t="shared" si="3"/>
        <v/>
      </c>
      <c r="K16" s="38"/>
    </row>
    <row r="17" spans="1:11" ht="28.8" x14ac:dyDescent="0.3">
      <c r="A17" s="63" t="s">
        <v>22</v>
      </c>
      <c r="B17" s="55" t="s">
        <v>23</v>
      </c>
      <c r="C17" s="56" t="s">
        <v>24</v>
      </c>
      <c r="D17" s="138">
        <v>0</v>
      </c>
      <c r="E17" s="41">
        <f>IF(D17="","",_xlfn.XLOOKUP(A17,[5]ריכוז!$A:$A,[5]ריכוז!$D:$D,"אין כזה"))</f>
        <v>1760</v>
      </c>
      <c r="F17" s="10">
        <f t="shared" si="1"/>
        <v>264</v>
      </c>
      <c r="G17" s="10">
        <f t="shared" si="2"/>
        <v>88</v>
      </c>
      <c r="H17" s="10">
        <f t="shared" si="0"/>
        <v>1570.8</v>
      </c>
      <c r="I17" s="57">
        <f t="shared" si="3"/>
        <v>0</v>
      </c>
      <c r="K17" s="38"/>
    </row>
    <row r="18" spans="1:11" ht="44.4" customHeight="1" x14ac:dyDescent="0.3">
      <c r="A18" s="63" t="s">
        <v>25</v>
      </c>
      <c r="B18" s="55" t="s">
        <v>26</v>
      </c>
      <c r="C18" s="56" t="s">
        <v>24</v>
      </c>
      <c r="D18" s="138">
        <f>1.26*1.38+1.38+1.44*1.4*3</f>
        <v>9.1668000000000003</v>
      </c>
      <c r="E18" s="41">
        <f>IF(D18="","",_xlfn.XLOOKUP(A18,[5]ריכוז!$A:$A,[5]ריכוז!$D:$D,"אין כזה"))</f>
        <v>1980</v>
      </c>
      <c r="F18" s="10">
        <f t="shared" si="1"/>
        <v>297</v>
      </c>
      <c r="G18" s="10">
        <f t="shared" si="2"/>
        <v>99</v>
      </c>
      <c r="H18" s="10">
        <f t="shared" si="0"/>
        <v>1767.1499999999999</v>
      </c>
      <c r="I18" s="57">
        <f t="shared" si="3"/>
        <v>16199.110619999999</v>
      </c>
      <c r="K18" s="38"/>
    </row>
    <row r="19" spans="1:11" ht="28.8" x14ac:dyDescent="0.3">
      <c r="A19" s="63" t="s">
        <v>27</v>
      </c>
      <c r="B19" s="55" t="s">
        <v>28</v>
      </c>
      <c r="C19" s="56" t="s">
        <v>24</v>
      </c>
      <c r="D19" s="57">
        <v>0</v>
      </c>
      <c r="E19" s="41">
        <f>IF(D19="","",_xlfn.XLOOKUP(A19,[5]ריכוז!$A:$A,[5]ריכוז!$D:$D,"אין כזה"))</f>
        <v>2210</v>
      </c>
      <c r="F19" s="10">
        <f t="shared" si="1"/>
        <v>331.5</v>
      </c>
      <c r="G19" s="10">
        <f t="shared" si="2"/>
        <v>110.5</v>
      </c>
      <c r="H19" s="10">
        <f t="shared" si="0"/>
        <v>1972.425</v>
      </c>
      <c r="I19" s="57">
        <f t="shared" si="3"/>
        <v>0</v>
      </c>
      <c r="K19" s="38"/>
    </row>
    <row r="20" spans="1:11" ht="28.8" x14ac:dyDescent="0.3">
      <c r="A20" s="63" t="s">
        <v>29</v>
      </c>
      <c r="B20" s="55" t="s">
        <v>30</v>
      </c>
      <c r="C20" s="56" t="s">
        <v>17</v>
      </c>
      <c r="D20" s="57">
        <v>0</v>
      </c>
      <c r="E20" s="42">
        <f>IF(D20="","",_xlfn.XLOOKUP(A20,[5]ריכוז!$A:$A,[5]ריכוז!$D:$D,"אין כזה"))</f>
        <v>0.15</v>
      </c>
      <c r="F20" s="10">
        <f t="shared" si="1"/>
        <v>2.2499999999999999E-2</v>
      </c>
      <c r="G20" s="10">
        <f t="shared" si="2"/>
        <v>7.4999999999999997E-3</v>
      </c>
      <c r="H20" s="10">
        <f t="shared" si="0"/>
        <v>0.13387499999999999</v>
      </c>
      <c r="I20" s="57">
        <f t="shared" si="3"/>
        <v>0</v>
      </c>
      <c r="K20" s="38"/>
    </row>
    <row r="21" spans="1:11" x14ac:dyDescent="0.3">
      <c r="A21" s="63" t="s">
        <v>31</v>
      </c>
      <c r="B21" s="55" t="s">
        <v>32</v>
      </c>
      <c r="C21" s="56" t="s">
        <v>2</v>
      </c>
      <c r="D21" s="57">
        <v>2</v>
      </c>
      <c r="E21" s="41">
        <f>IF(D21="","",_xlfn.XLOOKUP(A21,[5]ריכוז!$A:$A,[5]ריכוז!$D:$D,"אין כזה"))</f>
        <v>140</v>
      </c>
      <c r="F21" s="10">
        <f t="shared" si="1"/>
        <v>21</v>
      </c>
      <c r="G21" s="10">
        <f t="shared" si="2"/>
        <v>7</v>
      </c>
      <c r="H21" s="10">
        <f t="shared" si="0"/>
        <v>124.95</v>
      </c>
      <c r="I21" s="57">
        <f t="shared" si="3"/>
        <v>249.9</v>
      </c>
      <c r="K21" s="38"/>
    </row>
    <row r="22" spans="1:11" x14ac:dyDescent="0.3">
      <c r="A22" s="63" t="s">
        <v>33</v>
      </c>
      <c r="B22" s="55" t="s">
        <v>34</v>
      </c>
      <c r="C22" s="56" t="s">
        <v>2</v>
      </c>
      <c r="D22" s="57">
        <v>3</v>
      </c>
      <c r="E22" s="41">
        <f>IF(D22="","",_xlfn.XLOOKUP(A22,[5]ריכוז!$A:$A,[5]ריכוז!$D:$D,"אין כזה"))</f>
        <v>240</v>
      </c>
      <c r="F22" s="10">
        <f t="shared" si="1"/>
        <v>36</v>
      </c>
      <c r="G22" s="10">
        <f t="shared" si="2"/>
        <v>12</v>
      </c>
      <c r="H22" s="10">
        <f t="shared" si="0"/>
        <v>214.2</v>
      </c>
      <c r="I22" s="57">
        <f t="shared" si="3"/>
        <v>642.59999999999991</v>
      </c>
      <c r="K22" s="38"/>
    </row>
    <row r="23" spans="1:11" x14ac:dyDescent="0.3">
      <c r="A23" s="63" t="s">
        <v>35</v>
      </c>
      <c r="B23" s="55" t="s">
        <v>36</v>
      </c>
      <c r="C23" s="56" t="s">
        <v>2</v>
      </c>
      <c r="D23" s="57">
        <v>5</v>
      </c>
      <c r="E23" s="41">
        <f>IF(D23="","",_xlfn.XLOOKUP(A23,[5]ריכוז!$A:$A,[5]ריכוז!$D:$D,"אין כזה"))</f>
        <v>310</v>
      </c>
      <c r="F23" s="10">
        <f t="shared" si="1"/>
        <v>46.5</v>
      </c>
      <c r="G23" s="10">
        <f t="shared" si="2"/>
        <v>15.5</v>
      </c>
      <c r="H23" s="10">
        <f t="shared" si="0"/>
        <v>276.67500000000001</v>
      </c>
      <c r="I23" s="57">
        <f t="shared" si="3"/>
        <v>1383.375</v>
      </c>
      <c r="K23" s="38"/>
    </row>
    <row r="24" spans="1:11" s="27" customFormat="1" ht="15.6" x14ac:dyDescent="0.3">
      <c r="A24" s="59" t="s">
        <v>37</v>
      </c>
      <c r="B24" s="60" t="s">
        <v>38</v>
      </c>
      <c r="C24" s="61" t="s">
        <v>3</v>
      </c>
      <c r="D24" s="62" t="s">
        <v>3</v>
      </c>
      <c r="E24" s="41" t="str">
        <f>IF(D24="","",_xlfn.XLOOKUP(A24,[5]ריכוז!$A:$A,[5]ריכוז!$D:$D,"אין כזה"))</f>
        <v/>
      </c>
      <c r="F24" s="10" t="str">
        <f t="shared" si="1"/>
        <v/>
      </c>
      <c r="G24" s="10" t="str">
        <f t="shared" si="2"/>
        <v/>
      </c>
      <c r="H24" s="10" t="str">
        <f t="shared" si="0"/>
        <v/>
      </c>
      <c r="I24" s="57" t="str">
        <f t="shared" si="3"/>
        <v/>
      </c>
      <c r="K24" s="38"/>
    </row>
    <row r="25" spans="1:11" ht="28.8" x14ac:dyDescent="0.3">
      <c r="A25" s="63" t="s">
        <v>39</v>
      </c>
      <c r="B25" s="55" t="s">
        <v>40</v>
      </c>
      <c r="C25" s="56" t="s">
        <v>24</v>
      </c>
      <c r="D25" s="57">
        <v>0</v>
      </c>
      <c r="E25" s="41">
        <f>IF(D25="","",_xlfn.XLOOKUP(A25,[5]ריכוז!$A:$A,[5]ריכוז!$D:$D,"אין כזה"))</f>
        <v>2220</v>
      </c>
      <c r="F25" s="10">
        <f t="shared" si="1"/>
        <v>333</v>
      </c>
      <c r="G25" s="10">
        <f t="shared" si="2"/>
        <v>111</v>
      </c>
      <c r="H25" s="10">
        <f t="shared" si="0"/>
        <v>1981.35</v>
      </c>
      <c r="I25" s="57">
        <f t="shared" si="3"/>
        <v>0</v>
      </c>
      <c r="K25" s="38"/>
    </row>
    <row r="26" spans="1:11" ht="28.8" x14ac:dyDescent="0.3">
      <c r="A26" s="63" t="s">
        <v>188</v>
      </c>
      <c r="B26" s="55" t="s">
        <v>40</v>
      </c>
      <c r="C26" s="56" t="s">
        <v>24</v>
      </c>
      <c r="D26" s="57">
        <v>0</v>
      </c>
      <c r="E26" s="41">
        <f>IF(D26="","",_xlfn.XLOOKUP(A26,[5]ריכוז!$A:$A,[5]ריכוז!$D:$D,"אין כזה"))</f>
        <v>2790</v>
      </c>
      <c r="F26" s="10">
        <f t="shared" si="1"/>
        <v>418.5</v>
      </c>
      <c r="G26" s="10">
        <f t="shared" si="2"/>
        <v>139.5</v>
      </c>
      <c r="H26" s="10">
        <f t="shared" si="0"/>
        <v>2490.0749999999998</v>
      </c>
      <c r="I26" s="57">
        <f t="shared" si="3"/>
        <v>0</v>
      </c>
      <c r="K26" s="38"/>
    </row>
    <row r="27" spans="1:11" ht="28.8" x14ac:dyDescent="0.3">
      <c r="A27" s="63" t="s">
        <v>41</v>
      </c>
      <c r="B27" s="55" t="s">
        <v>42</v>
      </c>
      <c r="C27" s="56" t="s">
        <v>24</v>
      </c>
      <c r="D27" s="57">
        <v>0</v>
      </c>
      <c r="E27" s="41">
        <f>IF(D27="","",_xlfn.XLOOKUP(A27,[5]ריכוז!$A:$A,[5]ריכוז!$D:$D,"אין כזה"))</f>
        <v>2700</v>
      </c>
      <c r="F27" s="10">
        <f t="shared" si="1"/>
        <v>405</v>
      </c>
      <c r="G27" s="10">
        <f t="shared" si="2"/>
        <v>135</v>
      </c>
      <c r="H27" s="10">
        <f t="shared" si="0"/>
        <v>2409.75</v>
      </c>
      <c r="I27" s="57">
        <f t="shared" si="3"/>
        <v>0</v>
      </c>
      <c r="K27" s="38"/>
    </row>
    <row r="28" spans="1:11" s="27" customFormat="1" ht="15.6" x14ac:dyDescent="0.3">
      <c r="A28" s="59" t="s">
        <v>43</v>
      </c>
      <c r="B28" s="60" t="s">
        <v>44</v>
      </c>
      <c r="C28" s="61" t="s">
        <v>3</v>
      </c>
      <c r="D28" s="62" t="s">
        <v>3</v>
      </c>
      <c r="E28" s="41" t="str">
        <f>IF(D28="","",_xlfn.XLOOKUP(A28,[5]ריכוז!$A:$A,[5]ריכוז!$D:$D,"אין כזה"))</f>
        <v/>
      </c>
      <c r="F28" s="10" t="str">
        <f t="shared" si="1"/>
        <v/>
      </c>
      <c r="G28" s="10" t="str">
        <f t="shared" si="2"/>
        <v/>
      </c>
      <c r="H28" s="10" t="str">
        <f t="shared" si="0"/>
        <v/>
      </c>
      <c r="I28" s="57" t="str">
        <f t="shared" si="3"/>
        <v/>
      </c>
      <c r="K28" s="38"/>
    </row>
    <row r="29" spans="1:11" ht="28.8" x14ac:dyDescent="0.3">
      <c r="A29" s="63" t="s">
        <v>45</v>
      </c>
      <c r="B29" s="55" t="s">
        <v>46</v>
      </c>
      <c r="C29" s="56" t="s">
        <v>2</v>
      </c>
      <c r="D29" s="57">
        <v>0</v>
      </c>
      <c r="E29" s="41">
        <f>IF(D29="","",_xlfn.XLOOKUP(A29,[5]ריכוז!$A:$A,[5]ריכוז!$D:$D,"אין כזה"))</f>
        <v>1310</v>
      </c>
      <c r="F29" s="10">
        <f t="shared" si="1"/>
        <v>196.5</v>
      </c>
      <c r="G29" s="10">
        <f t="shared" si="2"/>
        <v>65.5</v>
      </c>
      <c r="H29" s="10">
        <f t="shared" si="0"/>
        <v>1169.175</v>
      </c>
      <c r="I29" s="57">
        <f t="shared" si="3"/>
        <v>0</v>
      </c>
      <c r="K29" s="38"/>
    </row>
    <row r="30" spans="1:11" ht="28.8" x14ac:dyDescent="0.3">
      <c r="A30" s="63" t="s">
        <v>47</v>
      </c>
      <c r="B30" s="55" t="s">
        <v>48</v>
      </c>
      <c r="C30" s="56" t="s">
        <v>2</v>
      </c>
      <c r="D30" s="57">
        <v>0</v>
      </c>
      <c r="E30" s="41">
        <f>IF(D30="","",_xlfn.XLOOKUP(A30,[5]ריכוז!$A:$A,[5]ריכוז!$D:$D,"אין כזה"))</f>
        <v>2090</v>
      </c>
      <c r="F30" s="10">
        <f t="shared" si="1"/>
        <v>313.5</v>
      </c>
      <c r="G30" s="10">
        <f t="shared" si="2"/>
        <v>104.5</v>
      </c>
      <c r="H30" s="10">
        <f t="shared" si="0"/>
        <v>1865.325</v>
      </c>
      <c r="I30" s="57">
        <f t="shared" si="3"/>
        <v>0</v>
      </c>
      <c r="K30" s="38"/>
    </row>
    <row r="31" spans="1:11" s="27" customFormat="1" ht="15.6" x14ac:dyDescent="0.3">
      <c r="A31" s="59" t="s">
        <v>50</v>
      </c>
      <c r="B31" s="60" t="s">
        <v>51</v>
      </c>
      <c r="C31" s="61" t="s">
        <v>3</v>
      </c>
      <c r="D31" s="62" t="s">
        <v>3</v>
      </c>
      <c r="E31" s="41" t="str">
        <f>IF(D31="","",_xlfn.XLOOKUP(A31,[5]ריכוז!$A:$A,[5]ריכוז!$D:$D,"אין כזה"))</f>
        <v/>
      </c>
      <c r="F31" s="10" t="str">
        <f t="shared" si="1"/>
        <v/>
      </c>
      <c r="G31" s="10" t="str">
        <f t="shared" si="2"/>
        <v/>
      </c>
      <c r="H31" s="10" t="str">
        <f t="shared" si="0"/>
        <v/>
      </c>
      <c r="I31" s="57" t="str">
        <f t="shared" si="3"/>
        <v/>
      </c>
      <c r="K31" s="38"/>
    </row>
    <row r="32" spans="1:11" ht="28.8" x14ac:dyDescent="0.3">
      <c r="A32" s="63" t="s">
        <v>52</v>
      </c>
      <c r="B32" s="55" t="s">
        <v>53</v>
      </c>
      <c r="C32" s="56" t="s">
        <v>24</v>
      </c>
      <c r="D32" s="57">
        <v>0</v>
      </c>
      <c r="E32" s="41">
        <f>IF(D32="","",_xlfn.XLOOKUP(A32,[5]ריכוז!$A:$A,[5]ריכוז!$D:$D,"אין כזה"))</f>
        <v>1760</v>
      </c>
      <c r="F32" s="10">
        <f t="shared" si="1"/>
        <v>264</v>
      </c>
      <c r="G32" s="10">
        <f t="shared" si="2"/>
        <v>88</v>
      </c>
      <c r="H32" s="10">
        <f t="shared" si="0"/>
        <v>1570.8</v>
      </c>
      <c r="I32" s="57">
        <f t="shared" si="3"/>
        <v>0</v>
      </c>
      <c r="K32" s="38"/>
    </row>
    <row r="33" spans="1:11" ht="28.8" x14ac:dyDescent="0.3">
      <c r="A33" s="63" t="s">
        <v>54</v>
      </c>
      <c r="B33" s="55" t="s">
        <v>55</v>
      </c>
      <c r="C33" s="56" t="s">
        <v>24</v>
      </c>
      <c r="D33" s="57">
        <v>0</v>
      </c>
      <c r="E33" s="41">
        <f>IF(D33="","",_xlfn.XLOOKUP(A33,[5]ריכוז!$A:$A,[5]ריכוז!$D:$D,"אין כזה"))</f>
        <v>1850</v>
      </c>
      <c r="F33" s="10">
        <f t="shared" si="1"/>
        <v>277.5</v>
      </c>
      <c r="G33" s="10">
        <f t="shared" si="2"/>
        <v>92.5</v>
      </c>
      <c r="H33" s="10">
        <f t="shared" si="0"/>
        <v>1651.125</v>
      </c>
      <c r="I33" s="57">
        <f t="shared" si="3"/>
        <v>0</v>
      </c>
      <c r="K33" s="38"/>
    </row>
    <row r="34" spans="1:11" ht="28.8" x14ac:dyDescent="0.3">
      <c r="A34" s="63" t="s">
        <v>56</v>
      </c>
      <c r="B34" s="55" t="s">
        <v>57</v>
      </c>
      <c r="C34" s="56" t="s">
        <v>24</v>
      </c>
      <c r="D34" s="57">
        <v>0</v>
      </c>
      <c r="E34" s="41">
        <f>IF(D34="","",_xlfn.XLOOKUP(A34,[5]ריכוז!$A:$A,[5]ריכוז!$D:$D,"אין כזה"))</f>
        <v>1680</v>
      </c>
      <c r="F34" s="10">
        <f t="shared" si="1"/>
        <v>252</v>
      </c>
      <c r="G34" s="10">
        <f t="shared" si="2"/>
        <v>84</v>
      </c>
      <c r="H34" s="10">
        <f t="shared" si="0"/>
        <v>1499.3999999999999</v>
      </c>
      <c r="I34" s="57">
        <f t="shared" si="3"/>
        <v>0</v>
      </c>
      <c r="K34" s="38"/>
    </row>
    <row r="35" spans="1:11" s="27" customFormat="1" ht="15.6" x14ac:dyDescent="0.3">
      <c r="A35" s="59" t="s">
        <v>58</v>
      </c>
      <c r="B35" s="60" t="s">
        <v>59</v>
      </c>
      <c r="C35" s="61" t="s">
        <v>3</v>
      </c>
      <c r="D35" s="62" t="s">
        <v>3</v>
      </c>
      <c r="E35" s="41" t="str">
        <f>IF(D35="","",_xlfn.XLOOKUP(A35,[5]ריכוז!$A:$A,[5]ריכוז!$D:$D,"אין כזה"))</f>
        <v/>
      </c>
      <c r="F35" s="10" t="str">
        <f t="shared" si="1"/>
        <v/>
      </c>
      <c r="G35" s="10" t="str">
        <f t="shared" si="2"/>
        <v/>
      </c>
      <c r="H35" s="10" t="str">
        <f t="shared" si="0"/>
        <v/>
      </c>
      <c r="I35" s="57" t="str">
        <f t="shared" si="3"/>
        <v/>
      </c>
      <c r="K35" s="38"/>
    </row>
    <row r="36" spans="1:11" s="27" customFormat="1" ht="28.8" x14ac:dyDescent="0.3">
      <c r="A36" s="63" t="s">
        <v>171</v>
      </c>
      <c r="B36" s="55" t="s">
        <v>172</v>
      </c>
      <c r="C36" s="56" t="s">
        <v>24</v>
      </c>
      <c r="D36" s="57">
        <v>0</v>
      </c>
      <c r="E36" s="41">
        <f>IF(D36="","",_xlfn.XLOOKUP(A36,[5]ריכוז!$A:$A,[5]ריכוז!$D:$D,"אין כזה"))</f>
        <v>2850</v>
      </c>
      <c r="F36" s="10">
        <f t="shared" si="1"/>
        <v>427.5</v>
      </c>
      <c r="G36" s="10">
        <f t="shared" si="2"/>
        <v>142.5</v>
      </c>
      <c r="H36" s="10">
        <f t="shared" si="0"/>
        <v>2543.625</v>
      </c>
      <c r="I36" s="57">
        <f t="shared" si="3"/>
        <v>0</v>
      </c>
      <c r="K36" s="38"/>
    </row>
    <row r="37" spans="1:11" ht="28.8" x14ac:dyDescent="0.3">
      <c r="A37" s="63" t="s">
        <v>60</v>
      </c>
      <c r="B37" s="55" t="s">
        <v>61</v>
      </c>
      <c r="C37" s="56" t="s">
        <v>24</v>
      </c>
      <c r="D37" s="57">
        <v>0</v>
      </c>
      <c r="E37" s="41">
        <f>IF(D37="","",_xlfn.XLOOKUP(A37,[5]ריכוז!$A:$A,[5]ריכוז!$D:$D,"אין כזה"))</f>
        <v>2300</v>
      </c>
      <c r="F37" s="10">
        <f t="shared" si="1"/>
        <v>345</v>
      </c>
      <c r="G37" s="10">
        <f t="shared" si="2"/>
        <v>115</v>
      </c>
      <c r="H37" s="10">
        <f t="shared" si="0"/>
        <v>2052.75</v>
      </c>
      <c r="I37" s="57">
        <f t="shared" si="3"/>
        <v>0</v>
      </c>
      <c r="K37" s="38"/>
    </row>
    <row r="38" spans="1:11" ht="28.8" x14ac:dyDescent="0.3">
      <c r="A38" s="63" t="s">
        <v>62</v>
      </c>
      <c r="B38" s="55" t="s">
        <v>63</v>
      </c>
      <c r="C38" s="56" t="s">
        <v>24</v>
      </c>
      <c r="D38" s="57">
        <v>0</v>
      </c>
      <c r="E38" s="41">
        <f>IF(D38="","",_xlfn.XLOOKUP(A38,[5]ריכוז!$A:$A,[5]ריכוז!$D:$D,"אין כזה"))</f>
        <v>3250</v>
      </c>
      <c r="F38" s="10">
        <f t="shared" si="1"/>
        <v>487.5</v>
      </c>
      <c r="G38" s="10">
        <f t="shared" si="2"/>
        <v>162.5</v>
      </c>
      <c r="H38" s="10">
        <f t="shared" si="0"/>
        <v>2900.625</v>
      </c>
      <c r="I38" s="57">
        <f t="shared" si="3"/>
        <v>0</v>
      </c>
      <c r="K38" s="38"/>
    </row>
    <row r="39" spans="1:11" s="27" customFormat="1" ht="15.6" x14ac:dyDescent="0.3">
      <c r="A39" s="59" t="s">
        <v>64</v>
      </c>
      <c r="B39" s="60" t="s">
        <v>65</v>
      </c>
      <c r="C39" s="61" t="s">
        <v>3</v>
      </c>
      <c r="D39" s="62" t="s">
        <v>3</v>
      </c>
      <c r="E39" s="41" t="str">
        <f>IF(D39="","",_xlfn.XLOOKUP(A39,[5]ריכוז!$A:$A,[5]ריכוז!$D:$D,"אין כזה"))</f>
        <v/>
      </c>
      <c r="F39" s="10" t="str">
        <f t="shared" si="1"/>
        <v/>
      </c>
      <c r="G39" s="10" t="str">
        <f t="shared" si="2"/>
        <v/>
      </c>
      <c r="H39" s="10" t="str">
        <f t="shared" si="0"/>
        <v/>
      </c>
      <c r="I39" s="57" t="str">
        <f t="shared" si="3"/>
        <v/>
      </c>
      <c r="K39" s="38"/>
    </row>
    <row r="40" spans="1:11" x14ac:dyDescent="0.3">
      <c r="A40" s="63" t="s">
        <v>66</v>
      </c>
      <c r="B40" s="55" t="s">
        <v>67</v>
      </c>
      <c r="C40" s="56" t="s">
        <v>24</v>
      </c>
      <c r="D40" s="57">
        <f>D33+D38</f>
        <v>0</v>
      </c>
      <c r="E40" s="41">
        <f>IF(D40="","",_xlfn.XLOOKUP(A40,[5]ריכוז!$A:$A,[5]ריכוז!$D:$D,"אין כזה"))</f>
        <v>88</v>
      </c>
      <c r="F40" s="10">
        <f t="shared" si="1"/>
        <v>13.2</v>
      </c>
      <c r="G40" s="10">
        <f t="shared" si="2"/>
        <v>4.4000000000000004</v>
      </c>
      <c r="H40" s="10">
        <f t="shared" si="0"/>
        <v>78.540000000000006</v>
      </c>
      <c r="I40" s="57">
        <f t="shared" si="3"/>
        <v>0</v>
      </c>
      <c r="K40" s="38"/>
    </row>
    <row r="41" spans="1:11" s="27" customFormat="1" ht="15.6" x14ac:dyDescent="0.3">
      <c r="A41" s="59" t="s">
        <v>68</v>
      </c>
      <c r="B41" s="60" t="s">
        <v>69</v>
      </c>
      <c r="C41" s="61" t="s">
        <v>3</v>
      </c>
      <c r="D41" s="62" t="s">
        <v>3</v>
      </c>
      <c r="E41" s="41" t="str">
        <f>IF(D41="","",_xlfn.XLOOKUP(A41,[5]ריכוז!$A:$A,[5]ריכוז!$D:$D,"אין כזה"))</f>
        <v/>
      </c>
      <c r="F41" s="10" t="str">
        <f t="shared" si="1"/>
        <v/>
      </c>
      <c r="G41" s="10" t="str">
        <f t="shared" si="2"/>
        <v/>
      </c>
      <c r="H41" s="10" t="str">
        <f t="shared" si="0"/>
        <v/>
      </c>
      <c r="I41" s="57" t="str">
        <f t="shared" si="3"/>
        <v/>
      </c>
      <c r="K41" s="38"/>
    </row>
    <row r="42" spans="1:11" ht="28.8" x14ac:dyDescent="0.3">
      <c r="A42" s="63" t="s">
        <v>70</v>
      </c>
      <c r="B42" s="55" t="s">
        <v>71</v>
      </c>
      <c r="C42" s="56" t="s">
        <v>24</v>
      </c>
      <c r="D42" s="57">
        <v>0</v>
      </c>
      <c r="E42" s="41">
        <f>IF(D42="","",_xlfn.XLOOKUP(A42,[5]ריכוז!$A:$A,[5]ריכוז!$D:$D,"אין כזה"))</f>
        <v>717</v>
      </c>
      <c r="F42" s="10">
        <f t="shared" si="1"/>
        <v>107.55</v>
      </c>
      <c r="G42" s="10">
        <f t="shared" si="2"/>
        <v>35.85</v>
      </c>
      <c r="H42" s="10">
        <f t="shared" si="0"/>
        <v>639.92250000000001</v>
      </c>
      <c r="I42" s="57">
        <f t="shared" si="3"/>
        <v>0</v>
      </c>
      <c r="K42" s="38"/>
    </row>
    <row r="43" spans="1:11" ht="28.8" x14ac:dyDescent="0.3">
      <c r="A43" s="63" t="s">
        <v>72</v>
      </c>
      <c r="B43" s="55" t="s">
        <v>73</v>
      </c>
      <c r="C43" s="56" t="s">
        <v>24</v>
      </c>
      <c r="D43" s="57">
        <v>0</v>
      </c>
      <c r="E43" s="41">
        <f>IF(D43="","",_xlfn.XLOOKUP(A43,[5]ריכוז!$A:$A,[5]ריכוז!$D:$D,"אין כזה"))</f>
        <v>582</v>
      </c>
      <c r="F43" s="10">
        <f t="shared" si="1"/>
        <v>87.3</v>
      </c>
      <c r="G43" s="10">
        <f t="shared" si="2"/>
        <v>29.1</v>
      </c>
      <c r="H43" s="10">
        <f t="shared" si="0"/>
        <v>519.43500000000006</v>
      </c>
      <c r="I43" s="57">
        <f t="shared" si="3"/>
        <v>0</v>
      </c>
      <c r="K43" s="38"/>
    </row>
    <row r="44" spans="1:11" ht="28.2" x14ac:dyDescent="0.3">
      <c r="A44" s="9" t="s">
        <v>218</v>
      </c>
      <c r="B44" s="2" t="s">
        <v>219</v>
      </c>
      <c r="C44" s="56" t="s">
        <v>24</v>
      </c>
      <c r="D44" s="57">
        <f>D18</f>
        <v>9.1668000000000003</v>
      </c>
      <c r="E44" s="41">
        <v>800</v>
      </c>
      <c r="F44" s="10">
        <f t="shared" si="1"/>
        <v>120</v>
      </c>
      <c r="G44" s="10">
        <f t="shared" si="2"/>
        <v>40</v>
      </c>
      <c r="H44" s="10">
        <f t="shared" si="0"/>
        <v>714</v>
      </c>
      <c r="I44" s="57">
        <f t="shared" si="3"/>
        <v>6545.0951999999997</v>
      </c>
      <c r="K44" s="38"/>
    </row>
    <row r="45" spans="1:11" ht="28.8" x14ac:dyDescent="0.3">
      <c r="A45" s="63" t="s">
        <v>173</v>
      </c>
      <c r="B45" s="55" t="s">
        <v>174</v>
      </c>
      <c r="C45" s="56" t="s">
        <v>24</v>
      </c>
      <c r="D45" s="57">
        <f>D33</f>
        <v>0</v>
      </c>
      <c r="E45" s="41">
        <f>IF(D45="","",_xlfn.XLOOKUP(A45,[5]ריכוז!$A:$A,[5]ריכוז!$D:$D,"אין כזה"))</f>
        <v>1440</v>
      </c>
      <c r="F45" s="10">
        <f t="shared" si="1"/>
        <v>216</v>
      </c>
      <c r="G45" s="10">
        <f t="shared" si="2"/>
        <v>72</v>
      </c>
      <c r="H45" s="10">
        <f t="shared" si="0"/>
        <v>1285.2</v>
      </c>
      <c r="I45" s="57">
        <f t="shared" si="3"/>
        <v>0</v>
      </c>
      <c r="K45" s="38"/>
    </row>
    <row r="46" spans="1:11" x14ac:dyDescent="0.3">
      <c r="A46" s="63" t="s">
        <v>74</v>
      </c>
      <c r="B46" s="55" t="s">
        <v>75</v>
      </c>
      <c r="C46" s="56" t="s">
        <v>2</v>
      </c>
      <c r="D46" s="57">
        <v>0</v>
      </c>
      <c r="E46" s="41">
        <f>IF(D46="","",_xlfn.XLOOKUP(A46,[5]ריכוז!$A:$A,[5]ריכוז!$D:$D,"אין כזה"))</f>
        <v>620</v>
      </c>
      <c r="F46" s="10">
        <f t="shared" si="1"/>
        <v>93</v>
      </c>
      <c r="G46" s="10">
        <f t="shared" si="2"/>
        <v>31</v>
      </c>
      <c r="H46" s="10">
        <f t="shared" si="0"/>
        <v>553.35</v>
      </c>
      <c r="I46" s="57">
        <f t="shared" si="3"/>
        <v>0</v>
      </c>
      <c r="K46" s="38"/>
    </row>
    <row r="47" spans="1:11" x14ac:dyDescent="0.3">
      <c r="A47" s="63" t="s">
        <v>76</v>
      </c>
      <c r="B47" s="55" t="s">
        <v>77</v>
      </c>
      <c r="C47" s="56" t="s">
        <v>2</v>
      </c>
      <c r="D47" s="57">
        <v>0</v>
      </c>
      <c r="E47" s="41">
        <f>IF(D47="","",_xlfn.XLOOKUP(A47,[5]ריכוז!$A:$A,[5]ריכוז!$D:$D,"אין כזה"))</f>
        <v>750</v>
      </c>
      <c r="F47" s="10">
        <f t="shared" si="1"/>
        <v>112.5</v>
      </c>
      <c r="G47" s="10">
        <f t="shared" si="2"/>
        <v>37.5</v>
      </c>
      <c r="H47" s="10">
        <f t="shared" si="0"/>
        <v>669.375</v>
      </c>
      <c r="I47" s="57">
        <f t="shared" si="3"/>
        <v>0</v>
      </c>
      <c r="K47" s="38"/>
    </row>
    <row r="48" spans="1:11" x14ac:dyDescent="0.3">
      <c r="A48" s="63" t="s">
        <v>78</v>
      </c>
      <c r="B48" s="55" t="s">
        <v>79</v>
      </c>
      <c r="C48" s="56" t="s">
        <v>2</v>
      </c>
      <c r="D48" s="138">
        <v>1</v>
      </c>
      <c r="E48" s="41">
        <f>IF(D48="","",_xlfn.XLOOKUP(A48,[5]ריכוז!$A:$A,[5]ריכוז!$D:$D,"אין כזה"))</f>
        <v>1020</v>
      </c>
      <c r="F48" s="10">
        <f t="shared" si="1"/>
        <v>153</v>
      </c>
      <c r="G48" s="10">
        <f t="shared" si="2"/>
        <v>51</v>
      </c>
      <c r="H48" s="10">
        <f t="shared" si="0"/>
        <v>910.35</v>
      </c>
      <c r="I48" s="57">
        <f t="shared" si="3"/>
        <v>910.35</v>
      </c>
      <c r="K48" s="38"/>
    </row>
    <row r="49" spans="1:11" x14ac:dyDescent="0.3">
      <c r="A49" s="63" t="s">
        <v>80</v>
      </c>
      <c r="B49" s="55" t="s">
        <v>81</v>
      </c>
      <c r="C49" s="56" t="s">
        <v>2</v>
      </c>
      <c r="D49" s="138">
        <v>4</v>
      </c>
      <c r="E49" s="41">
        <f>IF(D49="","",_xlfn.XLOOKUP(A49,[5]ריכוז!$A:$A,[5]ריכוז!$D:$D,"אין כזה"))</f>
        <v>1370</v>
      </c>
      <c r="F49" s="10">
        <f t="shared" si="1"/>
        <v>205.5</v>
      </c>
      <c r="G49" s="10">
        <f t="shared" si="2"/>
        <v>68.5</v>
      </c>
      <c r="H49" s="10">
        <f t="shared" si="0"/>
        <v>1222.7249999999999</v>
      </c>
      <c r="I49" s="57">
        <f t="shared" si="3"/>
        <v>4890.8999999999996</v>
      </c>
      <c r="K49" s="38"/>
    </row>
    <row r="50" spans="1:11" x14ac:dyDescent="0.3">
      <c r="A50" s="63" t="s">
        <v>82</v>
      </c>
      <c r="B50" s="55" t="s">
        <v>83</v>
      </c>
      <c r="C50" s="56" t="s">
        <v>2</v>
      </c>
      <c r="D50" s="57">
        <v>0</v>
      </c>
      <c r="E50" s="41">
        <f>IF(D50="","",_xlfn.XLOOKUP(A50,[5]ריכוז!$A:$A,[5]ריכוז!$D:$D,"אין כזה"))</f>
        <v>1650</v>
      </c>
      <c r="F50" s="10">
        <f t="shared" si="1"/>
        <v>247.5</v>
      </c>
      <c r="G50" s="10">
        <f t="shared" si="2"/>
        <v>82.5</v>
      </c>
      <c r="H50" s="10">
        <f t="shared" si="0"/>
        <v>1472.625</v>
      </c>
      <c r="I50" s="57">
        <f t="shared" si="3"/>
        <v>0</v>
      </c>
      <c r="K50" s="38"/>
    </row>
    <row r="51" spans="1:11" x14ac:dyDescent="0.3">
      <c r="A51" s="63" t="s">
        <v>84</v>
      </c>
      <c r="B51" s="55" t="s">
        <v>85</v>
      </c>
      <c r="C51" s="56" t="s">
        <v>2</v>
      </c>
      <c r="D51" s="57">
        <v>0</v>
      </c>
      <c r="E51" s="41">
        <f>IF(D51="","",_xlfn.XLOOKUP(A51,[5]ריכוז!$A:$A,[5]ריכוז!$D:$D,"אין כזה"))</f>
        <v>1820</v>
      </c>
      <c r="F51" s="10">
        <f t="shared" si="1"/>
        <v>273</v>
      </c>
      <c r="G51" s="10">
        <f t="shared" si="2"/>
        <v>91</v>
      </c>
      <c r="H51" s="10">
        <f t="shared" si="0"/>
        <v>1624.35</v>
      </c>
      <c r="I51" s="57">
        <f t="shared" si="3"/>
        <v>0</v>
      </c>
      <c r="K51" s="38"/>
    </row>
    <row r="52" spans="1:11" x14ac:dyDescent="0.3">
      <c r="A52" s="63" t="s">
        <v>86</v>
      </c>
      <c r="B52" s="55" t="s">
        <v>87</v>
      </c>
      <c r="C52" s="56" t="s">
        <v>2</v>
      </c>
      <c r="D52" s="57">
        <v>0</v>
      </c>
      <c r="E52" s="41">
        <f>IF(D52="","",_xlfn.XLOOKUP(A52,[5]ריכוז!$A:$A,[5]ריכוז!$D:$D,"אין כזה"))</f>
        <v>130</v>
      </c>
      <c r="F52" s="10">
        <f t="shared" si="1"/>
        <v>19.5</v>
      </c>
      <c r="G52" s="10">
        <f t="shared" si="2"/>
        <v>6.5</v>
      </c>
      <c r="H52" s="10">
        <f t="shared" si="0"/>
        <v>116.02499999999999</v>
      </c>
      <c r="I52" s="57">
        <f t="shared" si="3"/>
        <v>0</v>
      </c>
      <c r="K52" s="38"/>
    </row>
    <row r="53" spans="1:11" x14ac:dyDescent="0.3">
      <c r="A53" s="63" t="s">
        <v>175</v>
      </c>
      <c r="B53" s="55" t="s">
        <v>176</v>
      </c>
      <c r="C53" s="56" t="s">
        <v>24</v>
      </c>
      <c r="D53" s="57">
        <f>(D44+D45+D42+D43)</f>
        <v>9.1668000000000003</v>
      </c>
      <c r="E53" s="41">
        <f>IF(D53="","",_xlfn.XLOOKUP(A53,[5]ריכוז!$A:$A,[5]ריכוז!$D:$D,"אין כזה"))</f>
        <v>60</v>
      </c>
      <c r="F53" s="10">
        <f t="shared" si="1"/>
        <v>9</v>
      </c>
      <c r="G53" s="10">
        <f t="shared" si="2"/>
        <v>3</v>
      </c>
      <c r="H53" s="10">
        <f t="shared" si="0"/>
        <v>53.55</v>
      </c>
      <c r="I53" s="57">
        <f t="shared" si="3"/>
        <v>490.88213999999999</v>
      </c>
      <c r="K53" s="38"/>
    </row>
    <row r="54" spans="1:11" x14ac:dyDescent="0.3">
      <c r="A54" s="63" t="s">
        <v>88</v>
      </c>
      <c r="B54" s="55" t="s">
        <v>89</v>
      </c>
      <c r="C54" s="56" t="s">
        <v>2</v>
      </c>
      <c r="D54" s="57">
        <v>1</v>
      </c>
      <c r="E54" s="41">
        <f>IF(D54="","",_xlfn.XLOOKUP(A54,[5]ריכוז!$A:$A,[5]ריכוז!$D:$D,"אין כזה"))</f>
        <v>109</v>
      </c>
      <c r="F54" s="10">
        <f t="shared" si="1"/>
        <v>16.349999999999998</v>
      </c>
      <c r="G54" s="10">
        <f t="shared" si="2"/>
        <v>5.45</v>
      </c>
      <c r="H54" s="10">
        <f t="shared" si="0"/>
        <v>97.282499999999999</v>
      </c>
      <c r="I54" s="57">
        <f t="shared" si="3"/>
        <v>97.282499999999999</v>
      </c>
      <c r="K54" s="38"/>
    </row>
    <row r="55" spans="1:11" x14ac:dyDescent="0.3">
      <c r="A55" s="63" t="s">
        <v>90</v>
      </c>
      <c r="B55" s="55" t="s">
        <v>91</v>
      </c>
      <c r="C55" s="56" t="s">
        <v>2</v>
      </c>
      <c r="D55" s="57">
        <v>4</v>
      </c>
      <c r="E55" s="41">
        <f>IF(D55="","",_xlfn.XLOOKUP(A55,[5]ריכוז!$A:$A,[5]ריכוז!$D:$D,"אין כזה"))</f>
        <v>121</v>
      </c>
      <c r="F55" s="10">
        <f t="shared" si="1"/>
        <v>18.149999999999999</v>
      </c>
      <c r="G55" s="10">
        <f t="shared" si="2"/>
        <v>6.0500000000000007</v>
      </c>
      <c r="H55" s="10">
        <f t="shared" si="0"/>
        <v>107.99250000000001</v>
      </c>
      <c r="I55" s="57">
        <f t="shared" si="3"/>
        <v>431.97</v>
      </c>
      <c r="K55" s="38"/>
    </row>
    <row r="56" spans="1:11" ht="14.4" customHeight="1" x14ac:dyDescent="0.3">
      <c r="A56" s="63" t="s">
        <v>195</v>
      </c>
      <c r="B56" s="55" t="s">
        <v>182</v>
      </c>
      <c r="C56" s="56" t="s">
        <v>2</v>
      </c>
      <c r="D56" s="57">
        <v>0</v>
      </c>
      <c r="E56" s="41">
        <f>IF(D56="","",_xlfn.XLOOKUP(A56,[5]ריכוז!$A:$A,[5]ריכוז!$D:$D,"אין כזה"))</f>
        <v>133</v>
      </c>
      <c r="F56" s="10">
        <f t="shared" si="1"/>
        <v>19.95</v>
      </c>
      <c r="G56" s="10">
        <f t="shared" si="2"/>
        <v>6.65</v>
      </c>
      <c r="H56" s="10">
        <f t="shared" si="0"/>
        <v>118.7025</v>
      </c>
      <c r="I56" s="57">
        <f t="shared" si="3"/>
        <v>0</v>
      </c>
      <c r="K56" s="38"/>
    </row>
    <row r="57" spans="1:11" ht="14.4" customHeight="1" x14ac:dyDescent="0.3">
      <c r="A57" s="63" t="s">
        <v>196</v>
      </c>
      <c r="B57" s="55" t="s">
        <v>183</v>
      </c>
      <c r="C57" s="56" t="s">
        <v>2</v>
      </c>
      <c r="D57" s="57">
        <v>0</v>
      </c>
      <c r="E57" s="41">
        <f>IF(D57="","",_xlfn.XLOOKUP(A57,[5]ריכוז!$A:$A,[5]ריכוז!$D:$D,"אין כזה"))</f>
        <v>145</v>
      </c>
      <c r="F57" s="10">
        <f t="shared" si="1"/>
        <v>21.75</v>
      </c>
      <c r="G57" s="10">
        <f t="shared" si="2"/>
        <v>7.25</v>
      </c>
      <c r="H57" s="10">
        <f t="shared" si="0"/>
        <v>129.41249999999999</v>
      </c>
      <c r="I57" s="57">
        <f t="shared" si="3"/>
        <v>0</v>
      </c>
      <c r="K57" s="38"/>
    </row>
    <row r="58" spans="1:11" ht="14.4" customHeight="1" x14ac:dyDescent="0.3">
      <c r="A58" s="63" t="s">
        <v>197</v>
      </c>
      <c r="B58" s="55" t="s">
        <v>184</v>
      </c>
      <c r="C58" s="56" t="s">
        <v>2</v>
      </c>
      <c r="D58" s="57">
        <v>0</v>
      </c>
      <c r="E58" s="41">
        <f>IF(D58="","",_xlfn.XLOOKUP(A58,[5]ריכוז!$A:$A,[5]ריכוז!$D:$D,"אין כזה"))</f>
        <v>157</v>
      </c>
      <c r="F58" s="10">
        <f t="shared" si="1"/>
        <v>23.55</v>
      </c>
      <c r="G58" s="10">
        <f t="shared" si="2"/>
        <v>7.8500000000000005</v>
      </c>
      <c r="H58" s="10">
        <f t="shared" si="0"/>
        <v>140.1225</v>
      </c>
      <c r="I58" s="57">
        <f t="shared" si="3"/>
        <v>0</v>
      </c>
      <c r="K58" s="38"/>
    </row>
    <row r="59" spans="1:11" ht="14.4" customHeight="1" x14ac:dyDescent="0.3">
      <c r="A59" s="63" t="s">
        <v>198</v>
      </c>
      <c r="B59" s="55" t="s">
        <v>185</v>
      </c>
      <c r="C59" s="56" t="s">
        <v>2</v>
      </c>
      <c r="D59" s="57">
        <v>0</v>
      </c>
      <c r="E59" s="41">
        <f>IF(D59="","",_xlfn.XLOOKUP(A59,[5]ריכוז!$A:$A,[5]ריכוז!$D:$D,"אין כזה"))</f>
        <v>169</v>
      </c>
      <c r="F59" s="10">
        <f t="shared" si="1"/>
        <v>25.349999999999998</v>
      </c>
      <c r="G59" s="10">
        <f t="shared" si="2"/>
        <v>8.4500000000000011</v>
      </c>
      <c r="H59" s="10">
        <f t="shared" si="0"/>
        <v>150.83250000000001</v>
      </c>
      <c r="I59" s="57">
        <f t="shared" si="3"/>
        <v>0</v>
      </c>
      <c r="K59" s="38"/>
    </row>
    <row r="60" spans="1:11" ht="14.4" customHeight="1" x14ac:dyDescent="0.3">
      <c r="A60" s="63" t="s">
        <v>199</v>
      </c>
      <c r="B60" s="55" t="s">
        <v>186</v>
      </c>
      <c r="C60" s="56" t="s">
        <v>2</v>
      </c>
      <c r="D60" s="57">
        <v>0</v>
      </c>
      <c r="E60" s="41">
        <f>IF(D60="","",_xlfn.XLOOKUP(A60,[5]ריכוז!$A:$A,[5]ריכוז!$D:$D,"אין כזה"))</f>
        <v>181</v>
      </c>
      <c r="F60" s="10">
        <f t="shared" si="1"/>
        <v>27.15</v>
      </c>
      <c r="G60" s="10">
        <f t="shared" si="2"/>
        <v>9.0500000000000007</v>
      </c>
      <c r="H60" s="10">
        <f t="shared" si="0"/>
        <v>161.54250000000002</v>
      </c>
      <c r="I60" s="57">
        <f t="shared" si="3"/>
        <v>0</v>
      </c>
      <c r="K60" s="38"/>
    </row>
    <row r="61" spans="1:11" ht="14.4" customHeight="1" x14ac:dyDescent="0.3">
      <c r="A61" s="63" t="s">
        <v>200</v>
      </c>
      <c r="B61" s="55" t="s">
        <v>187</v>
      </c>
      <c r="C61" s="56" t="s">
        <v>2</v>
      </c>
      <c r="D61" s="57">
        <v>0</v>
      </c>
      <c r="E61" s="41">
        <f>IF(D61="","",_xlfn.XLOOKUP(A61,[5]ריכוז!$A:$A,[5]ריכוז!$D:$D,"אין כזה"))</f>
        <v>193</v>
      </c>
      <c r="F61" s="10">
        <f t="shared" si="1"/>
        <v>28.95</v>
      </c>
      <c r="G61" s="10">
        <f t="shared" si="2"/>
        <v>9.65</v>
      </c>
      <c r="H61" s="10">
        <f t="shared" si="0"/>
        <v>172.2525</v>
      </c>
      <c r="I61" s="57">
        <f t="shared" si="3"/>
        <v>0</v>
      </c>
      <c r="K61" s="38"/>
    </row>
    <row r="62" spans="1:11" s="27" customFormat="1" ht="15.6" x14ac:dyDescent="0.3">
      <c r="A62" s="59" t="s">
        <v>92</v>
      </c>
      <c r="B62" s="60" t="s">
        <v>93</v>
      </c>
      <c r="C62" s="61" t="s">
        <v>3</v>
      </c>
      <c r="D62" s="62" t="s">
        <v>3</v>
      </c>
      <c r="E62" s="41" t="str">
        <f>IF(D62="","",_xlfn.XLOOKUP(A62,[5]ריכוז!$A:$A,[5]ריכוז!$D:$D,"אין כזה"))</f>
        <v/>
      </c>
      <c r="F62" s="10" t="str">
        <f t="shared" si="1"/>
        <v/>
      </c>
      <c r="G62" s="10" t="str">
        <f t="shared" si="2"/>
        <v/>
      </c>
      <c r="H62" s="10" t="str">
        <f t="shared" si="0"/>
        <v/>
      </c>
      <c r="I62" s="57" t="str">
        <f t="shared" si="3"/>
        <v/>
      </c>
      <c r="K62" s="38"/>
    </row>
    <row r="63" spans="1:11" ht="15" thickBot="1" x14ac:dyDescent="0.35">
      <c r="A63" s="54" t="s">
        <v>94</v>
      </c>
      <c r="B63" s="55" t="s">
        <v>95</v>
      </c>
      <c r="C63" s="56" t="s">
        <v>24</v>
      </c>
      <c r="D63" s="92">
        <v>0</v>
      </c>
      <c r="E63" s="41">
        <f>IF(D63="","",_xlfn.XLOOKUP(A63,[5]ריכוז!$A:$A,[5]ריכוז!$D:$D,"אין כזה"))</f>
        <v>53</v>
      </c>
      <c r="F63" s="10">
        <f t="shared" si="1"/>
        <v>7.9499999999999993</v>
      </c>
      <c r="G63" s="10">
        <f t="shared" si="2"/>
        <v>2.6500000000000004</v>
      </c>
      <c r="H63" s="10">
        <f t="shared" si="0"/>
        <v>47.302500000000002</v>
      </c>
      <c r="I63" s="57">
        <f t="shared" si="3"/>
        <v>0</v>
      </c>
      <c r="K63" s="38"/>
    </row>
    <row r="64" spans="1:11" ht="43.2" x14ac:dyDescent="0.3">
      <c r="A64" s="54" t="s">
        <v>96</v>
      </c>
      <c r="B64" s="55" t="s">
        <v>97</v>
      </c>
      <c r="C64" s="56" t="s">
        <v>24</v>
      </c>
      <c r="D64" s="57">
        <v>0</v>
      </c>
      <c r="E64" s="41">
        <f>IF(D64="","",_xlfn.XLOOKUP(A64,[5]ריכוז!$A:$A,[5]ריכוז!$D:$D,"אין כזה"))</f>
        <v>880</v>
      </c>
      <c r="F64" s="10">
        <f t="shared" si="1"/>
        <v>132</v>
      </c>
      <c r="G64" s="10">
        <f t="shared" si="2"/>
        <v>44</v>
      </c>
      <c r="H64" s="10">
        <f t="shared" si="0"/>
        <v>785.4</v>
      </c>
      <c r="I64" s="57">
        <f t="shared" si="3"/>
        <v>0</v>
      </c>
      <c r="K64" s="38"/>
    </row>
    <row r="65" spans="1:11" ht="43.2" x14ac:dyDescent="0.3">
      <c r="A65" s="54" t="s">
        <v>215</v>
      </c>
      <c r="B65" s="55" t="s">
        <v>98</v>
      </c>
      <c r="C65" s="56" t="s">
        <v>24</v>
      </c>
      <c r="D65" s="57">
        <f>D63</f>
        <v>0</v>
      </c>
      <c r="E65" s="41">
        <f>IF(D65="","",_xlfn.XLOOKUP(A65,[5]ריכוז!$A:$A,[5]ריכוז!$D:$D,"אין כזה"))</f>
        <v>650</v>
      </c>
      <c r="F65" s="10">
        <f t="shared" si="1"/>
        <v>97.5</v>
      </c>
      <c r="G65" s="10">
        <f t="shared" si="2"/>
        <v>32.5</v>
      </c>
      <c r="H65" s="10">
        <f t="shared" si="0"/>
        <v>580.125</v>
      </c>
      <c r="I65" s="57">
        <f t="shared" si="3"/>
        <v>0</v>
      </c>
      <c r="K65" s="38"/>
    </row>
    <row r="66" spans="1:11" s="27" customFormat="1" ht="15.6" x14ac:dyDescent="0.3">
      <c r="A66" s="59" t="s">
        <v>99</v>
      </c>
      <c r="B66" s="60" t="s">
        <v>100</v>
      </c>
      <c r="C66" s="61" t="s">
        <v>3</v>
      </c>
      <c r="D66" s="62" t="s">
        <v>3</v>
      </c>
      <c r="E66" s="41" t="str">
        <f>IF(D66="","",_xlfn.XLOOKUP(A66,[5]ריכוז!$A:$A,[5]ריכוז!$D:$D,"אין כזה"))</f>
        <v/>
      </c>
      <c r="F66" s="10" t="str">
        <f t="shared" si="1"/>
        <v/>
      </c>
      <c r="G66" s="10" t="str">
        <f t="shared" si="2"/>
        <v/>
      </c>
      <c r="H66" s="10" t="str">
        <f t="shared" si="0"/>
        <v/>
      </c>
      <c r="I66" s="57" t="str">
        <f t="shared" si="3"/>
        <v/>
      </c>
      <c r="K66" s="38"/>
    </row>
    <row r="67" spans="1:11" x14ac:dyDescent="0.3">
      <c r="A67" s="63" t="s">
        <v>101</v>
      </c>
      <c r="B67" s="55" t="s">
        <v>102</v>
      </c>
      <c r="C67" s="56" t="s">
        <v>24</v>
      </c>
      <c r="D67" s="57">
        <v>0</v>
      </c>
      <c r="E67" s="41">
        <f>IF(D67="","",_xlfn.XLOOKUP(A67,[5]ריכוז!$A:$A,[5]ריכוז!$D:$D,"אין כזה"))</f>
        <v>265</v>
      </c>
      <c r="F67" s="10">
        <f t="shared" si="1"/>
        <v>39.75</v>
      </c>
      <c r="G67" s="10">
        <f t="shared" si="2"/>
        <v>13.25</v>
      </c>
      <c r="H67" s="10">
        <f t="shared" si="0"/>
        <v>236.51249999999999</v>
      </c>
      <c r="I67" s="57">
        <f t="shared" si="3"/>
        <v>0</v>
      </c>
      <c r="K67" s="38"/>
    </row>
    <row r="68" spans="1:11" x14ac:dyDescent="0.3">
      <c r="A68" s="64" t="s">
        <v>103</v>
      </c>
      <c r="B68" s="65" t="s">
        <v>104</v>
      </c>
      <c r="C68" s="56" t="s">
        <v>24</v>
      </c>
      <c r="D68" s="138">
        <f>-D69-D70</f>
        <v>9.0969999999999995</v>
      </c>
      <c r="E68" s="41">
        <f>IF(D68="","",_xlfn.XLOOKUP(A68,[5]ריכוז!$A:$A,[5]ריכוז!$D:$D,"אין כזה"))</f>
        <v>375</v>
      </c>
      <c r="F68" s="10">
        <f t="shared" si="1"/>
        <v>56.25</v>
      </c>
      <c r="G68" s="10">
        <f t="shared" si="2"/>
        <v>18.75</v>
      </c>
      <c r="H68" s="10">
        <f t="shared" si="0"/>
        <v>334.6875</v>
      </c>
      <c r="I68" s="57">
        <f t="shared" si="3"/>
        <v>3044.6521874999999</v>
      </c>
      <c r="K68" s="38"/>
    </row>
    <row r="69" spans="1:11" x14ac:dyDescent="0.3">
      <c r="A69" s="64" t="s">
        <v>105</v>
      </c>
      <c r="B69" s="65" t="s">
        <v>106</v>
      </c>
      <c r="C69" s="56" t="s">
        <v>24</v>
      </c>
      <c r="D69" s="57">
        <v>-3.0489999999999999</v>
      </c>
      <c r="E69" s="41">
        <f>IF(D69="","",_xlfn.XLOOKUP(A69,[5]ריכוז!$A:$A,[5]ריכוז!$D:$D,"אין כזה"))</f>
        <v>317</v>
      </c>
      <c r="F69" s="10">
        <f t="shared" si="1"/>
        <v>47.55</v>
      </c>
      <c r="G69" s="10">
        <f t="shared" si="2"/>
        <v>15.850000000000001</v>
      </c>
      <c r="H69" s="10">
        <f t="shared" si="0"/>
        <v>282.92250000000001</v>
      </c>
      <c r="I69" s="57">
        <f t="shared" si="3"/>
        <v>-862.63070249999998</v>
      </c>
      <c r="K69" s="38"/>
    </row>
    <row r="70" spans="1:11" x14ac:dyDescent="0.3">
      <c r="A70" s="64" t="s">
        <v>107</v>
      </c>
      <c r="B70" s="65" t="s">
        <v>108</v>
      </c>
      <c r="C70" s="56" t="s">
        <v>24</v>
      </c>
      <c r="D70" s="57">
        <v>-6.048</v>
      </c>
      <c r="E70" s="41">
        <f>IF(D70="","",_xlfn.XLOOKUP(A70,[5]ריכוז!$A:$A,[5]ריכוז!$D:$D,"אין כזה"))</f>
        <v>172</v>
      </c>
      <c r="F70" s="10">
        <f t="shared" si="1"/>
        <v>25.8</v>
      </c>
      <c r="G70" s="10">
        <f t="shared" si="2"/>
        <v>8.6</v>
      </c>
      <c r="H70" s="10">
        <f t="shared" si="0"/>
        <v>153.51</v>
      </c>
      <c r="I70" s="57">
        <f t="shared" si="3"/>
        <v>-928.42847999999992</v>
      </c>
      <c r="K70" s="38"/>
    </row>
    <row r="71" spans="1:11" x14ac:dyDescent="0.3">
      <c r="A71" s="63" t="s">
        <v>109</v>
      </c>
      <c r="B71" s="55" t="s">
        <v>110</v>
      </c>
      <c r="C71" s="56" t="s">
        <v>24</v>
      </c>
      <c r="D71" s="57">
        <f>-D67</f>
        <v>0</v>
      </c>
      <c r="E71" s="41">
        <f>IF(D71="","",_xlfn.XLOOKUP(A71,[5]ריכוז!$A:$A,[5]ריכוז!$D:$D,"אין כזה"))</f>
        <v>94</v>
      </c>
      <c r="F71" s="10">
        <f t="shared" si="1"/>
        <v>14.1</v>
      </c>
      <c r="G71" s="10">
        <f t="shared" si="2"/>
        <v>4.7</v>
      </c>
      <c r="H71" s="10">
        <f t="shared" si="0"/>
        <v>83.894999999999996</v>
      </c>
      <c r="I71" s="57">
        <f t="shared" si="3"/>
        <v>0</v>
      </c>
      <c r="K71" s="38"/>
    </row>
    <row r="72" spans="1:11" x14ac:dyDescent="0.3">
      <c r="A72" s="63" t="s">
        <v>111</v>
      </c>
      <c r="B72" s="55" t="s">
        <v>112</v>
      </c>
      <c r="C72" s="56" t="s">
        <v>24</v>
      </c>
      <c r="D72" s="57">
        <v>0</v>
      </c>
      <c r="E72" s="41">
        <f>IF(D72="","",_xlfn.XLOOKUP(A72,[5]ריכוז!$A:$A,[5]ריכוז!$D:$D,"אין כזה"))</f>
        <v>157</v>
      </c>
      <c r="F72" s="10">
        <f t="shared" si="1"/>
        <v>23.55</v>
      </c>
      <c r="G72" s="10">
        <f t="shared" si="2"/>
        <v>7.8500000000000005</v>
      </c>
      <c r="H72" s="10">
        <f t="shared" si="0"/>
        <v>140.1225</v>
      </c>
      <c r="I72" s="57">
        <f t="shared" si="3"/>
        <v>0</v>
      </c>
      <c r="K72" s="38"/>
    </row>
    <row r="73" spans="1:11" s="27" customFormat="1" ht="15.6" x14ac:dyDescent="0.3">
      <c r="A73" s="59" t="s">
        <v>113</v>
      </c>
      <c r="B73" s="60" t="s">
        <v>114</v>
      </c>
      <c r="C73" s="61" t="s">
        <v>3</v>
      </c>
      <c r="D73" s="62" t="s">
        <v>3</v>
      </c>
      <c r="E73" s="41" t="str">
        <f>IF(D73="","",_xlfn.XLOOKUP(A73,[5]ריכוז!$A:$A,[5]ריכוז!$D:$D,"אין כזה"))</f>
        <v/>
      </c>
      <c r="F73" s="10" t="str">
        <f t="shared" si="1"/>
        <v/>
      </c>
      <c r="G73" s="10" t="str">
        <f t="shared" si="2"/>
        <v/>
      </c>
      <c r="H73" s="10" t="str">
        <f t="shared" si="0"/>
        <v/>
      </c>
      <c r="I73" s="57" t="str">
        <f t="shared" si="3"/>
        <v/>
      </c>
      <c r="K73" s="38"/>
    </row>
    <row r="74" spans="1:11" s="27" customFormat="1" ht="15.6" x14ac:dyDescent="0.3">
      <c r="A74" s="59" t="s">
        <v>115</v>
      </c>
      <c r="B74" s="60" t="s">
        <v>116</v>
      </c>
      <c r="C74" s="61" t="s">
        <v>3</v>
      </c>
      <c r="D74" s="62" t="s">
        <v>3</v>
      </c>
      <c r="E74" s="41" t="str">
        <f>IF(D74="","",_xlfn.XLOOKUP(A74,[5]ריכוז!$A:$A,[5]ריכוז!$D:$D,"אין כזה"))</f>
        <v/>
      </c>
      <c r="F74" s="10" t="str">
        <f t="shared" si="1"/>
        <v/>
      </c>
      <c r="G74" s="10" t="str">
        <f t="shared" si="2"/>
        <v/>
      </c>
      <c r="H74" s="10" t="str">
        <f t="shared" si="0"/>
        <v/>
      </c>
      <c r="I74" s="57" t="str">
        <f t="shared" si="3"/>
        <v/>
      </c>
      <c r="K74" s="38"/>
    </row>
    <row r="75" spans="1:11" ht="28.8" x14ac:dyDescent="0.3">
      <c r="A75" s="63" t="s">
        <v>117</v>
      </c>
      <c r="B75" s="55" t="s">
        <v>118</v>
      </c>
      <c r="C75" s="56" t="s">
        <v>17</v>
      </c>
      <c r="D75" s="57">
        <v>0</v>
      </c>
      <c r="E75" s="41">
        <f>IF(D75="","",_xlfn.XLOOKUP(A75,[5]ריכוז!$A:$A,[5]ריכוז!$D:$D,"אין כזה"))</f>
        <v>3500</v>
      </c>
      <c r="F75" s="10">
        <f t="shared" si="1"/>
        <v>525</v>
      </c>
      <c r="G75" s="10">
        <f t="shared" si="2"/>
        <v>175</v>
      </c>
      <c r="H75" s="10">
        <f t="shared" si="0"/>
        <v>3123.75</v>
      </c>
      <c r="I75" s="57">
        <f t="shared" si="3"/>
        <v>0</v>
      </c>
      <c r="K75" s="38"/>
    </row>
    <row r="76" spans="1:11" ht="43.2" x14ac:dyDescent="0.3">
      <c r="A76" s="63" t="s">
        <v>119</v>
      </c>
      <c r="B76" s="55" t="s">
        <v>120</v>
      </c>
      <c r="C76" s="56" t="s">
        <v>4</v>
      </c>
      <c r="D76" s="57">
        <v>0</v>
      </c>
      <c r="E76" s="41">
        <f>IF(D76="","",_xlfn.XLOOKUP(A76,[5]ריכוז!$A:$A,[5]ריכוז!$D:$D,"אין כזה"))</f>
        <v>172</v>
      </c>
      <c r="F76" s="10">
        <f t="shared" si="1"/>
        <v>25.8</v>
      </c>
      <c r="G76" s="10">
        <f t="shared" si="2"/>
        <v>8.6</v>
      </c>
      <c r="H76" s="10">
        <f t="shared" si="0"/>
        <v>153.51</v>
      </c>
      <c r="I76" s="57">
        <f t="shared" si="3"/>
        <v>0</v>
      </c>
      <c r="K76" s="38"/>
    </row>
    <row r="77" spans="1:11" x14ac:dyDescent="0.3">
      <c r="A77" s="63" t="s">
        <v>177</v>
      </c>
      <c r="B77" s="55" t="s">
        <v>178</v>
      </c>
      <c r="C77" s="56" t="s">
        <v>24</v>
      </c>
      <c r="D77" s="57">
        <f>SUM(D17:D19,D25:D27,D29:D30,D32:D34,D36:D38)</f>
        <v>9.1668000000000003</v>
      </c>
      <c r="E77" s="41">
        <f>IF(D77="","",_xlfn.XLOOKUP(A77,[5]ריכוז!$A:$A,[5]ריכוז!$D:$D,"אין כזה"))</f>
        <v>48</v>
      </c>
      <c r="F77" s="10">
        <f t="shared" si="1"/>
        <v>7.1999999999999993</v>
      </c>
      <c r="G77" s="10">
        <f t="shared" si="2"/>
        <v>2.4000000000000004</v>
      </c>
      <c r="H77" s="10">
        <f t="shared" si="0"/>
        <v>42.84</v>
      </c>
      <c r="I77" s="57">
        <f t="shared" si="3"/>
        <v>392.70571200000006</v>
      </c>
      <c r="K77" s="38"/>
    </row>
    <row r="78" spans="1:11" s="27" customFormat="1" ht="15.6" x14ac:dyDescent="0.3">
      <c r="A78" s="59" t="s">
        <v>121</v>
      </c>
      <c r="B78" s="60" t="s">
        <v>122</v>
      </c>
      <c r="C78" s="61" t="s">
        <v>3</v>
      </c>
      <c r="D78" s="62" t="s">
        <v>3</v>
      </c>
      <c r="E78" s="41" t="str">
        <f>IF(D78="","",_xlfn.XLOOKUP(A78,[5]ריכוז!$A:$A,[5]ריכוז!$D:$D,"אין כזה"))</f>
        <v/>
      </c>
      <c r="F78" s="10" t="str">
        <f t="shared" si="1"/>
        <v/>
      </c>
      <c r="G78" s="10" t="str">
        <f t="shared" si="2"/>
        <v/>
      </c>
      <c r="H78" s="10" t="str">
        <f t="shared" ref="H78:H92" si="4">IF(E78="","",E78*1.05*0.85)</f>
        <v/>
      </c>
      <c r="I78" s="57" t="str">
        <f t="shared" si="3"/>
        <v/>
      </c>
      <c r="K78" s="38"/>
    </row>
    <row r="79" spans="1:11" s="27" customFormat="1" ht="15.6" x14ac:dyDescent="0.3">
      <c r="A79" s="59" t="s">
        <v>123</v>
      </c>
      <c r="B79" s="60" t="s">
        <v>124</v>
      </c>
      <c r="C79" s="61" t="s">
        <v>3</v>
      </c>
      <c r="D79" s="62" t="s">
        <v>3</v>
      </c>
      <c r="E79" s="41" t="str">
        <f>IF(D79="","",_xlfn.XLOOKUP(A79,[5]ריכוז!$A:$A,[5]ריכוז!$D:$D,"אין כזה"))</f>
        <v/>
      </c>
      <c r="F79" s="10" t="str">
        <f t="shared" si="1"/>
        <v/>
      </c>
      <c r="G79" s="10" t="str">
        <f t="shared" si="2"/>
        <v/>
      </c>
      <c r="H79" s="10" t="str">
        <f t="shared" si="4"/>
        <v/>
      </c>
      <c r="I79" s="57" t="str">
        <f t="shared" si="3"/>
        <v/>
      </c>
      <c r="K79" s="38"/>
    </row>
    <row r="80" spans="1:11" s="27" customFormat="1" ht="15.6" x14ac:dyDescent="0.3">
      <c r="A80" s="9" t="s">
        <v>208</v>
      </c>
      <c r="B80" s="55" t="s">
        <v>209</v>
      </c>
      <c r="C80" s="56" t="s">
        <v>125</v>
      </c>
      <c r="D80" s="57">
        <v>3</v>
      </c>
      <c r="E80" s="41">
        <v>130</v>
      </c>
      <c r="F80" s="10">
        <f t="shared" si="1"/>
        <v>19.5</v>
      </c>
      <c r="G80" s="10">
        <f t="shared" si="2"/>
        <v>6.5</v>
      </c>
      <c r="H80" s="10">
        <f t="shared" si="4"/>
        <v>116.02499999999999</v>
      </c>
      <c r="I80" s="57">
        <f t="shared" si="3"/>
        <v>348.07499999999999</v>
      </c>
      <c r="K80" s="38"/>
    </row>
    <row r="81" spans="1:15" s="27" customFormat="1" ht="15.6" x14ac:dyDescent="0.3">
      <c r="A81" s="9" t="s">
        <v>169</v>
      </c>
      <c r="B81" s="55" t="s">
        <v>170</v>
      </c>
      <c r="C81" s="56" t="s">
        <v>125</v>
      </c>
      <c r="D81" s="57">
        <v>5</v>
      </c>
      <c r="E81" s="41">
        <f>IF(D81="","",_xlfn.XLOOKUP(A81,[5]ריכוז!$A:$A,[5]ריכוז!$D:$D,"אין כזה"))</f>
        <v>145</v>
      </c>
      <c r="F81" s="10">
        <f t="shared" si="1"/>
        <v>21.75</v>
      </c>
      <c r="G81" s="10">
        <f t="shared" si="2"/>
        <v>7.25</v>
      </c>
      <c r="H81" s="10">
        <f t="shared" si="4"/>
        <v>129.41249999999999</v>
      </c>
      <c r="I81" s="57">
        <f t="shared" si="3"/>
        <v>647.0625</v>
      </c>
      <c r="K81" s="38"/>
    </row>
    <row r="82" spans="1:15" s="27" customFormat="1" ht="15.6" x14ac:dyDescent="0.3">
      <c r="A82" s="59" t="s">
        <v>126</v>
      </c>
      <c r="B82" s="60" t="s">
        <v>127</v>
      </c>
      <c r="C82" s="61" t="s">
        <v>3</v>
      </c>
      <c r="D82" s="62" t="s">
        <v>3</v>
      </c>
      <c r="E82" s="41" t="str">
        <f>IF(D82="","",_xlfn.XLOOKUP(A82,[5]ריכוז!$A:$A,[5]ריכוז!$D:$D,"אין כזה"))</f>
        <v/>
      </c>
      <c r="F82" s="10" t="str">
        <f t="shared" ref="F82:F92" si="5">IF(E82="","",E82*0.15)</f>
        <v/>
      </c>
      <c r="G82" s="10" t="str">
        <f t="shared" ref="G82:G92" si="6">IF(E82="","",E82*0.05)</f>
        <v/>
      </c>
      <c r="H82" s="10" t="str">
        <f t="shared" si="4"/>
        <v/>
      </c>
      <c r="I82" s="57" t="str">
        <f t="shared" ref="I82:I91" si="7">IF(D82="","",H82*D82)</f>
        <v/>
      </c>
      <c r="K82" s="38"/>
    </row>
    <row r="83" spans="1:15" ht="28.8" x14ac:dyDescent="0.3">
      <c r="A83" s="63" t="s">
        <v>128</v>
      </c>
      <c r="B83" s="55" t="s">
        <v>129</v>
      </c>
      <c r="C83" s="56" t="s">
        <v>2</v>
      </c>
      <c r="D83" s="57">
        <v>1</v>
      </c>
      <c r="E83" s="41">
        <f>IF(D83="","",_xlfn.XLOOKUP(A83,[5]ריכוז!$A:$A,[5]ריכוז!$D:$D,"אין כזה"))</f>
        <v>1460</v>
      </c>
      <c r="F83" s="10">
        <f t="shared" si="5"/>
        <v>219</v>
      </c>
      <c r="G83" s="10">
        <f t="shared" si="6"/>
        <v>73</v>
      </c>
      <c r="H83" s="10">
        <f t="shared" si="4"/>
        <v>1303.05</v>
      </c>
      <c r="I83" s="57">
        <f t="shared" si="7"/>
        <v>1303.05</v>
      </c>
      <c r="K83" s="38"/>
    </row>
    <row r="84" spans="1:15" ht="28.8" x14ac:dyDescent="0.3">
      <c r="A84" s="63" t="s">
        <v>130</v>
      </c>
      <c r="B84" s="55" t="s">
        <v>131</v>
      </c>
      <c r="C84" s="56" t="s">
        <v>2</v>
      </c>
      <c r="D84" s="57">
        <v>0</v>
      </c>
      <c r="E84" s="41">
        <f>IF(D84="","",_xlfn.XLOOKUP(A84,[5]ריכוז!$A:$A,[5]ריכוז!$D:$D,"אין כזה"))</f>
        <v>1810</v>
      </c>
      <c r="F84" s="10">
        <f t="shared" si="5"/>
        <v>271.5</v>
      </c>
      <c r="G84" s="10">
        <f t="shared" si="6"/>
        <v>90.5</v>
      </c>
      <c r="H84" s="10">
        <f t="shared" si="4"/>
        <v>1615.425</v>
      </c>
      <c r="I84" s="57">
        <f t="shared" si="7"/>
        <v>0</v>
      </c>
      <c r="K84" s="38"/>
    </row>
    <row r="85" spans="1:15" ht="28.2" x14ac:dyDescent="0.3">
      <c r="A85" s="9" t="s">
        <v>204</v>
      </c>
      <c r="B85" s="2" t="s">
        <v>205</v>
      </c>
      <c r="C85" s="3" t="s">
        <v>2</v>
      </c>
      <c r="D85" s="57">
        <v>0</v>
      </c>
      <c r="E85" s="41">
        <v>2200</v>
      </c>
      <c r="F85" s="10">
        <f t="shared" si="5"/>
        <v>330</v>
      </c>
      <c r="G85" s="10">
        <f t="shared" si="6"/>
        <v>110</v>
      </c>
      <c r="H85" s="10">
        <f t="shared" si="4"/>
        <v>1963.5</v>
      </c>
      <c r="I85" s="57">
        <f t="shared" si="7"/>
        <v>0</v>
      </c>
      <c r="K85" s="38"/>
    </row>
    <row r="86" spans="1:15" s="27" customFormat="1" ht="15.6" x14ac:dyDescent="0.3">
      <c r="A86" s="59" t="s">
        <v>132</v>
      </c>
      <c r="B86" s="60" t="s">
        <v>133</v>
      </c>
      <c r="C86" s="61" t="s">
        <v>3</v>
      </c>
      <c r="D86" s="62" t="s">
        <v>3</v>
      </c>
      <c r="E86" s="41" t="str">
        <f>IF(D86="","",_xlfn.XLOOKUP(A86,[5]ריכוז!$A:$A,[5]ריכוז!$D:$D,"אין כזה"))</f>
        <v/>
      </c>
      <c r="F86" s="10" t="str">
        <f t="shared" si="5"/>
        <v/>
      </c>
      <c r="G86" s="10" t="str">
        <f t="shared" si="6"/>
        <v/>
      </c>
      <c r="H86" s="10" t="str">
        <f t="shared" si="4"/>
        <v/>
      </c>
      <c r="I86" s="57" t="str">
        <f t="shared" si="7"/>
        <v/>
      </c>
      <c r="K86" s="38"/>
    </row>
    <row r="87" spans="1:15" s="27" customFormat="1" ht="15.6" x14ac:dyDescent="0.3">
      <c r="A87" s="59" t="s">
        <v>134</v>
      </c>
      <c r="B87" s="60" t="s">
        <v>135</v>
      </c>
      <c r="C87" s="61" t="s">
        <v>3</v>
      </c>
      <c r="D87" s="62" t="s">
        <v>3</v>
      </c>
      <c r="E87" s="41" t="str">
        <f>IF(D87="","",_xlfn.XLOOKUP(A87,[5]ריכוז!$A:$A,[5]ריכוז!$D:$D,"אין כזה"))</f>
        <v/>
      </c>
      <c r="F87" s="10" t="str">
        <f t="shared" si="5"/>
        <v/>
      </c>
      <c r="G87" s="10" t="str">
        <f t="shared" si="6"/>
        <v/>
      </c>
      <c r="H87" s="10" t="str">
        <f t="shared" si="4"/>
        <v/>
      </c>
      <c r="I87" s="57" t="str">
        <f t="shared" si="7"/>
        <v/>
      </c>
      <c r="K87" s="38"/>
    </row>
    <row r="88" spans="1:15" ht="43.2" x14ac:dyDescent="0.3">
      <c r="A88" s="63" t="s">
        <v>136</v>
      </c>
      <c r="B88" s="55" t="s">
        <v>137</v>
      </c>
      <c r="C88" s="56" t="s">
        <v>24</v>
      </c>
      <c r="D88" s="57">
        <v>4.6100000000000003</v>
      </c>
      <c r="E88" s="41">
        <f>IF(D88="","",_xlfn.XLOOKUP(A88,[5]ריכוז!$A:$A,[5]ריכוז!$D:$D,"אין כזה"))</f>
        <v>129.78142076502732</v>
      </c>
      <c r="F88" s="10">
        <f t="shared" si="5"/>
        <v>19.467213114754099</v>
      </c>
      <c r="G88" s="10">
        <f t="shared" si="6"/>
        <v>6.4890710382513666</v>
      </c>
      <c r="H88" s="10">
        <f t="shared" si="4"/>
        <v>115.82991803278689</v>
      </c>
      <c r="I88" s="57">
        <f t="shared" si="7"/>
        <v>533.97592213114763</v>
      </c>
      <c r="K88" s="38"/>
    </row>
    <row r="89" spans="1:15" x14ac:dyDescent="0.3">
      <c r="A89" s="54" t="s">
        <v>138</v>
      </c>
      <c r="B89" s="55" t="s">
        <v>139</v>
      </c>
      <c r="C89" s="56" t="s">
        <v>2</v>
      </c>
      <c r="D89" s="57">
        <v>0</v>
      </c>
      <c r="E89" s="41">
        <f>IF(D89="","",_xlfn.XLOOKUP(A89,[5]ריכוז!$A:$A,[5]ריכוז!$D:$D,"אין כזה"))</f>
        <v>2375.3501400560222</v>
      </c>
      <c r="F89" s="10">
        <f t="shared" si="5"/>
        <v>356.30252100840329</v>
      </c>
      <c r="G89" s="10">
        <f t="shared" si="6"/>
        <v>118.76750700280111</v>
      </c>
      <c r="H89" s="10">
        <f t="shared" si="4"/>
        <v>2120</v>
      </c>
      <c r="I89" s="57">
        <f t="shared" si="7"/>
        <v>0</v>
      </c>
      <c r="K89" s="38"/>
    </row>
    <row r="90" spans="1:15" x14ac:dyDescent="0.3">
      <c r="A90" s="54" t="s">
        <v>140</v>
      </c>
      <c r="B90" s="55" t="s">
        <v>141</v>
      </c>
      <c r="C90" s="56" t="s">
        <v>2</v>
      </c>
      <c r="D90" s="57">
        <v>0</v>
      </c>
      <c r="E90" s="41">
        <f>IF(D90="","",_xlfn.XLOOKUP(A90,[5]ריכוז!$A:$A,[5]ריכוז!$D:$D,"אין כזה"))</f>
        <v>950.14005602240888</v>
      </c>
      <c r="F90" s="10">
        <f t="shared" si="5"/>
        <v>142.52100840336132</v>
      </c>
      <c r="G90" s="10">
        <f t="shared" si="6"/>
        <v>47.50700280112045</v>
      </c>
      <c r="H90" s="10">
        <f t="shared" si="4"/>
        <v>848</v>
      </c>
      <c r="I90" s="57">
        <f t="shared" si="7"/>
        <v>0</v>
      </c>
      <c r="K90" s="38"/>
    </row>
    <row r="91" spans="1:15" ht="28.8" x14ac:dyDescent="0.3">
      <c r="A91" s="54" t="s">
        <v>165</v>
      </c>
      <c r="B91" s="55" t="s">
        <v>166</v>
      </c>
      <c r="C91" s="56" t="s">
        <v>167</v>
      </c>
      <c r="D91" s="96">
        <f>SUM(I17:I20,I25:I27,I29:I30,I32:I34,I36:I38,I42:I45,I64:I65,I89:I90)/0.85/1.05</f>
        <v>25483.704000000002</v>
      </c>
      <c r="E91" s="41">
        <f>IF(D91="","",_xlfn.XLOOKUP(A91,[5]ריכוז!$A:$A,[5]ריכוז!$D:$D,"אין כזה"))</f>
        <v>0.06</v>
      </c>
      <c r="F91" s="10">
        <f t="shared" si="5"/>
        <v>8.9999999999999993E-3</v>
      </c>
      <c r="G91" s="10">
        <f t="shared" si="6"/>
        <v>3.0000000000000001E-3</v>
      </c>
      <c r="H91" s="10">
        <f t="shared" si="4"/>
        <v>5.355E-2</v>
      </c>
      <c r="I91" s="57">
        <f t="shared" si="7"/>
        <v>1364.6523492000001</v>
      </c>
      <c r="K91" s="38"/>
    </row>
    <row r="92" spans="1:15" ht="55.8" x14ac:dyDescent="0.3">
      <c r="A92" s="48" t="s">
        <v>162</v>
      </c>
      <c r="B92" s="2" t="s">
        <v>163</v>
      </c>
      <c r="C92" s="3" t="s">
        <v>164</v>
      </c>
      <c r="D92" s="3">
        <v>0</v>
      </c>
      <c r="E92" s="41">
        <f>IF(D92="","",_xlfn.XLOOKUP(A92,[5]ריכוז!$A:$A,[5]ריכוז!$D:$D,"אין כזה"))</f>
        <v>3500</v>
      </c>
      <c r="F92" s="10">
        <f t="shared" si="5"/>
        <v>525</v>
      </c>
      <c r="G92" s="10">
        <f t="shared" si="6"/>
        <v>175</v>
      </c>
      <c r="H92" s="10">
        <f t="shared" si="4"/>
        <v>3123.75</v>
      </c>
      <c r="I92" s="57">
        <f>H92*D92</f>
        <v>0</v>
      </c>
      <c r="K92" s="38"/>
      <c r="L92"/>
      <c r="M92"/>
      <c r="N92"/>
      <c r="O92"/>
    </row>
    <row r="93" spans="1:15" x14ac:dyDescent="0.3">
      <c r="A93" s="21" t="s">
        <v>3</v>
      </c>
      <c r="B93" s="22" t="s">
        <v>152</v>
      </c>
      <c r="C93" s="23"/>
      <c r="D93" s="24"/>
      <c r="E93" s="25"/>
      <c r="F93" s="24"/>
      <c r="G93" s="24"/>
      <c r="H93" s="24"/>
      <c r="I93" s="31">
        <f>SUMIF(A:A,"01.*",I:I)</f>
        <v>0</v>
      </c>
      <c r="K93"/>
      <c r="L93"/>
      <c r="M93"/>
      <c r="N93"/>
      <c r="O93"/>
    </row>
    <row r="94" spans="1:15" x14ac:dyDescent="0.3">
      <c r="A94" s="21" t="s">
        <v>3</v>
      </c>
      <c r="B94" s="22" t="s">
        <v>153</v>
      </c>
      <c r="C94" s="23"/>
      <c r="D94" s="24"/>
      <c r="E94" s="25"/>
      <c r="F94" s="24"/>
      <c r="G94" s="24"/>
      <c r="H94" s="24"/>
      <c r="I94" s="31">
        <f>SUMIF(A:A,"05.*",I:I)</f>
        <v>0</v>
      </c>
      <c r="K94"/>
      <c r="L94"/>
      <c r="M94"/>
      <c r="N94"/>
      <c r="O94"/>
    </row>
    <row r="95" spans="1:15" x14ac:dyDescent="0.3">
      <c r="A95" s="21" t="s">
        <v>3</v>
      </c>
      <c r="B95" s="22" t="s">
        <v>154</v>
      </c>
      <c r="C95" s="23"/>
      <c r="D95" s="24"/>
      <c r="E95" s="25"/>
      <c r="F95" s="24"/>
      <c r="G95" s="24"/>
      <c r="H95" s="24"/>
      <c r="I95" s="31">
        <f>SUMIF(A:A,"09.*",I:I)</f>
        <v>1718.1695999999999</v>
      </c>
      <c r="K95"/>
      <c r="L95"/>
      <c r="M95"/>
      <c r="N95"/>
      <c r="O95"/>
    </row>
    <row r="96" spans="1:15" x14ac:dyDescent="0.3">
      <c r="A96" s="21" t="s">
        <v>3</v>
      </c>
      <c r="B96" s="22" t="s">
        <v>155</v>
      </c>
      <c r="C96" s="23"/>
      <c r="D96" s="24"/>
      <c r="E96" s="25"/>
      <c r="F96" s="24"/>
      <c r="G96" s="24"/>
      <c r="H96" s="24"/>
      <c r="I96" s="31">
        <f>SUMIF(A:A,"11.*",I:I)</f>
        <v>6318.9</v>
      </c>
      <c r="K96"/>
      <c r="L96"/>
      <c r="M96"/>
      <c r="N96"/>
      <c r="O96"/>
    </row>
    <row r="97" spans="1:15" x14ac:dyDescent="0.3">
      <c r="A97" s="21" t="s">
        <v>3</v>
      </c>
      <c r="B97" s="22" t="s">
        <v>156</v>
      </c>
      <c r="C97" s="23"/>
      <c r="D97" s="24"/>
      <c r="E97" s="25"/>
      <c r="F97" s="24"/>
      <c r="G97" s="24"/>
      <c r="H97" s="24"/>
      <c r="I97" s="31">
        <f>SUMIF(A:A,"12.*",I:I)</f>
        <v>34459.710814199992</v>
      </c>
      <c r="K97"/>
      <c r="L97"/>
      <c r="M97"/>
      <c r="N97"/>
      <c r="O97"/>
    </row>
    <row r="98" spans="1:15" x14ac:dyDescent="0.3">
      <c r="A98" s="21" t="s">
        <v>3</v>
      </c>
      <c r="B98" s="22" t="s">
        <v>157</v>
      </c>
      <c r="C98" s="23"/>
      <c r="D98" s="24"/>
      <c r="E98" s="25"/>
      <c r="F98" s="24"/>
      <c r="G98" s="24"/>
      <c r="H98" s="24"/>
      <c r="I98" s="31">
        <f>SUMIF(A:A,"15.*",I:I)</f>
        <v>0</v>
      </c>
      <c r="K98"/>
      <c r="L98"/>
      <c r="M98"/>
      <c r="N98"/>
      <c r="O98"/>
    </row>
    <row r="99" spans="1:15" x14ac:dyDescent="0.3">
      <c r="A99" s="21"/>
      <c r="B99" s="90" t="s">
        <v>181</v>
      </c>
      <c r="C99" s="23"/>
      <c r="D99" s="24"/>
      <c r="E99" s="25"/>
      <c r="F99" s="24"/>
      <c r="G99" s="24"/>
      <c r="H99" s="24"/>
      <c r="I99" s="31">
        <f>SUMIF(A:A,"30.*",I:I)</f>
        <v>392.70571200000006</v>
      </c>
      <c r="K99"/>
      <c r="L99"/>
      <c r="M99"/>
      <c r="N99"/>
      <c r="O99"/>
    </row>
    <row r="100" spans="1:15" x14ac:dyDescent="0.3">
      <c r="A100" s="21" t="s">
        <v>3</v>
      </c>
      <c r="B100" s="22" t="s">
        <v>158</v>
      </c>
      <c r="C100" s="23"/>
      <c r="D100" s="24"/>
      <c r="E100" s="25"/>
      <c r="F100" s="24"/>
      <c r="G100" s="24"/>
      <c r="H100" s="24"/>
      <c r="I100" s="31">
        <f>SUMIF(A:A,"60.*",I:I)</f>
        <v>2565.9375</v>
      </c>
      <c r="K100"/>
      <c r="L100"/>
      <c r="M100"/>
      <c r="N100"/>
      <c r="O100"/>
    </row>
    <row r="101" spans="1:15" x14ac:dyDescent="0.3">
      <c r="A101" s="21" t="s">
        <v>3</v>
      </c>
      <c r="B101" s="22" t="s">
        <v>159</v>
      </c>
      <c r="C101" s="23"/>
      <c r="D101" s="24"/>
      <c r="E101" s="25"/>
      <c r="F101" s="24"/>
      <c r="G101" s="24"/>
      <c r="H101" s="24"/>
      <c r="I101" s="31">
        <f>SUMIF(A:A,"85.*",I:I)</f>
        <v>533.97592213114763</v>
      </c>
      <c r="K101"/>
      <c r="L101"/>
      <c r="M101"/>
      <c r="N101"/>
      <c r="O101"/>
    </row>
    <row r="102" spans="1:15" x14ac:dyDescent="0.3">
      <c r="A102" s="28" t="s">
        <v>3</v>
      </c>
      <c r="B102" s="29" t="s">
        <v>160</v>
      </c>
      <c r="C102" s="23"/>
      <c r="D102" s="24"/>
      <c r="E102" s="25"/>
      <c r="F102" s="30"/>
      <c r="G102" s="30"/>
      <c r="H102" s="30"/>
      <c r="I102" s="30">
        <f>SUM(I93:I101)</f>
        <v>45989.399548331145</v>
      </c>
      <c r="K102"/>
      <c r="L102"/>
      <c r="M102"/>
      <c r="N102"/>
      <c r="O102"/>
    </row>
    <row r="103" spans="1:15" x14ac:dyDescent="0.3">
      <c r="A103" s="28" t="s">
        <v>3</v>
      </c>
      <c r="B103" s="29" t="s">
        <v>161</v>
      </c>
      <c r="C103" s="23"/>
      <c r="D103" s="24"/>
      <c r="E103" s="25"/>
      <c r="F103" s="30"/>
      <c r="G103" s="30"/>
      <c r="H103" s="30"/>
      <c r="I103" s="30">
        <f t="shared" ref="I103" si="8">(I102 * (1 / 100 * 18))</f>
        <v>8278.0919186996052</v>
      </c>
      <c r="K103"/>
      <c r="L103"/>
      <c r="M103"/>
      <c r="N103"/>
      <c r="O103"/>
    </row>
    <row r="104" spans="1:15" x14ac:dyDescent="0.3">
      <c r="A104" s="32" t="s">
        <v>3</v>
      </c>
      <c r="B104" s="33" t="s">
        <v>160</v>
      </c>
      <c r="C104" s="34"/>
      <c r="D104" s="35"/>
      <c r="E104" s="36"/>
      <c r="F104" s="37"/>
      <c r="G104" s="37"/>
      <c r="H104" s="37"/>
      <c r="I104" s="37">
        <f t="shared" ref="I104" si="9">I102 + I103</f>
        <v>54267.491467030748</v>
      </c>
      <c r="K104"/>
      <c r="L104"/>
      <c r="M104"/>
      <c r="N104"/>
      <c r="O104"/>
    </row>
  </sheetData>
  <conditionalFormatting sqref="A7:D43 C44:D44 A45:D84">
    <cfRule type="expression" dxfId="26" priority="2">
      <formula>$K7="אין"</formula>
    </cfRule>
  </conditionalFormatting>
  <conditionalFormatting sqref="F7:K92 D85 A86:D90 A92:D92 A91:C91">
    <cfRule type="expression" dxfId="25" priority="3">
      <formula>$K7="אין"</formula>
    </cfRule>
  </conditionalFormatting>
  <conditionalFormatting sqref="D91">
    <cfRule type="expression" dxfId="8" priority="1">
      <formula>$K91="אין"</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257D8-C387-4728-998B-6BC47BCB9BB4}">
  <sheetPr>
    <tabColor rgb="FFFFFF00"/>
  </sheetPr>
  <dimension ref="A1:O105"/>
  <sheetViews>
    <sheetView rightToLeft="1" topLeftCell="A52" zoomScale="85" zoomScaleNormal="85" workbookViewId="0">
      <selection activeCell="B53" sqref="B53"/>
    </sheetView>
  </sheetViews>
  <sheetFormatPr defaultColWidth="8.69921875" defaultRowHeight="14.4" x14ac:dyDescent="0.3"/>
  <cols>
    <col min="1" max="1" width="11.69921875" style="38" customWidth="1"/>
    <col min="2" max="2" width="63" style="13" customWidth="1"/>
    <col min="3" max="3" width="8.19921875" style="39" customWidth="1"/>
    <col min="4" max="4" width="10.09765625" style="14" customWidth="1"/>
    <col min="5" max="5" width="11.19921875" style="15" bestFit="1" customWidth="1"/>
    <col min="6" max="6" width="10.19921875" style="14" customWidth="1"/>
    <col min="7" max="7" width="12.19921875" style="14" customWidth="1"/>
    <col min="8" max="8" width="14" style="13" bestFit="1" customWidth="1"/>
    <col min="9" max="9" width="13.3984375" style="13" bestFit="1" customWidth="1"/>
    <col min="10" max="10" width="8.69921875" style="13"/>
    <col min="11" max="11" width="13.19921875" style="13" bestFit="1" customWidth="1"/>
    <col min="12" max="12" width="11.19921875" style="13" bestFit="1" customWidth="1"/>
    <col min="13" max="16384" width="8.69921875" style="13"/>
  </cols>
  <sheetData>
    <row r="1" spans="1:11" ht="17.399999999999999" x14ac:dyDescent="0.3">
      <c r="A1" s="12"/>
      <c r="C1" s="89" t="s">
        <v>230</v>
      </c>
      <c r="D1" s="40">
        <v>1695</v>
      </c>
    </row>
    <row r="3" spans="1:11" ht="21" x14ac:dyDescent="0.4">
      <c r="A3" s="16"/>
      <c r="B3" s="17"/>
      <c r="C3" s="18"/>
      <c r="D3" s="19"/>
      <c r="E3" s="20"/>
      <c r="F3" s="19"/>
      <c r="G3" s="19"/>
      <c r="H3" s="19"/>
      <c r="I3" s="19"/>
    </row>
    <row r="4" spans="1:11" x14ac:dyDescent="0.3">
      <c r="A4" s="21"/>
      <c r="B4" s="22"/>
      <c r="C4" s="23"/>
      <c r="D4" s="24"/>
      <c r="E4" s="25"/>
      <c r="F4" s="24"/>
      <c r="G4" s="24"/>
      <c r="H4" s="24"/>
      <c r="I4" s="24"/>
    </row>
    <row r="5" spans="1:11" ht="15" thickBot="1" x14ac:dyDescent="0.35">
      <c r="A5" s="21"/>
      <c r="B5" s="22"/>
      <c r="C5" s="23"/>
      <c r="D5" s="24"/>
      <c r="E5" s="25"/>
      <c r="F5" s="24"/>
      <c r="G5" s="26"/>
      <c r="H5" s="26"/>
      <c r="I5" s="24"/>
    </row>
    <row r="6" spans="1:11" ht="29.4" thickTop="1" x14ac:dyDescent="0.3">
      <c r="A6" s="50" t="s">
        <v>0</v>
      </c>
      <c r="B6" s="51" t="s">
        <v>1</v>
      </c>
      <c r="C6" s="52" t="s">
        <v>2</v>
      </c>
      <c r="D6" s="53" t="s">
        <v>147</v>
      </c>
      <c r="E6" s="66" t="s">
        <v>142</v>
      </c>
      <c r="F6" s="66" t="s">
        <v>143</v>
      </c>
      <c r="G6" s="66" t="s">
        <v>144</v>
      </c>
      <c r="H6" s="66" t="s">
        <v>145</v>
      </c>
      <c r="I6" s="53" t="s">
        <v>151</v>
      </c>
    </row>
    <row r="7" spans="1:11" x14ac:dyDescent="0.3">
      <c r="A7" s="63" t="s">
        <v>179</v>
      </c>
      <c r="B7" s="55" t="s">
        <v>180</v>
      </c>
      <c r="C7" s="56" t="s">
        <v>125</v>
      </c>
      <c r="D7" s="14">
        <v>2</v>
      </c>
      <c r="E7" s="41">
        <f>IF(D7="","",_xlfn.XLOOKUP(A7,[5]ריכוז!$A:$A,[5]ריכוז!$D:$D,"אין כזה"))</f>
        <v>150</v>
      </c>
      <c r="F7" s="10">
        <f>IF(E7="","",E7*0.15)</f>
        <v>22.5</v>
      </c>
      <c r="G7" s="10">
        <f>IF(E7="","",E7*0.05)</f>
        <v>7.5</v>
      </c>
      <c r="H7" s="10">
        <f>IF(E7="","",E7*1.05*0.85)</f>
        <v>133.875</v>
      </c>
      <c r="I7" s="57">
        <f>IF(D7="","",H7*D7)</f>
        <v>267.75</v>
      </c>
      <c r="K7" s="38"/>
    </row>
    <row r="8" spans="1:11" s="27" customFormat="1" ht="15.6" x14ac:dyDescent="0.3">
      <c r="A8" s="59" t="s">
        <v>5</v>
      </c>
      <c r="B8" s="60" t="s">
        <v>6</v>
      </c>
      <c r="C8" s="61" t="s">
        <v>3</v>
      </c>
      <c r="D8" s="62" t="s">
        <v>3</v>
      </c>
      <c r="E8" s="41" t="str">
        <f>IF(D8="","",_xlfn.XLOOKUP(A8,[5]ריכוז!$A:$A,[5]ריכוז!$D:$D,"אין כזה"))</f>
        <v/>
      </c>
      <c r="F8" s="62" t="s">
        <v>3</v>
      </c>
      <c r="G8" s="62"/>
      <c r="H8" s="10" t="str">
        <f t="shared" ref="H8:H77" si="0">IF(E8="","",E8*1.05*0.85)</f>
        <v/>
      </c>
      <c r="I8" s="62"/>
      <c r="K8" s="38"/>
    </row>
    <row r="9" spans="1:11" s="27" customFormat="1" ht="15.6" x14ac:dyDescent="0.3">
      <c r="A9" s="59" t="s">
        <v>7</v>
      </c>
      <c r="B9" s="60" t="s">
        <v>8</v>
      </c>
      <c r="C9" s="61" t="s">
        <v>3</v>
      </c>
      <c r="D9" s="62" t="s">
        <v>3</v>
      </c>
      <c r="E9" s="41" t="str">
        <f>IF(D9="","",_xlfn.XLOOKUP(A9,[5]ריכוז!$A:$A,[5]ריכוז!$D:$D,"אין כזה"))</f>
        <v/>
      </c>
      <c r="F9" s="62" t="s">
        <v>3</v>
      </c>
      <c r="G9" s="62"/>
      <c r="H9" s="10" t="str">
        <f t="shared" si="0"/>
        <v/>
      </c>
      <c r="I9" s="62"/>
      <c r="K9" s="38"/>
    </row>
    <row r="10" spans="1:11" ht="57.6" x14ac:dyDescent="0.3">
      <c r="A10" s="63" t="s">
        <v>9</v>
      </c>
      <c r="B10" s="55" t="s">
        <v>10</v>
      </c>
      <c r="C10" s="56" t="s">
        <v>4</v>
      </c>
      <c r="D10" s="57">
        <v>30.91</v>
      </c>
      <c r="E10" s="41">
        <f>IF(D10="","",_xlfn.XLOOKUP(A10,[5]ריכוז!$A:$A,[5]ריכוז!$D:$D,"אין כזה"))</f>
        <v>64</v>
      </c>
      <c r="F10" s="10">
        <f>IF(E10="","",E10*0.15)</f>
        <v>9.6</v>
      </c>
      <c r="G10" s="10">
        <f>IF(E10="","",E10*0.05)</f>
        <v>3.2</v>
      </c>
      <c r="H10" s="10">
        <f t="shared" si="0"/>
        <v>57.12</v>
      </c>
      <c r="I10" s="57">
        <f>IF(D10="","",H10*D10)</f>
        <v>1765.5791999999999</v>
      </c>
      <c r="K10" s="38"/>
    </row>
    <row r="11" spans="1:11" s="27" customFormat="1" ht="15.6" x14ac:dyDescent="0.3">
      <c r="A11" s="59" t="s">
        <v>11</v>
      </c>
      <c r="B11" s="60" t="s">
        <v>12</v>
      </c>
      <c r="C11" s="61" t="s">
        <v>3</v>
      </c>
      <c r="D11" s="62" t="s">
        <v>3</v>
      </c>
      <c r="E11" s="41" t="str">
        <f>IF(D11="","",_xlfn.XLOOKUP(A11,[5]ריכוז!$A:$A,[5]ריכוז!$D:$D,"אין כזה"))</f>
        <v/>
      </c>
      <c r="F11" s="10" t="str">
        <f t="shared" ref="F11:F82" si="1">IF(E11="","",E11*0.15)</f>
        <v/>
      </c>
      <c r="G11" s="10" t="str">
        <f t="shared" ref="G11:G82" si="2">IF(E11="","",E11*0.05)</f>
        <v/>
      </c>
      <c r="H11" s="10" t="str">
        <f t="shared" si="0"/>
        <v/>
      </c>
      <c r="I11" s="57" t="str">
        <f t="shared" ref="I11:I82" si="3">IF(D11="","",H11*D11)</f>
        <v/>
      </c>
      <c r="K11" s="38"/>
    </row>
    <row r="12" spans="1:11" s="27" customFormat="1" ht="15.6" x14ac:dyDescent="0.3">
      <c r="A12" s="59" t="s">
        <v>13</v>
      </c>
      <c r="B12" s="60" t="s">
        <v>14</v>
      </c>
      <c r="C12" s="61" t="s">
        <v>3</v>
      </c>
      <c r="D12" s="62" t="s">
        <v>3</v>
      </c>
      <c r="E12" s="41" t="str">
        <f>IF(D12="","",_xlfn.XLOOKUP(A12,[5]ריכוז!$A:$A,[5]ריכוז!$D:$D,"אין כזה"))</f>
        <v/>
      </c>
      <c r="F12" s="10" t="str">
        <f t="shared" si="1"/>
        <v/>
      </c>
      <c r="G12" s="10" t="str">
        <f t="shared" si="2"/>
        <v/>
      </c>
      <c r="H12" s="10" t="str">
        <f t="shared" si="0"/>
        <v/>
      </c>
      <c r="I12" s="57" t="str">
        <f t="shared" si="3"/>
        <v/>
      </c>
      <c r="K12" s="38"/>
    </row>
    <row r="13" spans="1:11" ht="43.2" x14ac:dyDescent="0.3">
      <c r="A13" s="63" t="s">
        <v>15</v>
      </c>
      <c r="B13" s="55" t="s">
        <v>16</v>
      </c>
      <c r="C13" s="56" t="s">
        <v>17</v>
      </c>
      <c r="D13" s="57">
        <v>3</v>
      </c>
      <c r="E13" s="41">
        <f>IF(D13="","",_xlfn.XLOOKUP(A13,[5]ריכוז!$A:$A,[5]ריכוז!$D:$D,"אין כזה"))</f>
        <v>1770</v>
      </c>
      <c r="F13" s="10">
        <f t="shared" si="1"/>
        <v>265.5</v>
      </c>
      <c r="G13" s="10">
        <f t="shared" si="2"/>
        <v>88.5</v>
      </c>
      <c r="H13" s="10">
        <f t="shared" si="0"/>
        <v>1579.7249999999999</v>
      </c>
      <c r="I13" s="57">
        <f t="shared" si="3"/>
        <v>4739.1749999999993</v>
      </c>
      <c r="K13" s="38"/>
    </row>
    <row r="14" spans="1:11" x14ac:dyDescent="0.3">
      <c r="A14" s="54"/>
      <c r="B14" s="55"/>
      <c r="C14" s="56"/>
      <c r="D14" s="57"/>
      <c r="E14" s="41" t="str">
        <f>IF(D14="","",_xlfn.XLOOKUP(A14,[5]ריכוז!$A:$A,[5]ריכוז!$D:$D,"אין כזה"))</f>
        <v/>
      </c>
      <c r="F14" s="10" t="str">
        <f t="shared" si="1"/>
        <v/>
      </c>
      <c r="G14" s="10" t="str">
        <f t="shared" si="2"/>
        <v/>
      </c>
      <c r="H14" s="10" t="str">
        <f t="shared" si="0"/>
        <v/>
      </c>
      <c r="I14" s="57" t="str">
        <f t="shared" si="3"/>
        <v/>
      </c>
      <c r="K14" s="38"/>
    </row>
    <row r="15" spans="1:11" s="27" customFormat="1" ht="15.6" x14ac:dyDescent="0.3">
      <c r="A15" s="59" t="s">
        <v>18</v>
      </c>
      <c r="B15" s="60" t="s">
        <v>19</v>
      </c>
      <c r="C15" s="61" t="s">
        <v>3</v>
      </c>
      <c r="D15" s="62" t="s">
        <v>3</v>
      </c>
      <c r="E15" s="41" t="str">
        <f>IF(D15="","",_xlfn.XLOOKUP(A15,[5]ריכוז!$A:$A,[5]ריכוז!$D:$D,"אין כזה"))</f>
        <v/>
      </c>
      <c r="F15" s="10" t="str">
        <f t="shared" si="1"/>
        <v/>
      </c>
      <c r="G15" s="10" t="str">
        <f t="shared" si="2"/>
        <v/>
      </c>
      <c r="H15" s="10" t="str">
        <f t="shared" si="0"/>
        <v/>
      </c>
      <c r="I15" s="57" t="str">
        <f t="shared" si="3"/>
        <v/>
      </c>
      <c r="K15" s="38"/>
    </row>
    <row r="16" spans="1:11" s="27" customFormat="1" ht="15.6" x14ac:dyDescent="0.3">
      <c r="A16" s="59" t="s">
        <v>20</v>
      </c>
      <c r="B16" s="60" t="s">
        <v>21</v>
      </c>
      <c r="C16" s="61" t="s">
        <v>3</v>
      </c>
      <c r="D16" s="62" t="s">
        <v>3</v>
      </c>
      <c r="E16" s="41" t="str">
        <f>IF(D16="","",_xlfn.XLOOKUP(A16,[5]ריכוז!$A:$A,[5]ריכוז!$D:$D,"אין כזה"))</f>
        <v/>
      </c>
      <c r="F16" s="10" t="str">
        <f t="shared" si="1"/>
        <v/>
      </c>
      <c r="G16" s="10" t="str">
        <f t="shared" si="2"/>
        <v/>
      </c>
      <c r="H16" s="10" t="str">
        <f t="shared" si="0"/>
        <v/>
      </c>
      <c r="I16" s="57" t="str">
        <f t="shared" si="3"/>
        <v/>
      </c>
      <c r="K16" s="38"/>
    </row>
    <row r="17" spans="1:11" ht="28.8" x14ac:dyDescent="0.3">
      <c r="A17" s="63" t="s">
        <v>22</v>
      </c>
      <c r="B17" s="55" t="s">
        <v>23</v>
      </c>
      <c r="C17" s="56" t="s">
        <v>24</v>
      </c>
      <c r="D17" s="138">
        <v>0</v>
      </c>
      <c r="E17" s="41">
        <f>IF(D17="","",_xlfn.XLOOKUP(A17,[5]ריכוז!$A:$A,[5]ריכוז!$D:$D,"אין כזה"))</f>
        <v>1760</v>
      </c>
      <c r="F17" s="10">
        <f t="shared" si="1"/>
        <v>264</v>
      </c>
      <c r="G17" s="10">
        <f t="shared" si="2"/>
        <v>88</v>
      </c>
      <c r="H17" s="10">
        <f t="shared" si="0"/>
        <v>1570.8</v>
      </c>
      <c r="I17" s="57">
        <f t="shared" si="3"/>
        <v>0</v>
      </c>
      <c r="K17" s="38"/>
    </row>
    <row r="18" spans="1:11" ht="44.4" customHeight="1" x14ac:dyDescent="0.3">
      <c r="A18" s="63" t="s">
        <v>25</v>
      </c>
      <c r="B18" s="55" t="s">
        <v>26</v>
      </c>
      <c r="C18" s="56" t="s">
        <v>24</v>
      </c>
      <c r="D18" s="138">
        <v>10.050000000000001</v>
      </c>
      <c r="E18" s="41">
        <f>IF(D18="","",_xlfn.XLOOKUP(A18,[5]ריכוז!$A:$A,[5]ריכוז!$D:$D,"אין כזה"))</f>
        <v>1980</v>
      </c>
      <c r="F18" s="10">
        <f t="shared" si="1"/>
        <v>297</v>
      </c>
      <c r="G18" s="10">
        <f t="shared" si="2"/>
        <v>99</v>
      </c>
      <c r="H18" s="10">
        <f t="shared" si="0"/>
        <v>1767.1499999999999</v>
      </c>
      <c r="I18" s="57">
        <f t="shared" si="3"/>
        <v>17759.857499999998</v>
      </c>
      <c r="K18" s="38"/>
    </row>
    <row r="19" spans="1:11" ht="28.8" x14ac:dyDescent="0.3">
      <c r="A19" s="63" t="s">
        <v>27</v>
      </c>
      <c r="B19" s="55" t="s">
        <v>28</v>
      </c>
      <c r="C19" s="56" t="s">
        <v>24</v>
      </c>
      <c r="D19" s="57">
        <v>0</v>
      </c>
      <c r="E19" s="41">
        <f>IF(D19="","",_xlfn.XLOOKUP(A19,[5]ריכוז!$A:$A,[5]ריכוז!$D:$D,"אין כזה"))</f>
        <v>2210</v>
      </c>
      <c r="F19" s="10">
        <f t="shared" si="1"/>
        <v>331.5</v>
      </c>
      <c r="G19" s="10">
        <f t="shared" si="2"/>
        <v>110.5</v>
      </c>
      <c r="H19" s="10">
        <f t="shared" si="0"/>
        <v>1972.425</v>
      </c>
      <c r="I19" s="57">
        <f t="shared" si="3"/>
        <v>0</v>
      </c>
      <c r="K19" s="38"/>
    </row>
    <row r="20" spans="1:11" ht="28.8" x14ac:dyDescent="0.3">
      <c r="A20" s="63" t="s">
        <v>29</v>
      </c>
      <c r="B20" s="55" t="s">
        <v>30</v>
      </c>
      <c r="C20" s="56" t="s">
        <v>17</v>
      </c>
      <c r="D20" s="57">
        <f>6.34*E18</f>
        <v>12553.199999999999</v>
      </c>
      <c r="E20" s="42">
        <f>IF(D20="","",_xlfn.XLOOKUP(A20,[5]ריכוז!$A:$A,[5]ריכוז!$D:$D,"אין כזה"))</f>
        <v>0.15</v>
      </c>
      <c r="F20" s="10">
        <f t="shared" si="1"/>
        <v>2.2499999999999999E-2</v>
      </c>
      <c r="G20" s="10">
        <f t="shared" si="2"/>
        <v>7.4999999999999997E-3</v>
      </c>
      <c r="H20" s="10">
        <f t="shared" si="0"/>
        <v>0.13387499999999999</v>
      </c>
      <c r="I20" s="57">
        <f t="shared" si="3"/>
        <v>1680.5596499999997</v>
      </c>
      <c r="K20" s="38"/>
    </row>
    <row r="21" spans="1:11" x14ac:dyDescent="0.3">
      <c r="A21" s="63" t="s">
        <v>31</v>
      </c>
      <c r="B21" s="55" t="s">
        <v>32</v>
      </c>
      <c r="C21" s="56" t="s">
        <v>2</v>
      </c>
      <c r="D21" s="138">
        <v>0</v>
      </c>
      <c r="E21" s="41">
        <f>IF(D21="","",_xlfn.XLOOKUP(A21,[5]ריכוז!$A:$A,[5]ריכוז!$D:$D,"אין כזה"))</f>
        <v>140</v>
      </c>
      <c r="F21" s="10">
        <f t="shared" si="1"/>
        <v>21</v>
      </c>
      <c r="G21" s="10">
        <f t="shared" si="2"/>
        <v>7</v>
      </c>
      <c r="H21" s="10">
        <f t="shared" si="0"/>
        <v>124.95</v>
      </c>
      <c r="I21" s="57">
        <f t="shared" si="3"/>
        <v>0</v>
      </c>
      <c r="K21" s="38"/>
    </row>
    <row r="22" spans="1:11" x14ac:dyDescent="0.3">
      <c r="A22" s="63" t="s">
        <v>33</v>
      </c>
      <c r="B22" s="55" t="s">
        <v>34</v>
      </c>
      <c r="C22" s="56" t="s">
        <v>2</v>
      </c>
      <c r="D22" s="138">
        <v>2</v>
      </c>
      <c r="E22" s="41">
        <f>IF(D22="","",_xlfn.XLOOKUP(A22,[5]ריכוז!$A:$A,[5]ריכוז!$D:$D,"אין כזה"))</f>
        <v>240</v>
      </c>
      <c r="F22" s="10">
        <f t="shared" si="1"/>
        <v>36</v>
      </c>
      <c r="G22" s="10">
        <f t="shared" si="2"/>
        <v>12</v>
      </c>
      <c r="H22" s="10">
        <f t="shared" si="0"/>
        <v>214.2</v>
      </c>
      <c r="I22" s="57">
        <f t="shared" si="3"/>
        <v>428.4</v>
      </c>
      <c r="K22" s="38"/>
    </row>
    <row r="23" spans="1:11" x14ac:dyDescent="0.3">
      <c r="A23" s="63" t="s">
        <v>35</v>
      </c>
      <c r="B23" s="55" t="s">
        <v>36</v>
      </c>
      <c r="C23" s="56" t="s">
        <v>2</v>
      </c>
      <c r="D23" s="57">
        <v>1</v>
      </c>
      <c r="E23" s="41">
        <f>IF(D23="","",_xlfn.XLOOKUP(A23,[5]ריכוז!$A:$A,[5]ריכוז!$D:$D,"אין כזה"))</f>
        <v>310</v>
      </c>
      <c r="F23" s="10">
        <f t="shared" si="1"/>
        <v>46.5</v>
      </c>
      <c r="G23" s="10">
        <f t="shared" si="2"/>
        <v>15.5</v>
      </c>
      <c r="H23" s="10">
        <f t="shared" si="0"/>
        <v>276.67500000000001</v>
      </c>
      <c r="I23" s="57">
        <f t="shared" si="3"/>
        <v>276.67500000000001</v>
      </c>
      <c r="K23" s="38"/>
    </row>
    <row r="24" spans="1:11" s="27" customFormat="1" ht="15.6" x14ac:dyDescent="0.3">
      <c r="A24" s="59" t="s">
        <v>37</v>
      </c>
      <c r="B24" s="60" t="s">
        <v>38</v>
      </c>
      <c r="C24" s="61" t="s">
        <v>3</v>
      </c>
      <c r="D24" s="62" t="s">
        <v>3</v>
      </c>
      <c r="E24" s="41" t="str">
        <f>IF(D24="","",_xlfn.XLOOKUP(A24,[5]ריכוז!$A:$A,[5]ריכוז!$D:$D,"אין כזה"))</f>
        <v/>
      </c>
      <c r="F24" s="10" t="str">
        <f t="shared" si="1"/>
        <v/>
      </c>
      <c r="G24" s="10" t="str">
        <f t="shared" si="2"/>
        <v/>
      </c>
      <c r="H24" s="10" t="str">
        <f t="shared" si="0"/>
        <v/>
      </c>
      <c r="I24" s="57" t="str">
        <f t="shared" si="3"/>
        <v/>
      </c>
      <c r="K24" s="38"/>
    </row>
    <row r="25" spans="1:11" ht="28.8" x14ac:dyDescent="0.3">
      <c r="A25" s="63" t="s">
        <v>39</v>
      </c>
      <c r="B25" s="55" t="s">
        <v>40</v>
      </c>
      <c r="C25" s="56" t="s">
        <v>24</v>
      </c>
      <c r="D25" s="57">
        <v>0</v>
      </c>
      <c r="E25" s="41">
        <f>IF(D25="","",_xlfn.XLOOKUP(A25,[5]ריכוז!$A:$A,[5]ריכוז!$D:$D,"אין כזה"))</f>
        <v>2220</v>
      </c>
      <c r="F25" s="10">
        <f t="shared" si="1"/>
        <v>333</v>
      </c>
      <c r="G25" s="10">
        <f t="shared" si="2"/>
        <v>111</v>
      </c>
      <c r="H25" s="10">
        <f t="shared" si="0"/>
        <v>1981.35</v>
      </c>
      <c r="I25" s="57">
        <f t="shared" si="3"/>
        <v>0</v>
      </c>
      <c r="K25" s="38"/>
    </row>
    <row r="26" spans="1:11" ht="28.8" x14ac:dyDescent="0.3">
      <c r="A26" s="63" t="s">
        <v>188</v>
      </c>
      <c r="B26" s="55" t="s">
        <v>40</v>
      </c>
      <c r="C26" s="56" t="s">
        <v>24</v>
      </c>
      <c r="D26" s="57">
        <v>0</v>
      </c>
      <c r="E26" s="41">
        <f>IF(D26="","",_xlfn.XLOOKUP(A26,[5]ריכוז!$A:$A,[5]ריכוז!$D:$D,"אין כזה"))</f>
        <v>2790</v>
      </c>
      <c r="F26" s="10">
        <f t="shared" si="1"/>
        <v>418.5</v>
      </c>
      <c r="G26" s="10">
        <f t="shared" si="2"/>
        <v>139.5</v>
      </c>
      <c r="H26" s="10">
        <f t="shared" si="0"/>
        <v>2490.0749999999998</v>
      </c>
      <c r="I26" s="57">
        <f t="shared" si="3"/>
        <v>0</v>
      </c>
      <c r="K26" s="38"/>
    </row>
    <row r="27" spans="1:11" ht="28.8" x14ac:dyDescent="0.3">
      <c r="A27" s="63" t="s">
        <v>41</v>
      </c>
      <c r="B27" s="55" t="s">
        <v>42</v>
      </c>
      <c r="C27" s="56" t="s">
        <v>24</v>
      </c>
      <c r="D27" s="57">
        <v>0</v>
      </c>
      <c r="E27" s="41">
        <f>IF(D27="","",_xlfn.XLOOKUP(A27,[5]ריכוז!$A:$A,[5]ריכוז!$D:$D,"אין כזה"))</f>
        <v>2700</v>
      </c>
      <c r="F27" s="10">
        <f t="shared" si="1"/>
        <v>405</v>
      </c>
      <c r="G27" s="10">
        <f t="shared" si="2"/>
        <v>135</v>
      </c>
      <c r="H27" s="10">
        <f t="shared" si="0"/>
        <v>2409.75</v>
      </c>
      <c r="I27" s="57">
        <f t="shared" si="3"/>
        <v>0</v>
      </c>
      <c r="K27" s="38"/>
    </row>
    <row r="28" spans="1:11" s="27" customFormat="1" ht="15.6" x14ac:dyDescent="0.3">
      <c r="A28" s="59" t="s">
        <v>43</v>
      </c>
      <c r="B28" s="60" t="s">
        <v>44</v>
      </c>
      <c r="C28" s="61" t="s">
        <v>3</v>
      </c>
      <c r="D28" s="62" t="s">
        <v>3</v>
      </c>
      <c r="E28" s="41" t="str">
        <f>IF(D28="","",_xlfn.XLOOKUP(A28,[5]ריכוז!$A:$A,[5]ריכוז!$D:$D,"אין כזה"))</f>
        <v/>
      </c>
      <c r="F28" s="10" t="str">
        <f t="shared" si="1"/>
        <v/>
      </c>
      <c r="G28" s="10" t="str">
        <f t="shared" si="2"/>
        <v/>
      </c>
      <c r="H28" s="10" t="str">
        <f t="shared" si="0"/>
        <v/>
      </c>
      <c r="I28" s="57" t="str">
        <f t="shared" si="3"/>
        <v/>
      </c>
      <c r="K28" s="38"/>
    </row>
    <row r="29" spans="1:11" ht="28.8" x14ac:dyDescent="0.3">
      <c r="A29" s="63" t="s">
        <v>45</v>
      </c>
      <c r="B29" s="55" t="s">
        <v>46</v>
      </c>
      <c r="C29" s="56" t="s">
        <v>2</v>
      </c>
      <c r="D29" s="57">
        <v>0</v>
      </c>
      <c r="E29" s="41">
        <f>IF(D29="","",_xlfn.XLOOKUP(A29,[5]ריכוז!$A:$A,[5]ריכוז!$D:$D,"אין כזה"))</f>
        <v>1310</v>
      </c>
      <c r="F29" s="10">
        <f t="shared" si="1"/>
        <v>196.5</v>
      </c>
      <c r="G29" s="10">
        <f t="shared" si="2"/>
        <v>65.5</v>
      </c>
      <c r="H29" s="10">
        <f t="shared" si="0"/>
        <v>1169.175</v>
      </c>
      <c r="I29" s="57">
        <f t="shared" si="3"/>
        <v>0</v>
      </c>
      <c r="K29" s="38"/>
    </row>
    <row r="30" spans="1:11" ht="28.8" x14ac:dyDescent="0.3">
      <c r="A30" s="63" t="s">
        <v>47</v>
      </c>
      <c r="B30" s="55" t="s">
        <v>48</v>
      </c>
      <c r="C30" s="56" t="s">
        <v>2</v>
      </c>
      <c r="D30" s="57">
        <v>0</v>
      </c>
      <c r="E30" s="41">
        <f>IF(D30="","",_xlfn.XLOOKUP(A30,[5]ריכוז!$A:$A,[5]ריכוז!$D:$D,"אין כזה"))</f>
        <v>2090</v>
      </c>
      <c r="F30" s="10">
        <f t="shared" si="1"/>
        <v>313.5</v>
      </c>
      <c r="G30" s="10">
        <f t="shared" si="2"/>
        <v>104.5</v>
      </c>
      <c r="H30" s="10">
        <f t="shared" si="0"/>
        <v>1865.325</v>
      </c>
      <c r="I30" s="57">
        <f t="shared" si="3"/>
        <v>0</v>
      </c>
      <c r="K30" s="38"/>
    </row>
    <row r="31" spans="1:11" s="27" customFormat="1" ht="15.6" x14ac:dyDescent="0.3">
      <c r="A31" s="59" t="s">
        <v>50</v>
      </c>
      <c r="B31" s="60" t="s">
        <v>51</v>
      </c>
      <c r="C31" s="61" t="s">
        <v>3</v>
      </c>
      <c r="D31" s="62" t="s">
        <v>3</v>
      </c>
      <c r="E31" s="41" t="str">
        <f>IF(D31="","",_xlfn.XLOOKUP(A31,[5]ריכוז!$A:$A,[5]ריכוז!$D:$D,"אין כזה"))</f>
        <v/>
      </c>
      <c r="F31" s="10" t="str">
        <f t="shared" si="1"/>
        <v/>
      </c>
      <c r="G31" s="10" t="str">
        <f t="shared" si="2"/>
        <v/>
      </c>
      <c r="H31" s="10" t="str">
        <f t="shared" si="0"/>
        <v/>
      </c>
      <c r="I31" s="57" t="str">
        <f t="shared" si="3"/>
        <v/>
      </c>
      <c r="K31" s="38"/>
    </row>
    <row r="32" spans="1:11" ht="28.8" x14ac:dyDescent="0.3">
      <c r="A32" s="63" t="s">
        <v>52</v>
      </c>
      <c r="B32" s="55" t="s">
        <v>53</v>
      </c>
      <c r="C32" s="56" t="s">
        <v>24</v>
      </c>
      <c r="D32" s="57">
        <v>6.3250000000000002</v>
      </c>
      <c r="E32" s="41">
        <f>IF(D32="","",_xlfn.XLOOKUP(A32,[5]ריכוז!$A:$A,[5]ריכוז!$D:$D,"אין כזה"))</f>
        <v>1760</v>
      </c>
      <c r="F32" s="10">
        <f t="shared" si="1"/>
        <v>264</v>
      </c>
      <c r="G32" s="10">
        <f t="shared" si="2"/>
        <v>88</v>
      </c>
      <c r="H32" s="10">
        <f t="shared" si="0"/>
        <v>1570.8</v>
      </c>
      <c r="I32" s="57">
        <f t="shared" si="3"/>
        <v>9935.31</v>
      </c>
      <c r="K32" s="38"/>
    </row>
    <row r="33" spans="1:11" ht="28.8" x14ac:dyDescent="0.3">
      <c r="A33" s="63" t="s">
        <v>54</v>
      </c>
      <c r="B33" s="55" t="s">
        <v>55</v>
      </c>
      <c r="C33" s="56" t="s">
        <v>24</v>
      </c>
      <c r="D33" s="57">
        <v>0</v>
      </c>
      <c r="E33" s="41">
        <f>IF(D33="","",_xlfn.XLOOKUP(A33,[5]ריכוז!$A:$A,[5]ריכוז!$D:$D,"אין כזה"))</f>
        <v>1850</v>
      </c>
      <c r="F33" s="10">
        <f t="shared" si="1"/>
        <v>277.5</v>
      </c>
      <c r="G33" s="10">
        <f t="shared" si="2"/>
        <v>92.5</v>
      </c>
      <c r="H33" s="10">
        <f t="shared" si="0"/>
        <v>1651.125</v>
      </c>
      <c r="I33" s="57">
        <f t="shared" si="3"/>
        <v>0</v>
      </c>
      <c r="K33" s="38"/>
    </row>
    <row r="34" spans="1:11" ht="28.8" x14ac:dyDescent="0.3">
      <c r="A34" s="63" t="s">
        <v>56</v>
      </c>
      <c r="B34" s="55" t="s">
        <v>57</v>
      </c>
      <c r="C34" s="56" t="s">
        <v>24</v>
      </c>
      <c r="D34" s="57">
        <v>0</v>
      </c>
      <c r="E34" s="41">
        <f>IF(D34="","",_xlfn.XLOOKUP(A34,[5]ריכוז!$A:$A,[5]ריכוז!$D:$D,"אין כזה"))</f>
        <v>1680</v>
      </c>
      <c r="F34" s="10">
        <f t="shared" si="1"/>
        <v>252</v>
      </c>
      <c r="G34" s="10">
        <f t="shared" si="2"/>
        <v>84</v>
      </c>
      <c r="H34" s="10">
        <f t="shared" si="0"/>
        <v>1499.3999999999999</v>
      </c>
      <c r="I34" s="57">
        <f t="shared" si="3"/>
        <v>0</v>
      </c>
      <c r="K34" s="38"/>
    </row>
    <row r="35" spans="1:11" s="27" customFormat="1" ht="15.6" x14ac:dyDescent="0.3">
      <c r="A35" s="59" t="s">
        <v>58</v>
      </c>
      <c r="B35" s="60" t="s">
        <v>59</v>
      </c>
      <c r="C35" s="61" t="s">
        <v>3</v>
      </c>
      <c r="D35" s="62" t="s">
        <v>3</v>
      </c>
      <c r="E35" s="41" t="str">
        <f>IF(D35="","",_xlfn.XLOOKUP(A35,[5]ריכוז!$A:$A,[5]ריכוז!$D:$D,"אין כזה"))</f>
        <v/>
      </c>
      <c r="F35" s="10" t="str">
        <f t="shared" si="1"/>
        <v/>
      </c>
      <c r="G35" s="10" t="str">
        <f t="shared" si="2"/>
        <v/>
      </c>
      <c r="H35" s="10" t="str">
        <f t="shared" si="0"/>
        <v/>
      </c>
      <c r="I35" s="57" t="str">
        <f t="shared" si="3"/>
        <v/>
      </c>
      <c r="K35" s="38"/>
    </row>
    <row r="36" spans="1:11" s="27" customFormat="1" ht="28.8" x14ac:dyDescent="0.3">
      <c r="A36" s="63" t="s">
        <v>171</v>
      </c>
      <c r="B36" s="55" t="s">
        <v>172</v>
      </c>
      <c r="C36" s="56" t="s">
        <v>24</v>
      </c>
      <c r="D36" s="57">
        <v>0</v>
      </c>
      <c r="E36" s="41">
        <f>IF(D36="","",_xlfn.XLOOKUP(A36,[5]ריכוז!$A:$A,[5]ריכוז!$D:$D,"אין כזה"))</f>
        <v>2850</v>
      </c>
      <c r="F36" s="10">
        <f t="shared" si="1"/>
        <v>427.5</v>
      </c>
      <c r="G36" s="10">
        <f t="shared" si="2"/>
        <v>142.5</v>
      </c>
      <c r="H36" s="10">
        <f t="shared" si="0"/>
        <v>2543.625</v>
      </c>
      <c r="I36" s="57">
        <f t="shared" si="3"/>
        <v>0</v>
      </c>
      <c r="K36" s="38"/>
    </row>
    <row r="37" spans="1:11" ht="28.8" x14ac:dyDescent="0.3">
      <c r="A37" s="63" t="s">
        <v>60</v>
      </c>
      <c r="B37" s="55" t="s">
        <v>61</v>
      </c>
      <c r="C37" s="56" t="s">
        <v>24</v>
      </c>
      <c r="D37" s="57">
        <v>0</v>
      </c>
      <c r="E37" s="41">
        <f>IF(D37="","",_xlfn.XLOOKUP(A37,[5]ריכוז!$A:$A,[5]ריכוז!$D:$D,"אין כזה"))</f>
        <v>2300</v>
      </c>
      <c r="F37" s="10">
        <f t="shared" si="1"/>
        <v>345</v>
      </c>
      <c r="G37" s="10">
        <f t="shared" si="2"/>
        <v>115</v>
      </c>
      <c r="H37" s="10">
        <f t="shared" si="0"/>
        <v>2052.75</v>
      </c>
      <c r="I37" s="57">
        <f t="shared" si="3"/>
        <v>0</v>
      </c>
      <c r="K37" s="38"/>
    </row>
    <row r="38" spans="1:11" ht="28.8" x14ac:dyDescent="0.3">
      <c r="A38" s="63" t="s">
        <v>62</v>
      </c>
      <c r="B38" s="55" t="s">
        <v>63</v>
      </c>
      <c r="C38" s="56" t="s">
        <v>24</v>
      </c>
      <c r="D38" s="57">
        <v>0</v>
      </c>
      <c r="E38" s="41">
        <f>IF(D38="","",_xlfn.XLOOKUP(A38,[5]ריכוז!$A:$A,[5]ריכוז!$D:$D,"אין כזה"))</f>
        <v>3250</v>
      </c>
      <c r="F38" s="10">
        <f t="shared" si="1"/>
        <v>487.5</v>
      </c>
      <c r="G38" s="10">
        <f t="shared" si="2"/>
        <v>162.5</v>
      </c>
      <c r="H38" s="10">
        <f t="shared" si="0"/>
        <v>2900.625</v>
      </c>
      <c r="I38" s="57">
        <f t="shared" si="3"/>
        <v>0</v>
      </c>
      <c r="K38" s="38"/>
    </row>
    <row r="39" spans="1:11" s="27" customFormat="1" ht="15.6" x14ac:dyDescent="0.3">
      <c r="A39" s="59" t="s">
        <v>64</v>
      </c>
      <c r="B39" s="60" t="s">
        <v>65</v>
      </c>
      <c r="C39" s="61" t="s">
        <v>3</v>
      </c>
      <c r="D39" s="62" t="s">
        <v>3</v>
      </c>
      <c r="E39" s="41" t="str">
        <f>IF(D39="","",_xlfn.XLOOKUP(A39,[5]ריכוז!$A:$A,[5]ריכוז!$D:$D,"אין כזה"))</f>
        <v/>
      </c>
      <c r="F39" s="10" t="str">
        <f t="shared" si="1"/>
        <v/>
      </c>
      <c r="G39" s="10" t="str">
        <f t="shared" si="2"/>
        <v/>
      </c>
      <c r="H39" s="10" t="str">
        <f t="shared" si="0"/>
        <v/>
      </c>
      <c r="I39" s="57" t="str">
        <f t="shared" si="3"/>
        <v/>
      </c>
      <c r="K39" s="38"/>
    </row>
    <row r="40" spans="1:11" x14ac:dyDescent="0.3">
      <c r="A40" s="63" t="s">
        <v>66</v>
      </c>
      <c r="B40" s="55" t="s">
        <v>67</v>
      </c>
      <c r="C40" s="56" t="s">
        <v>24</v>
      </c>
      <c r="D40" s="57">
        <v>6.33</v>
      </c>
      <c r="E40" s="41">
        <f>IF(D40="","",_xlfn.XLOOKUP(A40,[5]ריכוז!$A:$A,[5]ריכוז!$D:$D,"אין כזה"))</f>
        <v>88</v>
      </c>
      <c r="F40" s="10">
        <f t="shared" si="1"/>
        <v>13.2</v>
      </c>
      <c r="G40" s="10">
        <f t="shared" si="2"/>
        <v>4.4000000000000004</v>
      </c>
      <c r="H40" s="10">
        <f t="shared" si="0"/>
        <v>78.540000000000006</v>
      </c>
      <c r="I40" s="57">
        <f t="shared" si="3"/>
        <v>497.15820000000002</v>
      </c>
      <c r="K40" s="38"/>
    </row>
    <row r="41" spans="1:11" s="27" customFormat="1" ht="15.6" x14ac:dyDescent="0.3">
      <c r="A41" s="59" t="s">
        <v>68</v>
      </c>
      <c r="B41" s="60" t="s">
        <v>69</v>
      </c>
      <c r="C41" s="61" t="s">
        <v>3</v>
      </c>
      <c r="D41" s="62" t="s">
        <v>3</v>
      </c>
      <c r="E41" s="41" t="str">
        <f>IF(D41="","",_xlfn.XLOOKUP(A41,[5]ריכוז!$A:$A,[5]ריכוז!$D:$D,"אין כזה"))</f>
        <v/>
      </c>
      <c r="F41" s="10" t="str">
        <f t="shared" si="1"/>
        <v/>
      </c>
      <c r="G41" s="10" t="str">
        <f t="shared" si="2"/>
        <v/>
      </c>
      <c r="H41" s="10" t="str">
        <f t="shared" si="0"/>
        <v/>
      </c>
      <c r="I41" s="57" t="str">
        <f t="shared" si="3"/>
        <v/>
      </c>
      <c r="K41" s="38"/>
    </row>
    <row r="42" spans="1:11" ht="28.8" x14ac:dyDescent="0.3">
      <c r="A42" s="63" t="s">
        <v>70</v>
      </c>
      <c r="B42" s="55" t="s">
        <v>71</v>
      </c>
      <c r="C42" s="56" t="s">
        <v>24</v>
      </c>
      <c r="D42" s="57">
        <v>0</v>
      </c>
      <c r="E42" s="41">
        <f>IF(D42="","",_xlfn.XLOOKUP(A42,[5]ריכוז!$A:$A,[5]ריכוז!$D:$D,"אין כזה"))</f>
        <v>717</v>
      </c>
      <c r="F42" s="10">
        <f t="shared" si="1"/>
        <v>107.55</v>
      </c>
      <c r="G42" s="10">
        <f t="shared" si="2"/>
        <v>35.85</v>
      </c>
      <c r="H42" s="10">
        <f t="shared" si="0"/>
        <v>639.92250000000001</v>
      </c>
      <c r="I42" s="57">
        <f t="shared" si="3"/>
        <v>0</v>
      </c>
      <c r="K42" s="38"/>
    </row>
    <row r="43" spans="1:11" ht="28.8" x14ac:dyDescent="0.3">
      <c r="A43" s="63" t="s">
        <v>72</v>
      </c>
      <c r="B43" s="55" t="s">
        <v>73</v>
      </c>
      <c r="C43" s="56" t="s">
        <v>24</v>
      </c>
      <c r="D43" s="57">
        <v>0</v>
      </c>
      <c r="E43" s="41">
        <f>IF(D43="","",_xlfn.XLOOKUP(A43,[5]ריכוז!$A:$A,[5]ריכוז!$D:$D,"אין כזה"))</f>
        <v>582</v>
      </c>
      <c r="F43" s="10">
        <f t="shared" si="1"/>
        <v>87.3</v>
      </c>
      <c r="G43" s="10">
        <f t="shared" si="2"/>
        <v>29.1</v>
      </c>
      <c r="H43" s="10">
        <f t="shared" si="0"/>
        <v>519.43500000000006</v>
      </c>
      <c r="I43" s="57">
        <f t="shared" si="3"/>
        <v>0</v>
      </c>
      <c r="K43" s="38"/>
    </row>
    <row r="44" spans="1:11" ht="28.2" x14ac:dyDescent="0.3">
      <c r="A44" s="9" t="s">
        <v>218</v>
      </c>
      <c r="B44" s="2" t="s">
        <v>219</v>
      </c>
      <c r="C44" s="56" t="s">
        <v>24</v>
      </c>
      <c r="D44" s="138">
        <f>4.58+7.25</f>
        <v>11.83</v>
      </c>
      <c r="E44" s="41">
        <v>800</v>
      </c>
      <c r="F44" s="10">
        <f t="shared" si="1"/>
        <v>120</v>
      </c>
      <c r="G44" s="10">
        <f t="shared" si="2"/>
        <v>40</v>
      </c>
      <c r="H44" s="10">
        <f t="shared" si="0"/>
        <v>714</v>
      </c>
      <c r="I44" s="57">
        <f t="shared" si="3"/>
        <v>8446.6200000000008</v>
      </c>
      <c r="K44" s="38"/>
    </row>
    <row r="45" spans="1:11" ht="28.8" x14ac:dyDescent="0.3">
      <c r="A45" s="63" t="s">
        <v>173</v>
      </c>
      <c r="B45" s="55" t="s">
        <v>174</v>
      </c>
      <c r="C45" s="56" t="s">
        <v>24</v>
      </c>
      <c r="D45" s="138">
        <v>7.15</v>
      </c>
      <c r="E45" s="41">
        <f>IF(D45="","",_xlfn.XLOOKUP(A45,[5]ריכוז!$A:$A,[5]ריכוז!$D:$D,"אין כזה"))</f>
        <v>1440</v>
      </c>
      <c r="F45" s="10">
        <f t="shared" si="1"/>
        <v>216</v>
      </c>
      <c r="G45" s="10">
        <f t="shared" si="2"/>
        <v>72</v>
      </c>
      <c r="H45" s="10">
        <f t="shared" si="0"/>
        <v>1285.2</v>
      </c>
      <c r="I45" s="57">
        <f t="shared" si="3"/>
        <v>9189.18</v>
      </c>
      <c r="K45" s="38"/>
    </row>
    <row r="46" spans="1:11" x14ac:dyDescent="0.3">
      <c r="A46" s="63" t="s">
        <v>74</v>
      </c>
      <c r="B46" s="55" t="s">
        <v>75</v>
      </c>
      <c r="C46" s="56" t="s">
        <v>2</v>
      </c>
      <c r="D46" s="57">
        <v>0</v>
      </c>
      <c r="E46" s="41">
        <f>IF(D46="","",_xlfn.XLOOKUP(A46,[5]ריכוז!$A:$A,[5]ריכוז!$D:$D,"אין כזה"))</f>
        <v>620</v>
      </c>
      <c r="F46" s="10">
        <f t="shared" si="1"/>
        <v>93</v>
      </c>
      <c r="G46" s="10">
        <f t="shared" si="2"/>
        <v>31</v>
      </c>
      <c r="H46" s="10">
        <f t="shared" si="0"/>
        <v>553.35</v>
      </c>
      <c r="I46" s="57">
        <f t="shared" si="3"/>
        <v>0</v>
      </c>
      <c r="K46" s="38"/>
    </row>
    <row r="47" spans="1:11" x14ac:dyDescent="0.3">
      <c r="A47" s="63" t="s">
        <v>76</v>
      </c>
      <c r="B47" s="55" t="s">
        <v>77</v>
      </c>
      <c r="C47" s="56" t="s">
        <v>2</v>
      </c>
      <c r="D47" s="57">
        <v>0</v>
      </c>
      <c r="E47" s="41">
        <f>IF(D47="","",_xlfn.XLOOKUP(A47,[5]ריכוז!$A:$A,[5]ריכוז!$D:$D,"אין כזה"))</f>
        <v>750</v>
      </c>
      <c r="F47" s="10">
        <f t="shared" si="1"/>
        <v>112.5</v>
      </c>
      <c r="G47" s="10">
        <f t="shared" si="2"/>
        <v>37.5</v>
      </c>
      <c r="H47" s="10">
        <f t="shared" si="0"/>
        <v>669.375</v>
      </c>
      <c r="I47" s="57">
        <f t="shared" si="3"/>
        <v>0</v>
      </c>
      <c r="K47" s="38"/>
    </row>
    <row r="48" spans="1:11" x14ac:dyDescent="0.3">
      <c r="A48" s="63" t="s">
        <v>78</v>
      </c>
      <c r="B48" s="55" t="s">
        <v>79</v>
      </c>
      <c r="C48" s="56" t="s">
        <v>2</v>
      </c>
      <c r="D48" s="138">
        <v>0</v>
      </c>
      <c r="E48" s="41">
        <f>IF(D48="","",_xlfn.XLOOKUP(A48,[5]ריכוז!$A:$A,[5]ריכוז!$D:$D,"אין כזה"))</f>
        <v>1020</v>
      </c>
      <c r="F48" s="10">
        <f t="shared" si="1"/>
        <v>153</v>
      </c>
      <c r="G48" s="10">
        <f t="shared" si="2"/>
        <v>51</v>
      </c>
      <c r="H48" s="10">
        <f t="shared" si="0"/>
        <v>910.35</v>
      </c>
      <c r="I48" s="57">
        <f t="shared" si="3"/>
        <v>0</v>
      </c>
      <c r="K48" s="38"/>
    </row>
    <row r="49" spans="1:11" x14ac:dyDescent="0.3">
      <c r="A49" s="63" t="s">
        <v>80</v>
      </c>
      <c r="B49" s="55" t="s">
        <v>81</v>
      </c>
      <c r="C49" s="56" t="s">
        <v>2</v>
      </c>
      <c r="D49" s="138">
        <v>2</v>
      </c>
      <c r="E49" s="41">
        <f>IF(D49="","",_xlfn.XLOOKUP(A49,[5]ריכוז!$A:$A,[5]ריכוז!$D:$D,"אין כזה"))</f>
        <v>1370</v>
      </c>
      <c r="F49" s="10">
        <f t="shared" si="1"/>
        <v>205.5</v>
      </c>
      <c r="G49" s="10">
        <f t="shared" si="2"/>
        <v>68.5</v>
      </c>
      <c r="H49" s="10">
        <f t="shared" si="0"/>
        <v>1222.7249999999999</v>
      </c>
      <c r="I49" s="57">
        <f t="shared" si="3"/>
        <v>2445.4499999999998</v>
      </c>
      <c r="K49" s="38"/>
    </row>
    <row r="50" spans="1:11" x14ac:dyDescent="0.3">
      <c r="A50" s="63" t="s">
        <v>82</v>
      </c>
      <c r="B50" s="55" t="s">
        <v>83</v>
      </c>
      <c r="C50" s="56" t="s">
        <v>2</v>
      </c>
      <c r="D50" s="138">
        <v>0</v>
      </c>
      <c r="E50" s="41">
        <f>IF(D50="","",_xlfn.XLOOKUP(A50,[5]ריכוז!$A:$A,[5]ריכוז!$D:$D,"אין כזה"))</f>
        <v>1650</v>
      </c>
      <c r="F50" s="10">
        <f t="shared" si="1"/>
        <v>247.5</v>
      </c>
      <c r="G50" s="10">
        <f t="shared" si="2"/>
        <v>82.5</v>
      </c>
      <c r="H50" s="10">
        <f t="shared" si="0"/>
        <v>1472.625</v>
      </c>
      <c r="I50" s="57">
        <f t="shared" si="3"/>
        <v>0</v>
      </c>
      <c r="K50" s="38"/>
    </row>
    <row r="51" spans="1:11" x14ac:dyDescent="0.3">
      <c r="A51" s="63" t="s">
        <v>84</v>
      </c>
      <c r="B51" s="55" t="s">
        <v>85</v>
      </c>
      <c r="C51" s="56" t="s">
        <v>2</v>
      </c>
      <c r="D51" s="138">
        <v>2</v>
      </c>
      <c r="E51" s="41">
        <f>IF(D51="","",_xlfn.XLOOKUP(A51,[5]ריכוז!$A:$A,[5]ריכוז!$D:$D,"אין כזה"))</f>
        <v>1820</v>
      </c>
      <c r="F51" s="10">
        <f t="shared" si="1"/>
        <v>273</v>
      </c>
      <c r="G51" s="10">
        <f t="shared" si="2"/>
        <v>91</v>
      </c>
      <c r="H51" s="10">
        <f t="shared" si="0"/>
        <v>1624.35</v>
      </c>
      <c r="I51" s="57">
        <f t="shared" si="3"/>
        <v>3248.7</v>
      </c>
      <c r="K51" s="38"/>
    </row>
    <row r="52" spans="1:11" x14ac:dyDescent="0.3">
      <c r="A52" s="63" t="s">
        <v>86</v>
      </c>
      <c r="B52" s="55" t="s">
        <v>87</v>
      </c>
      <c r="C52" s="56" t="s">
        <v>2</v>
      </c>
      <c r="D52" s="138">
        <v>0</v>
      </c>
      <c r="E52" s="41">
        <f>IF(D52="","",_xlfn.XLOOKUP(A52,[5]ריכוז!$A:$A,[5]ריכוז!$D:$D,"אין כזה"))</f>
        <v>130</v>
      </c>
      <c r="F52" s="10">
        <f t="shared" si="1"/>
        <v>19.5</v>
      </c>
      <c r="G52" s="10">
        <f t="shared" si="2"/>
        <v>6.5</v>
      </c>
      <c r="H52" s="10">
        <f t="shared" si="0"/>
        <v>116.02499999999999</v>
      </c>
      <c r="I52" s="57">
        <f t="shared" si="3"/>
        <v>0</v>
      </c>
      <c r="K52" s="38"/>
    </row>
    <row r="53" spans="1:11" x14ac:dyDescent="0.3">
      <c r="A53" s="63" t="s">
        <v>175</v>
      </c>
      <c r="B53" s="55" t="s">
        <v>176</v>
      </c>
      <c r="C53" s="56" t="s">
        <v>24</v>
      </c>
      <c r="D53" s="138">
        <f>D44+D45</f>
        <v>18.98</v>
      </c>
      <c r="E53" s="41">
        <f>IF(D53="","",_xlfn.XLOOKUP(A53,[5]ריכוז!$A:$A,[5]ריכוז!$D:$D,"אין כזה"))</f>
        <v>60</v>
      </c>
      <c r="F53" s="10">
        <f t="shared" si="1"/>
        <v>9</v>
      </c>
      <c r="G53" s="10">
        <f t="shared" si="2"/>
        <v>3</v>
      </c>
      <c r="H53" s="10">
        <f t="shared" si="0"/>
        <v>53.55</v>
      </c>
      <c r="I53" s="57">
        <f t="shared" si="3"/>
        <v>1016.379</v>
      </c>
      <c r="K53" s="38"/>
    </row>
    <row r="54" spans="1:11" x14ac:dyDescent="0.3">
      <c r="A54" s="63" t="s">
        <v>88</v>
      </c>
      <c r="B54" s="55" t="s">
        <v>89</v>
      </c>
      <c r="C54" s="56" t="s">
        <v>2</v>
      </c>
      <c r="D54" s="57">
        <v>0</v>
      </c>
      <c r="E54" s="41">
        <f>IF(D54="","",_xlfn.XLOOKUP(A54,[5]ריכוז!$A:$A,[5]ריכוז!$D:$D,"אין כזה"))</f>
        <v>109</v>
      </c>
      <c r="F54" s="10">
        <f t="shared" si="1"/>
        <v>16.349999999999998</v>
      </c>
      <c r="G54" s="10">
        <f t="shared" si="2"/>
        <v>5.45</v>
      </c>
      <c r="H54" s="10">
        <f t="shared" si="0"/>
        <v>97.282499999999999</v>
      </c>
      <c r="I54" s="57">
        <f t="shared" si="3"/>
        <v>0</v>
      </c>
      <c r="K54" s="38"/>
    </row>
    <row r="55" spans="1:11" x14ac:dyDescent="0.3">
      <c r="A55" s="63" t="s">
        <v>90</v>
      </c>
      <c r="B55" s="55" t="s">
        <v>91</v>
      </c>
      <c r="C55" s="56" t="s">
        <v>2</v>
      </c>
      <c r="D55" s="57">
        <v>2</v>
      </c>
      <c r="E55" s="41">
        <f>IF(D55="","",_xlfn.XLOOKUP(A55,[5]ריכוז!$A:$A,[5]ריכוז!$D:$D,"אין כזה"))</f>
        <v>121</v>
      </c>
      <c r="F55" s="10">
        <f t="shared" si="1"/>
        <v>18.149999999999999</v>
      </c>
      <c r="G55" s="10">
        <f t="shared" si="2"/>
        <v>6.0500000000000007</v>
      </c>
      <c r="H55" s="10">
        <f t="shared" si="0"/>
        <v>107.99250000000001</v>
      </c>
      <c r="I55" s="57">
        <f t="shared" si="3"/>
        <v>215.98500000000001</v>
      </c>
      <c r="K55" s="38"/>
    </row>
    <row r="56" spans="1:11" ht="14.4" customHeight="1" x14ac:dyDescent="0.3">
      <c r="A56" s="63" t="s">
        <v>195</v>
      </c>
      <c r="B56" s="55" t="s">
        <v>182</v>
      </c>
      <c r="C56" s="56" t="s">
        <v>2</v>
      </c>
      <c r="D56" s="57">
        <v>0</v>
      </c>
      <c r="E56" s="41">
        <f>IF(D56="","",_xlfn.XLOOKUP(A56,[5]ריכוז!$A:$A,[5]ריכוז!$D:$D,"אין כזה"))</f>
        <v>133</v>
      </c>
      <c r="F56" s="10">
        <f t="shared" si="1"/>
        <v>19.95</v>
      </c>
      <c r="G56" s="10">
        <f t="shared" si="2"/>
        <v>6.65</v>
      </c>
      <c r="H56" s="10">
        <f t="shared" si="0"/>
        <v>118.7025</v>
      </c>
      <c r="I56" s="57">
        <f t="shared" si="3"/>
        <v>0</v>
      </c>
      <c r="K56" s="38"/>
    </row>
    <row r="57" spans="1:11" ht="14.4" customHeight="1" x14ac:dyDescent="0.3">
      <c r="A57" s="63" t="s">
        <v>196</v>
      </c>
      <c r="B57" s="55" t="s">
        <v>183</v>
      </c>
      <c r="C57" s="56" t="s">
        <v>2</v>
      </c>
      <c r="D57" s="57">
        <v>0</v>
      </c>
      <c r="E57" s="41">
        <f>IF(D57="","",_xlfn.XLOOKUP(A57,[5]ריכוז!$A:$A,[5]ריכוז!$D:$D,"אין כזה"))</f>
        <v>145</v>
      </c>
      <c r="F57" s="10">
        <f t="shared" si="1"/>
        <v>21.75</v>
      </c>
      <c r="G57" s="10">
        <f t="shared" si="2"/>
        <v>7.25</v>
      </c>
      <c r="H57" s="10">
        <f t="shared" si="0"/>
        <v>129.41249999999999</v>
      </c>
      <c r="I57" s="57">
        <f t="shared" si="3"/>
        <v>0</v>
      </c>
      <c r="K57" s="38"/>
    </row>
    <row r="58" spans="1:11" ht="14.4" customHeight="1" x14ac:dyDescent="0.3">
      <c r="A58" s="63" t="s">
        <v>197</v>
      </c>
      <c r="B58" s="55" t="s">
        <v>184</v>
      </c>
      <c r="C58" s="56" t="s">
        <v>2</v>
      </c>
      <c r="D58" s="57">
        <v>2</v>
      </c>
      <c r="E58" s="41">
        <f>IF(D58="","",_xlfn.XLOOKUP(A58,[5]ריכוז!$A:$A,[5]ריכוז!$D:$D,"אין כזה"))</f>
        <v>157</v>
      </c>
      <c r="F58" s="10">
        <f t="shared" si="1"/>
        <v>23.55</v>
      </c>
      <c r="G58" s="10">
        <f t="shared" si="2"/>
        <v>7.8500000000000005</v>
      </c>
      <c r="H58" s="10">
        <f t="shared" si="0"/>
        <v>140.1225</v>
      </c>
      <c r="I58" s="57">
        <f t="shared" si="3"/>
        <v>280.245</v>
      </c>
      <c r="K58" s="38"/>
    </row>
    <row r="59" spans="1:11" ht="14.4" customHeight="1" x14ac:dyDescent="0.3">
      <c r="A59" s="63" t="s">
        <v>198</v>
      </c>
      <c r="B59" s="55" t="s">
        <v>185</v>
      </c>
      <c r="C59" s="56" t="s">
        <v>2</v>
      </c>
      <c r="D59" s="57">
        <v>0</v>
      </c>
      <c r="E59" s="41">
        <f>IF(D59="","",_xlfn.XLOOKUP(A59,[5]ריכוז!$A:$A,[5]ריכוז!$D:$D,"אין כזה"))</f>
        <v>169</v>
      </c>
      <c r="F59" s="10">
        <f t="shared" si="1"/>
        <v>25.349999999999998</v>
      </c>
      <c r="G59" s="10">
        <f t="shared" si="2"/>
        <v>8.4500000000000011</v>
      </c>
      <c r="H59" s="10">
        <f t="shared" si="0"/>
        <v>150.83250000000001</v>
      </c>
      <c r="I59" s="57">
        <f t="shared" si="3"/>
        <v>0</v>
      </c>
      <c r="K59" s="38"/>
    </row>
    <row r="60" spans="1:11" ht="14.4" customHeight="1" x14ac:dyDescent="0.3">
      <c r="A60" s="63" t="s">
        <v>199</v>
      </c>
      <c r="B60" s="55" t="s">
        <v>186</v>
      </c>
      <c r="C60" s="56" t="s">
        <v>2</v>
      </c>
      <c r="D60" s="57">
        <v>0</v>
      </c>
      <c r="E60" s="41">
        <f>IF(D60="","",_xlfn.XLOOKUP(A60,[5]ריכוז!$A:$A,[5]ריכוז!$D:$D,"אין כזה"))</f>
        <v>181</v>
      </c>
      <c r="F60" s="10">
        <f t="shared" si="1"/>
        <v>27.15</v>
      </c>
      <c r="G60" s="10">
        <f t="shared" si="2"/>
        <v>9.0500000000000007</v>
      </c>
      <c r="H60" s="10">
        <f t="shared" si="0"/>
        <v>161.54250000000002</v>
      </c>
      <c r="I60" s="57">
        <f t="shared" si="3"/>
        <v>0</v>
      </c>
      <c r="K60" s="38"/>
    </row>
    <row r="61" spans="1:11" ht="14.4" customHeight="1" x14ac:dyDescent="0.3">
      <c r="A61" s="63" t="s">
        <v>200</v>
      </c>
      <c r="B61" s="55" t="s">
        <v>187</v>
      </c>
      <c r="C61" s="56" t="s">
        <v>2</v>
      </c>
      <c r="D61" s="57">
        <v>0</v>
      </c>
      <c r="E61" s="41">
        <f>IF(D61="","",_xlfn.XLOOKUP(A61,[5]ריכוז!$A:$A,[5]ריכוז!$D:$D,"אין כזה"))</f>
        <v>193</v>
      </c>
      <c r="F61" s="10">
        <f t="shared" si="1"/>
        <v>28.95</v>
      </c>
      <c r="G61" s="10">
        <f t="shared" si="2"/>
        <v>9.65</v>
      </c>
      <c r="H61" s="10">
        <f t="shared" si="0"/>
        <v>172.2525</v>
      </c>
      <c r="I61" s="57">
        <f t="shared" si="3"/>
        <v>0</v>
      </c>
      <c r="K61" s="38"/>
    </row>
    <row r="62" spans="1:11" s="27" customFormat="1" ht="15.6" x14ac:dyDescent="0.3">
      <c r="A62" s="59" t="s">
        <v>92</v>
      </c>
      <c r="B62" s="60" t="s">
        <v>93</v>
      </c>
      <c r="C62" s="61" t="s">
        <v>3</v>
      </c>
      <c r="D62" s="62" t="s">
        <v>3</v>
      </c>
      <c r="E62" s="41" t="str">
        <f>IF(D62="","",_xlfn.XLOOKUP(A62,[5]ריכוז!$A:$A,[5]ריכוז!$D:$D,"אין כזה"))</f>
        <v/>
      </c>
      <c r="F62" s="10" t="str">
        <f t="shared" si="1"/>
        <v/>
      </c>
      <c r="G62" s="10" t="str">
        <f t="shared" si="2"/>
        <v/>
      </c>
      <c r="H62" s="10" t="str">
        <f t="shared" si="0"/>
        <v/>
      </c>
      <c r="I62" s="57" t="str">
        <f t="shared" si="3"/>
        <v/>
      </c>
      <c r="K62" s="38"/>
    </row>
    <row r="63" spans="1:11" ht="15" thickBot="1" x14ac:dyDescent="0.35">
      <c r="A63" s="54" t="s">
        <v>94</v>
      </c>
      <c r="B63" s="55" t="s">
        <v>95</v>
      </c>
      <c r="C63" s="56" t="s">
        <v>24</v>
      </c>
      <c r="D63" s="92">
        <v>7.06</v>
      </c>
      <c r="E63" s="41">
        <f>IF(D63="","",_xlfn.XLOOKUP(A63,[5]ריכוז!$A:$A,[5]ריכוז!$D:$D,"אין כזה"))</f>
        <v>53</v>
      </c>
      <c r="F63" s="10">
        <f t="shared" si="1"/>
        <v>7.9499999999999993</v>
      </c>
      <c r="G63" s="10">
        <f t="shared" si="2"/>
        <v>2.6500000000000004</v>
      </c>
      <c r="H63" s="10">
        <f t="shared" si="0"/>
        <v>47.302500000000002</v>
      </c>
      <c r="I63" s="57">
        <f t="shared" si="3"/>
        <v>333.95564999999999</v>
      </c>
      <c r="K63" s="38"/>
    </row>
    <row r="64" spans="1:11" ht="43.2" x14ac:dyDescent="0.3">
      <c r="A64" s="54" t="s">
        <v>96</v>
      </c>
      <c r="B64" s="55" t="s">
        <v>97</v>
      </c>
      <c r="C64" s="56" t="s">
        <v>24</v>
      </c>
      <c r="D64" s="57">
        <v>0</v>
      </c>
      <c r="E64" s="41">
        <f>IF(D64="","",_xlfn.XLOOKUP(A64,[5]ריכוז!$A:$A,[5]ריכוז!$D:$D,"אין כזה"))</f>
        <v>880</v>
      </c>
      <c r="F64" s="10">
        <f t="shared" si="1"/>
        <v>132</v>
      </c>
      <c r="G64" s="10">
        <f t="shared" si="2"/>
        <v>44</v>
      </c>
      <c r="H64" s="10">
        <f t="shared" si="0"/>
        <v>785.4</v>
      </c>
      <c r="I64" s="57">
        <f t="shared" si="3"/>
        <v>0</v>
      </c>
      <c r="K64" s="38"/>
    </row>
    <row r="65" spans="1:11" ht="43.2" x14ac:dyDescent="0.3">
      <c r="A65" s="54" t="s">
        <v>215</v>
      </c>
      <c r="B65" s="55" t="s">
        <v>98</v>
      </c>
      <c r="C65" s="56" t="s">
        <v>24</v>
      </c>
      <c r="D65" s="57">
        <f>D63</f>
        <v>7.06</v>
      </c>
      <c r="E65" s="41">
        <f>IF(D65="","",_xlfn.XLOOKUP(A65,[5]ריכוז!$A:$A,[5]ריכוז!$D:$D,"אין כזה"))</f>
        <v>650</v>
      </c>
      <c r="F65" s="10">
        <f t="shared" si="1"/>
        <v>97.5</v>
      </c>
      <c r="G65" s="10">
        <f t="shared" si="2"/>
        <v>32.5</v>
      </c>
      <c r="H65" s="10">
        <f t="shared" si="0"/>
        <v>580.125</v>
      </c>
      <c r="I65" s="57">
        <f t="shared" si="3"/>
        <v>4095.6824999999999</v>
      </c>
      <c r="K65" s="38"/>
    </row>
    <row r="66" spans="1:11" s="27" customFormat="1" ht="15.6" x14ac:dyDescent="0.3">
      <c r="A66" s="59" t="s">
        <v>99</v>
      </c>
      <c r="B66" s="60" t="s">
        <v>100</v>
      </c>
      <c r="C66" s="61" t="s">
        <v>3</v>
      </c>
      <c r="D66" s="62" t="s">
        <v>3</v>
      </c>
      <c r="E66" s="41" t="str">
        <f>IF(D66="","",_xlfn.XLOOKUP(A66,[5]ריכוז!$A:$A,[5]ריכוז!$D:$D,"אין כזה"))</f>
        <v/>
      </c>
      <c r="F66" s="10" t="str">
        <f t="shared" si="1"/>
        <v/>
      </c>
      <c r="G66" s="10" t="str">
        <f t="shared" si="2"/>
        <v/>
      </c>
      <c r="H66" s="10" t="str">
        <f t="shared" si="0"/>
        <v/>
      </c>
      <c r="I66" s="57" t="str">
        <f t="shared" si="3"/>
        <v/>
      </c>
      <c r="K66" s="38"/>
    </row>
    <row r="67" spans="1:11" x14ac:dyDescent="0.3">
      <c r="A67" s="63" t="s">
        <v>101</v>
      </c>
      <c r="B67" s="55" t="s">
        <v>102</v>
      </c>
      <c r="C67" s="56" t="s">
        <v>24</v>
      </c>
      <c r="D67" s="57">
        <v>0</v>
      </c>
      <c r="E67" s="41">
        <f>IF(D67="","",_xlfn.XLOOKUP(A67,[5]ריכוז!$A:$A,[5]ריכוז!$D:$D,"אין כזה"))</f>
        <v>265</v>
      </c>
      <c r="F67" s="10">
        <f t="shared" si="1"/>
        <v>39.75</v>
      </c>
      <c r="G67" s="10">
        <f t="shared" si="2"/>
        <v>13.25</v>
      </c>
      <c r="H67" s="10">
        <f t="shared" si="0"/>
        <v>236.51249999999999</v>
      </c>
      <c r="I67" s="57">
        <f t="shared" si="3"/>
        <v>0</v>
      </c>
      <c r="K67" s="38"/>
    </row>
    <row r="68" spans="1:11" x14ac:dyDescent="0.3">
      <c r="A68" s="64" t="s">
        <v>103</v>
      </c>
      <c r="B68" s="65" t="s">
        <v>104</v>
      </c>
      <c r="C68" s="56" t="s">
        <v>24</v>
      </c>
      <c r="D68" s="57">
        <f>D40</f>
        <v>6.33</v>
      </c>
      <c r="E68" s="41">
        <f>IF(D68="","",_xlfn.XLOOKUP(A68,[5]ריכוז!$A:$A,[5]ריכוז!$D:$D,"אין כזה"))</f>
        <v>375</v>
      </c>
      <c r="F68" s="10">
        <f t="shared" si="1"/>
        <v>56.25</v>
      </c>
      <c r="G68" s="10">
        <f t="shared" si="2"/>
        <v>18.75</v>
      </c>
      <c r="H68" s="10">
        <f t="shared" si="0"/>
        <v>334.6875</v>
      </c>
      <c r="I68" s="57">
        <f t="shared" si="3"/>
        <v>2118.5718750000001</v>
      </c>
      <c r="K68" s="38"/>
    </row>
    <row r="69" spans="1:11" x14ac:dyDescent="0.3">
      <c r="A69" s="64" t="s">
        <v>105</v>
      </c>
      <c r="B69" s="65" t="s">
        <v>106</v>
      </c>
      <c r="C69" s="56" t="s">
        <v>24</v>
      </c>
      <c r="D69" s="57">
        <f>-D19</f>
        <v>0</v>
      </c>
      <c r="E69" s="41">
        <f>IF(D69="","",_xlfn.XLOOKUP(A69,[5]ריכוז!$A:$A,[5]ריכוז!$D:$D,"אין כזה"))</f>
        <v>317</v>
      </c>
      <c r="F69" s="10">
        <f t="shared" si="1"/>
        <v>47.55</v>
      </c>
      <c r="G69" s="10">
        <f t="shared" si="2"/>
        <v>15.850000000000001</v>
      </c>
      <c r="H69" s="10">
        <f t="shared" si="0"/>
        <v>282.92250000000001</v>
      </c>
      <c r="I69" s="57">
        <f t="shared" si="3"/>
        <v>0</v>
      </c>
      <c r="K69" s="38"/>
    </row>
    <row r="70" spans="1:11" x14ac:dyDescent="0.3">
      <c r="A70" s="64" t="s">
        <v>107</v>
      </c>
      <c r="B70" s="65" t="s">
        <v>108</v>
      </c>
      <c r="C70" s="56" t="s">
        <v>24</v>
      </c>
      <c r="D70" s="57">
        <f>-D40-D36</f>
        <v>-6.33</v>
      </c>
      <c r="E70" s="41">
        <f>IF(D70="","",_xlfn.XLOOKUP(A70,[5]ריכוז!$A:$A,[5]ריכוז!$D:$D,"אין כזה"))</f>
        <v>172</v>
      </c>
      <c r="F70" s="10">
        <f t="shared" si="1"/>
        <v>25.8</v>
      </c>
      <c r="G70" s="10">
        <f t="shared" si="2"/>
        <v>8.6</v>
      </c>
      <c r="H70" s="10">
        <f t="shared" si="0"/>
        <v>153.51</v>
      </c>
      <c r="I70" s="57">
        <f t="shared" si="3"/>
        <v>-971.7183</v>
      </c>
      <c r="K70" s="38"/>
    </row>
    <row r="71" spans="1:11" x14ac:dyDescent="0.3">
      <c r="A71" s="63" t="s">
        <v>109</v>
      </c>
      <c r="B71" s="55" t="s">
        <v>110</v>
      </c>
      <c r="C71" s="56" t="s">
        <v>24</v>
      </c>
      <c r="D71" s="57">
        <f>-D67</f>
        <v>0</v>
      </c>
      <c r="E71" s="41">
        <f>IF(D71="","",_xlfn.XLOOKUP(A71,[5]ריכוז!$A:$A,[5]ריכוז!$D:$D,"אין כזה"))</f>
        <v>94</v>
      </c>
      <c r="F71" s="10">
        <f t="shared" si="1"/>
        <v>14.1</v>
      </c>
      <c r="G71" s="10">
        <f t="shared" si="2"/>
        <v>4.7</v>
      </c>
      <c r="H71" s="10">
        <f t="shared" si="0"/>
        <v>83.894999999999996</v>
      </c>
      <c r="I71" s="57">
        <f t="shared" si="3"/>
        <v>0</v>
      </c>
      <c r="K71" s="38"/>
    </row>
    <row r="72" spans="1:11" x14ac:dyDescent="0.3">
      <c r="A72" s="63" t="s">
        <v>111</v>
      </c>
      <c r="B72" s="55" t="s">
        <v>112</v>
      </c>
      <c r="C72" s="56" t="s">
        <v>24</v>
      </c>
      <c r="D72" s="57">
        <v>0</v>
      </c>
      <c r="E72" s="41">
        <f>IF(D72="","",_xlfn.XLOOKUP(A72,[5]ריכוז!$A:$A,[5]ריכוז!$D:$D,"אין כזה"))</f>
        <v>157</v>
      </c>
      <c r="F72" s="10">
        <f t="shared" si="1"/>
        <v>23.55</v>
      </c>
      <c r="G72" s="10">
        <f t="shared" si="2"/>
        <v>7.8500000000000005</v>
      </c>
      <c r="H72" s="10">
        <f t="shared" si="0"/>
        <v>140.1225</v>
      </c>
      <c r="I72" s="57">
        <f t="shared" si="3"/>
        <v>0</v>
      </c>
      <c r="K72" s="38"/>
    </row>
    <row r="73" spans="1:11" s="27" customFormat="1" ht="15.6" x14ac:dyDescent="0.3">
      <c r="A73" s="59" t="s">
        <v>113</v>
      </c>
      <c r="B73" s="60" t="s">
        <v>114</v>
      </c>
      <c r="C73" s="61" t="s">
        <v>3</v>
      </c>
      <c r="D73" s="62" t="s">
        <v>3</v>
      </c>
      <c r="E73" s="41" t="str">
        <f>IF(D73="","",_xlfn.XLOOKUP(A73,[5]ריכוז!$A:$A,[5]ריכוז!$D:$D,"אין כזה"))</f>
        <v/>
      </c>
      <c r="F73" s="10" t="str">
        <f t="shared" si="1"/>
        <v/>
      </c>
      <c r="G73" s="10" t="str">
        <f t="shared" si="2"/>
        <v/>
      </c>
      <c r="H73" s="10" t="str">
        <f t="shared" si="0"/>
        <v/>
      </c>
      <c r="I73" s="57" t="str">
        <f t="shared" si="3"/>
        <v/>
      </c>
      <c r="K73" s="38"/>
    </row>
    <row r="74" spans="1:11" s="27" customFormat="1" ht="15.6" x14ac:dyDescent="0.3">
      <c r="A74" s="59" t="s">
        <v>115</v>
      </c>
      <c r="B74" s="60" t="s">
        <v>116</v>
      </c>
      <c r="C74" s="61" t="s">
        <v>3</v>
      </c>
      <c r="D74" s="62" t="s">
        <v>3</v>
      </c>
      <c r="E74" s="41" t="str">
        <f>IF(D74="","",_xlfn.XLOOKUP(A74,[5]ריכוז!$A:$A,[5]ריכוז!$D:$D,"אין כזה"))</f>
        <v/>
      </c>
      <c r="F74" s="10" t="str">
        <f t="shared" si="1"/>
        <v/>
      </c>
      <c r="G74" s="10" t="str">
        <f t="shared" si="2"/>
        <v/>
      </c>
      <c r="H74" s="10" t="str">
        <f t="shared" si="0"/>
        <v/>
      </c>
      <c r="I74" s="57" t="str">
        <f t="shared" si="3"/>
        <v/>
      </c>
      <c r="K74" s="38"/>
    </row>
    <row r="75" spans="1:11" ht="28.8" x14ac:dyDescent="0.3">
      <c r="A75" s="63" t="s">
        <v>117</v>
      </c>
      <c r="B75" s="55" t="s">
        <v>118</v>
      </c>
      <c r="C75" s="56" t="s">
        <v>17</v>
      </c>
      <c r="D75" s="57">
        <v>0</v>
      </c>
      <c r="E75" s="41">
        <f>IF(D75="","",_xlfn.XLOOKUP(A75,[5]ריכוז!$A:$A,[5]ריכוז!$D:$D,"אין כזה"))</f>
        <v>3500</v>
      </c>
      <c r="F75" s="10">
        <f t="shared" si="1"/>
        <v>525</v>
      </c>
      <c r="G75" s="10">
        <f t="shared" si="2"/>
        <v>175</v>
      </c>
      <c r="H75" s="10">
        <f t="shared" si="0"/>
        <v>3123.75</v>
      </c>
      <c r="I75" s="57">
        <f t="shared" si="3"/>
        <v>0</v>
      </c>
      <c r="K75" s="38"/>
    </row>
    <row r="76" spans="1:11" ht="43.2" x14ac:dyDescent="0.3">
      <c r="A76" s="63" t="s">
        <v>119</v>
      </c>
      <c r="B76" s="55" t="s">
        <v>120</v>
      </c>
      <c r="C76" s="56" t="s">
        <v>4</v>
      </c>
      <c r="D76" s="57">
        <v>0</v>
      </c>
      <c r="E76" s="41">
        <f>IF(D76="","",_xlfn.XLOOKUP(A76,[5]ריכוז!$A:$A,[5]ריכוז!$D:$D,"אין כזה"))</f>
        <v>172</v>
      </c>
      <c r="F76" s="10">
        <f t="shared" si="1"/>
        <v>25.8</v>
      </c>
      <c r="G76" s="10">
        <f t="shared" si="2"/>
        <v>8.6</v>
      </c>
      <c r="H76" s="10">
        <f t="shared" si="0"/>
        <v>153.51</v>
      </c>
      <c r="I76" s="57">
        <f t="shared" si="3"/>
        <v>0</v>
      </c>
      <c r="K76" s="38"/>
    </row>
    <row r="77" spans="1:11" x14ac:dyDescent="0.3">
      <c r="A77" s="63" t="s">
        <v>177</v>
      </c>
      <c r="B77" s="55" t="s">
        <v>178</v>
      </c>
      <c r="C77" s="56" t="s">
        <v>24</v>
      </c>
      <c r="D77" s="57">
        <f>SUM(D17:D19,D25:D27,D29:D30,D32:D34,D36:D38)</f>
        <v>16.375</v>
      </c>
      <c r="E77" s="41">
        <f>IF(D77="","",_xlfn.XLOOKUP(A77,[5]ריכוז!$A:$A,[5]ריכוז!$D:$D,"אין כזה"))</f>
        <v>48</v>
      </c>
      <c r="F77" s="10">
        <f t="shared" si="1"/>
        <v>7.1999999999999993</v>
      </c>
      <c r="G77" s="10">
        <f t="shared" si="2"/>
        <v>2.4000000000000004</v>
      </c>
      <c r="H77" s="10">
        <f t="shared" si="0"/>
        <v>42.84</v>
      </c>
      <c r="I77" s="57">
        <f t="shared" si="3"/>
        <v>701.50500000000011</v>
      </c>
      <c r="K77" s="38"/>
    </row>
    <row r="78" spans="1:11" ht="42.6" x14ac:dyDescent="0.3">
      <c r="A78" s="45" t="s">
        <v>235</v>
      </c>
      <c r="B78" s="46" t="s">
        <v>236</v>
      </c>
      <c r="C78" s="56" t="s">
        <v>2</v>
      </c>
      <c r="D78" s="57">
        <v>1</v>
      </c>
      <c r="E78" s="41">
        <v>2079</v>
      </c>
      <c r="F78" s="10">
        <f t="shared" ref="F78" si="4">IF(E78="","",E78*0.15)</f>
        <v>311.84999999999997</v>
      </c>
      <c r="G78" s="10">
        <f t="shared" ref="G78" si="5">IF(E78="","",E78*0.05)</f>
        <v>103.95</v>
      </c>
      <c r="H78" s="10">
        <f t="shared" ref="H78" si="6">IF(E78="","",E78*1.05*0.85)</f>
        <v>1855.5075000000002</v>
      </c>
      <c r="I78" s="57">
        <f t="shared" ref="I78" si="7">IF(D78="","",H78*D78)</f>
        <v>1855.5075000000002</v>
      </c>
      <c r="K78" s="38"/>
    </row>
    <row r="79" spans="1:11" s="27" customFormat="1" ht="15.6" x14ac:dyDescent="0.3">
      <c r="A79" s="59" t="s">
        <v>121</v>
      </c>
      <c r="B79" s="60" t="s">
        <v>122</v>
      </c>
      <c r="C79" s="61" t="s">
        <v>3</v>
      </c>
      <c r="D79" s="62" t="s">
        <v>3</v>
      </c>
      <c r="E79" s="41" t="str">
        <f>IF(D79="","",_xlfn.XLOOKUP(A79,[5]ריכוז!$A:$A,[5]ריכוז!$D:$D,"אין כזה"))</f>
        <v/>
      </c>
      <c r="F79" s="10" t="str">
        <f t="shared" si="1"/>
        <v/>
      </c>
      <c r="G79" s="10" t="str">
        <f t="shared" si="2"/>
        <v/>
      </c>
      <c r="H79" s="10" t="str">
        <f t="shared" ref="H79:H93" si="8">IF(E79="","",E79*1.05*0.85)</f>
        <v/>
      </c>
      <c r="I79" s="57" t="str">
        <f t="shared" si="3"/>
        <v/>
      </c>
      <c r="K79" s="38"/>
    </row>
    <row r="80" spans="1:11" s="27" customFormat="1" ht="15.6" x14ac:dyDescent="0.3">
      <c r="A80" s="59" t="s">
        <v>123</v>
      </c>
      <c r="B80" s="60" t="s">
        <v>124</v>
      </c>
      <c r="C80" s="61" t="s">
        <v>3</v>
      </c>
      <c r="D80" s="62" t="s">
        <v>3</v>
      </c>
      <c r="E80" s="41" t="str">
        <f>IF(D80="","",_xlfn.XLOOKUP(A80,[5]ריכוז!$A:$A,[5]ריכוז!$D:$D,"אין כזה"))</f>
        <v/>
      </c>
      <c r="F80" s="10" t="str">
        <f t="shared" si="1"/>
        <v/>
      </c>
      <c r="G80" s="10" t="str">
        <f t="shared" si="2"/>
        <v/>
      </c>
      <c r="H80" s="10" t="str">
        <f t="shared" si="8"/>
        <v/>
      </c>
      <c r="I80" s="57" t="str">
        <f t="shared" si="3"/>
        <v/>
      </c>
      <c r="K80" s="38"/>
    </row>
    <row r="81" spans="1:15" s="27" customFormat="1" ht="15.6" x14ac:dyDescent="0.3">
      <c r="A81" s="9" t="s">
        <v>208</v>
      </c>
      <c r="B81" s="55" t="s">
        <v>209</v>
      </c>
      <c r="C81" s="56" t="s">
        <v>125</v>
      </c>
      <c r="D81" s="57">
        <v>3</v>
      </c>
      <c r="E81" s="41">
        <v>130</v>
      </c>
      <c r="F81" s="10">
        <f t="shared" si="1"/>
        <v>19.5</v>
      </c>
      <c r="G81" s="10">
        <f t="shared" si="2"/>
        <v>6.5</v>
      </c>
      <c r="H81" s="10">
        <f t="shared" si="8"/>
        <v>116.02499999999999</v>
      </c>
      <c r="I81" s="57">
        <f t="shared" si="3"/>
        <v>348.07499999999999</v>
      </c>
      <c r="K81" s="38"/>
    </row>
    <row r="82" spans="1:15" s="27" customFormat="1" ht="15.6" x14ac:dyDescent="0.3">
      <c r="A82" s="9" t="s">
        <v>169</v>
      </c>
      <c r="B82" s="55" t="s">
        <v>170</v>
      </c>
      <c r="C82" s="56" t="s">
        <v>125</v>
      </c>
      <c r="D82" s="57">
        <f>2+3</f>
        <v>5</v>
      </c>
      <c r="E82" s="41">
        <f>IF(D82="","",_xlfn.XLOOKUP(A82,[5]ריכוז!$A:$A,[5]ריכוז!$D:$D,"אין כזה"))</f>
        <v>145</v>
      </c>
      <c r="F82" s="10">
        <f t="shared" si="1"/>
        <v>21.75</v>
      </c>
      <c r="G82" s="10">
        <f t="shared" si="2"/>
        <v>7.25</v>
      </c>
      <c r="H82" s="10">
        <f t="shared" si="8"/>
        <v>129.41249999999999</v>
      </c>
      <c r="I82" s="57">
        <f t="shared" si="3"/>
        <v>647.0625</v>
      </c>
      <c r="K82" s="38"/>
    </row>
    <row r="83" spans="1:15" s="27" customFormat="1" ht="15.6" x14ac:dyDescent="0.3">
      <c r="A83" s="59" t="s">
        <v>126</v>
      </c>
      <c r="B83" s="60" t="s">
        <v>127</v>
      </c>
      <c r="C83" s="61" t="s">
        <v>3</v>
      </c>
      <c r="D83" s="62" t="s">
        <v>3</v>
      </c>
      <c r="E83" s="41" t="str">
        <f>IF(D83="","",_xlfn.XLOOKUP(A83,[5]ריכוז!$A:$A,[5]ריכוז!$D:$D,"אין כזה"))</f>
        <v/>
      </c>
      <c r="F83" s="10" t="str">
        <f t="shared" ref="F83:F93" si="9">IF(E83="","",E83*0.15)</f>
        <v/>
      </c>
      <c r="G83" s="10" t="str">
        <f t="shared" ref="G83:G93" si="10">IF(E83="","",E83*0.05)</f>
        <v/>
      </c>
      <c r="H83" s="10" t="str">
        <f t="shared" si="8"/>
        <v/>
      </c>
      <c r="I83" s="57" t="str">
        <f t="shared" ref="I83:I92" si="11">IF(D83="","",H83*D83)</f>
        <v/>
      </c>
      <c r="K83" s="38"/>
    </row>
    <row r="84" spans="1:15" ht="28.8" x14ac:dyDescent="0.3">
      <c r="A84" s="63" t="s">
        <v>128</v>
      </c>
      <c r="B84" s="55" t="s">
        <v>129</v>
      </c>
      <c r="C84" s="56" t="s">
        <v>2</v>
      </c>
      <c r="D84" s="57">
        <v>1</v>
      </c>
      <c r="E84" s="41">
        <f>IF(D84="","",_xlfn.XLOOKUP(A84,[5]ריכוז!$A:$A,[5]ריכוז!$D:$D,"אין כזה"))</f>
        <v>1460</v>
      </c>
      <c r="F84" s="10">
        <f t="shared" si="9"/>
        <v>219</v>
      </c>
      <c r="G84" s="10">
        <f t="shared" si="10"/>
        <v>73</v>
      </c>
      <c r="H84" s="10">
        <f t="shared" si="8"/>
        <v>1303.05</v>
      </c>
      <c r="I84" s="57">
        <f t="shared" si="11"/>
        <v>1303.05</v>
      </c>
      <c r="K84" s="38"/>
    </row>
    <row r="85" spans="1:15" ht="28.8" x14ac:dyDescent="0.3">
      <c r="A85" s="63" t="s">
        <v>130</v>
      </c>
      <c r="B85" s="55" t="s">
        <v>131</v>
      </c>
      <c r="C85" s="56" t="s">
        <v>2</v>
      </c>
      <c r="D85" s="57">
        <v>0</v>
      </c>
      <c r="E85" s="41">
        <f>IF(D85="","",_xlfn.XLOOKUP(A85,[5]ריכוז!$A:$A,[5]ריכוז!$D:$D,"אין כזה"))</f>
        <v>1810</v>
      </c>
      <c r="F85" s="10">
        <f t="shared" si="9"/>
        <v>271.5</v>
      </c>
      <c r="G85" s="10">
        <f t="shared" si="10"/>
        <v>90.5</v>
      </c>
      <c r="H85" s="10">
        <f t="shared" si="8"/>
        <v>1615.425</v>
      </c>
      <c r="I85" s="57">
        <f t="shared" si="11"/>
        <v>0</v>
      </c>
      <c r="K85" s="38"/>
    </row>
    <row r="86" spans="1:15" ht="28.2" x14ac:dyDescent="0.3">
      <c r="A86" s="9" t="s">
        <v>204</v>
      </c>
      <c r="B86" s="2" t="s">
        <v>205</v>
      </c>
      <c r="C86" s="3" t="s">
        <v>2</v>
      </c>
      <c r="D86" s="57">
        <v>0</v>
      </c>
      <c r="E86" s="41">
        <v>2200</v>
      </c>
      <c r="F86" s="10">
        <f t="shared" si="9"/>
        <v>330</v>
      </c>
      <c r="G86" s="10">
        <f t="shared" si="10"/>
        <v>110</v>
      </c>
      <c r="H86" s="10">
        <f t="shared" si="8"/>
        <v>1963.5</v>
      </c>
      <c r="I86" s="57">
        <f t="shared" si="11"/>
        <v>0</v>
      </c>
      <c r="K86" s="38"/>
    </row>
    <row r="87" spans="1:15" s="27" customFormat="1" ht="15.6" x14ac:dyDescent="0.3">
      <c r="A87" s="59" t="s">
        <v>132</v>
      </c>
      <c r="B87" s="60" t="s">
        <v>133</v>
      </c>
      <c r="C87" s="61" t="s">
        <v>3</v>
      </c>
      <c r="D87" s="62" t="s">
        <v>3</v>
      </c>
      <c r="E87" s="41" t="str">
        <f>IF(D87="","",_xlfn.XLOOKUP(A87,[5]ריכוז!$A:$A,[5]ריכוז!$D:$D,"אין כזה"))</f>
        <v/>
      </c>
      <c r="F87" s="10" t="str">
        <f t="shared" si="9"/>
        <v/>
      </c>
      <c r="G87" s="10" t="str">
        <f t="shared" si="10"/>
        <v/>
      </c>
      <c r="H87" s="10" t="str">
        <f t="shared" si="8"/>
        <v/>
      </c>
      <c r="I87" s="57" t="str">
        <f t="shared" si="11"/>
        <v/>
      </c>
      <c r="K87" s="38"/>
    </row>
    <row r="88" spans="1:15" s="27" customFormat="1" ht="15.6" x14ac:dyDescent="0.3">
      <c r="A88" s="59" t="s">
        <v>134</v>
      </c>
      <c r="B88" s="60" t="s">
        <v>135</v>
      </c>
      <c r="C88" s="61" t="s">
        <v>3</v>
      </c>
      <c r="D88" s="62" t="s">
        <v>3</v>
      </c>
      <c r="E88" s="41" t="str">
        <f>IF(D88="","",_xlfn.XLOOKUP(A88,[5]ריכוז!$A:$A,[5]ריכוז!$D:$D,"אין כזה"))</f>
        <v/>
      </c>
      <c r="F88" s="10" t="str">
        <f t="shared" si="9"/>
        <v/>
      </c>
      <c r="G88" s="10" t="str">
        <f t="shared" si="10"/>
        <v/>
      </c>
      <c r="H88" s="10" t="str">
        <f t="shared" si="8"/>
        <v/>
      </c>
      <c r="I88" s="57" t="str">
        <f t="shared" si="11"/>
        <v/>
      </c>
      <c r="K88" s="38"/>
    </row>
    <row r="89" spans="1:15" ht="43.2" x14ac:dyDescent="0.3">
      <c r="A89" s="63" t="s">
        <v>136</v>
      </c>
      <c r="B89" s="55" t="s">
        <v>137</v>
      </c>
      <c r="C89" s="56" t="s">
        <v>24</v>
      </c>
      <c r="D89" s="138">
        <v>6.07</v>
      </c>
      <c r="E89" s="41">
        <f>IF(D89="","",_xlfn.XLOOKUP(A89,[5]ריכוז!$A:$A,[5]ריכוז!$D:$D,"אין כזה"))</f>
        <v>129.78142076502732</v>
      </c>
      <c r="F89" s="10">
        <f t="shared" si="9"/>
        <v>19.467213114754099</v>
      </c>
      <c r="G89" s="10">
        <f t="shared" si="10"/>
        <v>6.4890710382513666</v>
      </c>
      <c r="H89" s="10">
        <f t="shared" si="8"/>
        <v>115.82991803278689</v>
      </c>
      <c r="I89" s="57">
        <f t="shared" si="11"/>
        <v>703.08760245901647</v>
      </c>
      <c r="K89" s="38"/>
    </row>
    <row r="90" spans="1:15" x14ac:dyDescent="0.3">
      <c r="A90" s="54" t="s">
        <v>138</v>
      </c>
      <c r="B90" s="55" t="s">
        <v>139</v>
      </c>
      <c r="C90" s="56" t="s">
        <v>2</v>
      </c>
      <c r="D90" s="57">
        <v>0</v>
      </c>
      <c r="E90" s="41">
        <f>IF(D90="","",_xlfn.XLOOKUP(A90,[5]ריכוז!$A:$A,[5]ריכוז!$D:$D,"אין כזה"))</f>
        <v>2375.3501400560222</v>
      </c>
      <c r="F90" s="10">
        <f t="shared" si="9"/>
        <v>356.30252100840329</v>
      </c>
      <c r="G90" s="10">
        <f t="shared" si="10"/>
        <v>118.76750700280111</v>
      </c>
      <c r="H90" s="10">
        <f t="shared" si="8"/>
        <v>2120</v>
      </c>
      <c r="I90" s="57">
        <f t="shared" si="11"/>
        <v>0</v>
      </c>
      <c r="K90" s="38"/>
    </row>
    <row r="91" spans="1:15" x14ac:dyDescent="0.3">
      <c r="A91" s="54" t="s">
        <v>140</v>
      </c>
      <c r="B91" s="55" t="s">
        <v>141</v>
      </c>
      <c r="C91" s="56" t="s">
        <v>2</v>
      </c>
      <c r="D91" s="57">
        <v>0</v>
      </c>
      <c r="E91" s="41">
        <f>IF(D91="","",_xlfn.XLOOKUP(A91,[5]ריכוז!$A:$A,[5]ריכוז!$D:$D,"אין כזה"))</f>
        <v>950.14005602240888</v>
      </c>
      <c r="F91" s="10">
        <f t="shared" si="9"/>
        <v>142.52100840336132</v>
      </c>
      <c r="G91" s="10">
        <f t="shared" si="10"/>
        <v>47.50700280112045</v>
      </c>
      <c r="H91" s="10">
        <f t="shared" si="8"/>
        <v>848</v>
      </c>
      <c r="I91" s="57">
        <f t="shared" si="11"/>
        <v>0</v>
      </c>
      <c r="K91" s="38"/>
    </row>
    <row r="92" spans="1:15" ht="28.8" x14ac:dyDescent="0.3">
      <c r="A92" s="54" t="s">
        <v>165</v>
      </c>
      <c r="B92" s="55" t="s">
        <v>166</v>
      </c>
      <c r="C92" s="56" t="s">
        <v>167</v>
      </c>
      <c r="D92" s="96">
        <f>SUM(I17:I20,I25:I27,I29:I30,I32:I34,I36:I38,I42:I45,I64:I65,I90:I91)/0.85/1.05</f>
        <v>57262.98</v>
      </c>
      <c r="E92" s="41">
        <f>IF(D92="","",_xlfn.XLOOKUP(A92,[5]ריכוז!$A:$A,[5]ריכוז!$D:$D,"אין כזה"))</f>
        <v>0.06</v>
      </c>
      <c r="F92" s="10">
        <f t="shared" si="9"/>
        <v>8.9999999999999993E-3</v>
      </c>
      <c r="G92" s="10">
        <f t="shared" si="10"/>
        <v>3.0000000000000001E-3</v>
      </c>
      <c r="H92" s="10">
        <f t="shared" si="8"/>
        <v>5.355E-2</v>
      </c>
      <c r="I92" s="57">
        <f t="shared" si="11"/>
        <v>3066.4325790000003</v>
      </c>
      <c r="K92" s="38"/>
    </row>
    <row r="93" spans="1:15" ht="55.8" x14ac:dyDescent="0.3">
      <c r="A93" s="48" t="s">
        <v>162</v>
      </c>
      <c r="B93" s="2" t="s">
        <v>163</v>
      </c>
      <c r="C93" s="3" t="s">
        <v>164</v>
      </c>
      <c r="D93" s="3">
        <v>0</v>
      </c>
      <c r="E93" s="41">
        <f>IF(D93="","",_xlfn.XLOOKUP(A93,[5]ריכוז!$A:$A,[5]ריכוז!$D:$D,"אין כזה"))</f>
        <v>3500</v>
      </c>
      <c r="F93" s="10">
        <f t="shared" si="9"/>
        <v>525</v>
      </c>
      <c r="G93" s="10">
        <f t="shared" si="10"/>
        <v>175</v>
      </c>
      <c r="H93" s="10">
        <f t="shared" si="8"/>
        <v>3123.75</v>
      </c>
      <c r="I93" s="57">
        <f>H93*D93</f>
        <v>0</v>
      </c>
      <c r="K93" s="38"/>
      <c r="L93"/>
      <c r="M93"/>
      <c r="N93"/>
      <c r="O93"/>
    </row>
    <row r="94" spans="1:15" x14ac:dyDescent="0.3">
      <c r="A94" s="21" t="s">
        <v>3</v>
      </c>
      <c r="B94" s="22" t="s">
        <v>152</v>
      </c>
      <c r="C94" s="23"/>
      <c r="D94" s="24"/>
      <c r="E94" s="25"/>
      <c r="F94" s="24"/>
      <c r="G94" s="24"/>
      <c r="H94" s="24"/>
      <c r="I94" s="31">
        <f>SUMIF(A:A,"01.*",I:I)</f>
        <v>0</v>
      </c>
      <c r="K94"/>
      <c r="L94"/>
      <c r="M94"/>
      <c r="N94"/>
      <c r="O94"/>
    </row>
    <row r="95" spans="1:15" x14ac:dyDescent="0.3">
      <c r="A95" s="21" t="s">
        <v>3</v>
      </c>
      <c r="B95" s="22" t="s">
        <v>153</v>
      </c>
      <c r="C95" s="23"/>
      <c r="D95" s="24"/>
      <c r="E95" s="25"/>
      <c r="F95" s="24"/>
      <c r="G95" s="24"/>
      <c r="H95" s="24"/>
      <c r="I95" s="31">
        <f>SUMIF(A:A,"05.*",I:I)</f>
        <v>0</v>
      </c>
      <c r="K95"/>
      <c r="L95"/>
      <c r="M95"/>
      <c r="N95"/>
      <c r="O95"/>
    </row>
    <row r="96" spans="1:15" x14ac:dyDescent="0.3">
      <c r="A96" s="21" t="s">
        <v>3</v>
      </c>
      <c r="B96" s="22" t="s">
        <v>154</v>
      </c>
      <c r="C96" s="23"/>
      <c r="D96" s="24"/>
      <c r="E96" s="25"/>
      <c r="F96" s="24"/>
      <c r="G96" s="24"/>
      <c r="H96" s="24"/>
      <c r="I96" s="31">
        <f>SUMIF(A:A,"09.*",I:I)</f>
        <v>1765.5791999999999</v>
      </c>
      <c r="K96"/>
      <c r="L96"/>
      <c r="M96"/>
      <c r="N96"/>
      <c r="O96"/>
    </row>
    <row r="97" spans="1:15" x14ac:dyDescent="0.3">
      <c r="A97" s="21" t="s">
        <v>3</v>
      </c>
      <c r="B97" s="22" t="s">
        <v>155</v>
      </c>
      <c r="C97" s="23"/>
      <c r="D97" s="24"/>
      <c r="E97" s="25"/>
      <c r="F97" s="24"/>
      <c r="G97" s="24"/>
      <c r="H97" s="24"/>
      <c r="I97" s="31">
        <f>SUMIF(A:A,"11.*",I:I)</f>
        <v>4739.1749999999993</v>
      </c>
      <c r="K97"/>
      <c r="L97"/>
      <c r="M97"/>
      <c r="N97"/>
      <c r="O97"/>
    </row>
    <row r="98" spans="1:15" x14ac:dyDescent="0.3">
      <c r="A98" s="21" t="s">
        <v>3</v>
      </c>
      <c r="B98" s="22" t="s">
        <v>156</v>
      </c>
      <c r="C98" s="23"/>
      <c r="D98" s="24"/>
      <c r="E98" s="25"/>
      <c r="F98" s="24"/>
      <c r="G98" s="24"/>
      <c r="H98" s="24"/>
      <c r="I98" s="31">
        <f>SUMIF(A:A,"12.*",I:I)</f>
        <v>64063.443654000002</v>
      </c>
      <c r="K98"/>
      <c r="L98"/>
      <c r="M98"/>
      <c r="N98"/>
      <c r="O98"/>
    </row>
    <row r="99" spans="1:15" x14ac:dyDescent="0.3">
      <c r="A99" s="21" t="s">
        <v>3</v>
      </c>
      <c r="B99" s="22" t="s">
        <v>157</v>
      </c>
      <c r="C99" s="23"/>
      <c r="D99" s="24"/>
      <c r="E99" s="25"/>
      <c r="F99" s="24"/>
      <c r="G99" s="24"/>
      <c r="H99" s="24"/>
      <c r="I99" s="31">
        <f>SUMIF(A:A,"15.*",I:I)</f>
        <v>0</v>
      </c>
      <c r="K99"/>
      <c r="L99"/>
      <c r="M99"/>
      <c r="N99"/>
      <c r="O99"/>
    </row>
    <row r="100" spans="1:15" x14ac:dyDescent="0.3">
      <c r="A100" s="21"/>
      <c r="B100" s="90" t="s">
        <v>181</v>
      </c>
      <c r="C100" s="23"/>
      <c r="D100" s="24"/>
      <c r="E100" s="25"/>
      <c r="F100" s="24"/>
      <c r="G100" s="24"/>
      <c r="H100" s="24"/>
      <c r="I100" s="31">
        <f>SUMIF(A:A,"30.*",I:I)</f>
        <v>2557.0125000000003</v>
      </c>
      <c r="K100"/>
      <c r="L100"/>
      <c r="M100"/>
      <c r="N100"/>
      <c r="O100"/>
    </row>
    <row r="101" spans="1:15" x14ac:dyDescent="0.3">
      <c r="A101" s="21" t="s">
        <v>3</v>
      </c>
      <c r="B101" s="22" t="s">
        <v>158</v>
      </c>
      <c r="C101" s="23"/>
      <c r="D101" s="24"/>
      <c r="E101" s="25"/>
      <c r="F101" s="24"/>
      <c r="G101" s="24"/>
      <c r="H101" s="24"/>
      <c r="I101" s="31">
        <f>SUMIF(A:A,"60.*",I:I)</f>
        <v>2565.9375</v>
      </c>
      <c r="K101"/>
      <c r="L101"/>
      <c r="M101"/>
      <c r="N101"/>
      <c r="O101"/>
    </row>
    <row r="102" spans="1:15" x14ac:dyDescent="0.3">
      <c r="A102" s="21" t="s">
        <v>3</v>
      </c>
      <c r="B102" s="22" t="s">
        <v>159</v>
      </c>
      <c r="C102" s="23"/>
      <c r="D102" s="24"/>
      <c r="E102" s="25"/>
      <c r="F102" s="24"/>
      <c r="G102" s="24"/>
      <c r="H102" s="24"/>
      <c r="I102" s="31">
        <f>SUMIF(A:A,"85.*",I:I)</f>
        <v>703.08760245901647</v>
      </c>
      <c r="K102"/>
      <c r="L102"/>
      <c r="M102"/>
      <c r="N102"/>
      <c r="O102"/>
    </row>
    <row r="103" spans="1:15" x14ac:dyDescent="0.3">
      <c r="A103" s="28" t="s">
        <v>3</v>
      </c>
      <c r="B103" s="29" t="s">
        <v>160</v>
      </c>
      <c r="C103" s="23"/>
      <c r="D103" s="24"/>
      <c r="E103" s="25"/>
      <c r="F103" s="30"/>
      <c r="G103" s="30"/>
      <c r="H103" s="30"/>
      <c r="I103" s="30">
        <f>SUM(I94:I102)</f>
        <v>76394.235456459006</v>
      </c>
      <c r="K103"/>
      <c r="L103"/>
      <c r="M103"/>
      <c r="N103"/>
      <c r="O103"/>
    </row>
    <row r="104" spans="1:15" x14ac:dyDescent="0.3">
      <c r="A104" s="28" t="s">
        <v>3</v>
      </c>
      <c r="B104" s="29" t="s">
        <v>161</v>
      </c>
      <c r="C104" s="23"/>
      <c r="D104" s="24"/>
      <c r="E104" s="25"/>
      <c r="F104" s="30"/>
      <c r="G104" s="30"/>
      <c r="H104" s="30"/>
      <c r="I104" s="30">
        <f t="shared" ref="I104" si="12">(I103 * (1 / 100 * 18))</f>
        <v>13750.962382162621</v>
      </c>
      <c r="K104"/>
      <c r="L104"/>
      <c r="M104"/>
      <c r="N104"/>
      <c r="O104"/>
    </row>
    <row r="105" spans="1:15" x14ac:dyDescent="0.3">
      <c r="A105" s="32" t="s">
        <v>3</v>
      </c>
      <c r="B105" s="33" t="s">
        <v>160</v>
      </c>
      <c r="C105" s="34"/>
      <c r="D105" s="35"/>
      <c r="E105" s="36"/>
      <c r="F105" s="37"/>
      <c r="G105" s="37"/>
      <c r="H105" s="37"/>
      <c r="I105" s="37">
        <f t="shared" ref="I105" si="13">I103 + I104</f>
        <v>90145.197838621621</v>
      </c>
      <c r="K105"/>
      <c r="L105"/>
      <c r="M105"/>
      <c r="N105"/>
      <c r="O105"/>
    </row>
  </sheetData>
  <conditionalFormatting sqref="A7:D19 C44:D44 A45:D77 C78:D78 A79:D85 A21:D43 A20:C20">
    <cfRule type="expression" dxfId="24" priority="3">
      <formula>$K7="אין"</formula>
    </cfRule>
  </conditionalFormatting>
  <conditionalFormatting sqref="F7:K93 D86 A87:D93">
    <cfRule type="expression" dxfId="23" priority="4">
      <formula>$K7="אין"</formula>
    </cfRule>
  </conditionalFormatting>
  <conditionalFormatting sqref="D20">
    <cfRule type="expression" dxfId="6" priority="1">
      <formula>$K20="אין"</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D3F32-0894-4D06-A431-3414D6CB4181}">
  <sheetPr>
    <tabColor rgb="FFFFFF00"/>
  </sheetPr>
  <dimension ref="A1:O104"/>
  <sheetViews>
    <sheetView rightToLeft="1" zoomScale="85" zoomScaleNormal="85" workbookViewId="0">
      <selection activeCell="B92" sqref="B92"/>
    </sheetView>
  </sheetViews>
  <sheetFormatPr defaultColWidth="8.69921875" defaultRowHeight="14.4" x14ac:dyDescent="0.3"/>
  <cols>
    <col min="1" max="1" width="11.69921875" style="38" customWidth="1"/>
    <col min="2" max="2" width="63" style="13" customWidth="1"/>
    <col min="3" max="3" width="8.19921875" style="39" customWidth="1"/>
    <col min="4" max="4" width="10.09765625" style="14" customWidth="1"/>
    <col min="5" max="5" width="11.19921875" style="15" bestFit="1" customWidth="1"/>
    <col min="6" max="6" width="10.19921875" style="14" customWidth="1"/>
    <col min="7" max="7" width="12.19921875" style="14" customWidth="1"/>
    <col min="8" max="8" width="14" style="13" bestFit="1" customWidth="1"/>
    <col min="9" max="9" width="13.3984375" style="13" bestFit="1" customWidth="1"/>
    <col min="10" max="10" width="8.69921875" style="13"/>
    <col min="11" max="11" width="13.19921875" style="13" bestFit="1" customWidth="1"/>
    <col min="12" max="12" width="11.19921875" style="13" bestFit="1" customWidth="1"/>
    <col min="13" max="16384" width="8.69921875" style="13"/>
  </cols>
  <sheetData>
    <row r="1" spans="1:11" ht="17.399999999999999" x14ac:dyDescent="0.3">
      <c r="A1" s="12"/>
      <c r="C1" s="89" t="s">
        <v>232</v>
      </c>
      <c r="D1" s="40">
        <v>1674</v>
      </c>
    </row>
    <row r="3" spans="1:11" ht="21" x14ac:dyDescent="0.4">
      <c r="A3" s="16"/>
      <c r="B3" s="17"/>
      <c r="C3" s="18"/>
      <c r="D3" s="19"/>
      <c r="E3" s="20"/>
      <c r="F3" s="19"/>
      <c r="G3" s="19"/>
      <c r="H3" s="19"/>
      <c r="I3" s="19"/>
    </row>
    <row r="4" spans="1:11" x14ac:dyDescent="0.3">
      <c r="A4" s="21"/>
      <c r="B4" s="22"/>
      <c r="C4" s="23"/>
      <c r="D4" s="24"/>
      <c r="E4" s="25"/>
      <c r="F4" s="24"/>
      <c r="G4" s="24"/>
      <c r="H4" s="24"/>
      <c r="I4" s="24"/>
    </row>
    <row r="5" spans="1:11" ht="15" thickBot="1" x14ac:dyDescent="0.35">
      <c r="A5" s="21"/>
      <c r="B5" s="22"/>
      <c r="C5" s="23"/>
      <c r="D5" s="24"/>
      <c r="E5" s="25"/>
      <c r="F5" s="24"/>
      <c r="G5" s="26"/>
      <c r="H5" s="26"/>
      <c r="I5" s="24"/>
    </row>
    <row r="6" spans="1:11" ht="29.4" thickTop="1" x14ac:dyDescent="0.3">
      <c r="A6" s="50" t="s">
        <v>0</v>
      </c>
      <c r="B6" s="51" t="s">
        <v>1</v>
      </c>
      <c r="C6" s="52" t="s">
        <v>2</v>
      </c>
      <c r="D6" s="53" t="s">
        <v>147</v>
      </c>
      <c r="E6" s="66" t="s">
        <v>142</v>
      </c>
      <c r="F6" s="66" t="s">
        <v>143</v>
      </c>
      <c r="G6" s="66" t="s">
        <v>144</v>
      </c>
      <c r="H6" s="66" t="s">
        <v>145</v>
      </c>
      <c r="I6" s="53" t="s">
        <v>151</v>
      </c>
    </row>
    <row r="7" spans="1:11" x14ac:dyDescent="0.3">
      <c r="A7" s="63" t="s">
        <v>179</v>
      </c>
      <c r="B7" s="55" t="s">
        <v>180</v>
      </c>
      <c r="C7" s="56" t="s">
        <v>125</v>
      </c>
      <c r="D7" s="14">
        <v>2</v>
      </c>
      <c r="E7" s="41">
        <f>IF(D7="","",_xlfn.XLOOKUP(A7,[5]ריכוז!$A:$A,[5]ריכוז!$D:$D,"אין כזה"))</f>
        <v>150</v>
      </c>
      <c r="F7" s="10">
        <f>IF(E7="","",E7*0.15)</f>
        <v>22.5</v>
      </c>
      <c r="G7" s="10">
        <f>IF(E7="","",E7*0.05)</f>
        <v>7.5</v>
      </c>
      <c r="H7" s="10">
        <f>IF(E7="","",E7*1.05*0.85)</f>
        <v>133.875</v>
      </c>
      <c r="I7" s="57">
        <f>IF(D7="","",H7*D7)</f>
        <v>267.75</v>
      </c>
      <c r="K7" s="38"/>
    </row>
    <row r="8" spans="1:11" s="27" customFormat="1" ht="15.6" x14ac:dyDescent="0.3">
      <c r="A8" s="59" t="s">
        <v>5</v>
      </c>
      <c r="B8" s="60" t="s">
        <v>6</v>
      </c>
      <c r="C8" s="61" t="s">
        <v>3</v>
      </c>
      <c r="D8" s="62" t="s">
        <v>3</v>
      </c>
      <c r="E8" s="41" t="str">
        <f>IF(D8="","",_xlfn.XLOOKUP(A8,[5]ריכוז!$A:$A,[5]ריכוז!$D:$D,"אין כזה"))</f>
        <v/>
      </c>
      <c r="F8" s="62" t="s">
        <v>3</v>
      </c>
      <c r="G8" s="62"/>
      <c r="H8" s="10" t="str">
        <f t="shared" ref="H8:H77" si="0">IF(E8="","",E8*1.05*0.85)</f>
        <v/>
      </c>
      <c r="I8" s="62"/>
      <c r="K8" s="38"/>
    </row>
    <row r="9" spans="1:11" s="27" customFormat="1" ht="15.6" x14ac:dyDescent="0.3">
      <c r="A9" s="59" t="s">
        <v>7</v>
      </c>
      <c r="B9" s="60" t="s">
        <v>8</v>
      </c>
      <c r="C9" s="61" t="s">
        <v>3</v>
      </c>
      <c r="D9" s="62" t="s">
        <v>3</v>
      </c>
      <c r="E9" s="41" t="str">
        <f>IF(D9="","",_xlfn.XLOOKUP(A9,[5]ריכוז!$A:$A,[5]ריכוז!$D:$D,"אין כזה"))</f>
        <v/>
      </c>
      <c r="F9" s="62" t="s">
        <v>3</v>
      </c>
      <c r="G9" s="62"/>
      <c r="H9" s="10" t="str">
        <f t="shared" si="0"/>
        <v/>
      </c>
      <c r="I9" s="62"/>
      <c r="K9" s="38"/>
    </row>
    <row r="10" spans="1:11" ht="57.6" x14ac:dyDescent="0.3">
      <c r="A10" s="63" t="s">
        <v>9</v>
      </c>
      <c r="B10" s="55" t="s">
        <v>10</v>
      </c>
      <c r="C10" s="56" t="s">
        <v>4</v>
      </c>
      <c r="D10" s="57">
        <v>11.32</v>
      </c>
      <c r="E10" s="41">
        <f>IF(D10="","",_xlfn.XLOOKUP(A10,[5]ריכוז!$A:$A,[5]ריכוז!$D:$D,"אין כזה"))</f>
        <v>64</v>
      </c>
      <c r="F10" s="10">
        <f>IF(E10="","",E10*0.15)</f>
        <v>9.6</v>
      </c>
      <c r="G10" s="10">
        <f>IF(E10="","",E10*0.05)</f>
        <v>3.2</v>
      </c>
      <c r="H10" s="10">
        <f t="shared" si="0"/>
        <v>57.12</v>
      </c>
      <c r="I10" s="57">
        <f>IF(D10="","",H10*D10)</f>
        <v>646.59839999999997</v>
      </c>
      <c r="K10" s="38"/>
    </row>
    <row r="11" spans="1:11" s="27" customFormat="1" ht="15.6" x14ac:dyDescent="0.3">
      <c r="A11" s="59" t="s">
        <v>11</v>
      </c>
      <c r="B11" s="60" t="s">
        <v>12</v>
      </c>
      <c r="C11" s="61" t="s">
        <v>3</v>
      </c>
      <c r="D11" s="62" t="s">
        <v>3</v>
      </c>
      <c r="E11" s="41" t="str">
        <f>IF(D11="","",_xlfn.XLOOKUP(A11,[5]ריכוז!$A:$A,[5]ריכוז!$D:$D,"אין כזה"))</f>
        <v/>
      </c>
      <c r="F11" s="10" t="str">
        <f t="shared" ref="F11:F81" si="1">IF(E11="","",E11*0.15)</f>
        <v/>
      </c>
      <c r="G11" s="10" t="str">
        <f t="shared" ref="G11:G81" si="2">IF(E11="","",E11*0.05)</f>
        <v/>
      </c>
      <c r="H11" s="10" t="str">
        <f t="shared" si="0"/>
        <v/>
      </c>
      <c r="I11" s="57" t="str">
        <f t="shared" ref="I11:I81" si="3">IF(D11="","",H11*D11)</f>
        <v/>
      </c>
      <c r="K11" s="38"/>
    </row>
    <row r="12" spans="1:11" s="27" customFormat="1" ht="15.6" x14ac:dyDescent="0.3">
      <c r="A12" s="59" t="s">
        <v>13</v>
      </c>
      <c r="B12" s="60" t="s">
        <v>14</v>
      </c>
      <c r="C12" s="61" t="s">
        <v>3</v>
      </c>
      <c r="D12" s="62" t="s">
        <v>3</v>
      </c>
      <c r="E12" s="41" t="str">
        <f>IF(D12="","",_xlfn.XLOOKUP(A12,[5]ריכוז!$A:$A,[5]ריכוז!$D:$D,"אין כזה"))</f>
        <v/>
      </c>
      <c r="F12" s="10" t="str">
        <f t="shared" si="1"/>
        <v/>
      </c>
      <c r="G12" s="10" t="str">
        <f t="shared" si="2"/>
        <v/>
      </c>
      <c r="H12" s="10" t="str">
        <f t="shared" si="0"/>
        <v/>
      </c>
      <c r="I12" s="57" t="str">
        <f t="shared" si="3"/>
        <v/>
      </c>
      <c r="K12" s="38"/>
    </row>
    <row r="13" spans="1:11" ht="43.2" x14ac:dyDescent="0.3">
      <c r="A13" s="63" t="s">
        <v>15</v>
      </c>
      <c r="B13" s="55" t="s">
        <v>16</v>
      </c>
      <c r="C13" s="56" t="s">
        <v>17</v>
      </c>
      <c r="D13" s="57">
        <v>2</v>
      </c>
      <c r="E13" s="41">
        <f>IF(D13="","",_xlfn.XLOOKUP(A13,[5]ריכוז!$A:$A,[5]ריכוז!$D:$D,"אין כזה"))</f>
        <v>1770</v>
      </c>
      <c r="F13" s="10">
        <f t="shared" si="1"/>
        <v>265.5</v>
      </c>
      <c r="G13" s="10">
        <f t="shared" si="2"/>
        <v>88.5</v>
      </c>
      <c r="H13" s="10">
        <f t="shared" si="0"/>
        <v>1579.7249999999999</v>
      </c>
      <c r="I13" s="57">
        <f t="shared" si="3"/>
        <v>3159.45</v>
      </c>
      <c r="K13" s="38"/>
    </row>
    <row r="14" spans="1:11" x14ac:dyDescent="0.3">
      <c r="A14" s="54"/>
      <c r="B14" s="55"/>
      <c r="C14" s="56"/>
      <c r="D14" s="57"/>
      <c r="E14" s="41" t="str">
        <f>IF(D14="","",_xlfn.XLOOKUP(A14,[5]ריכוז!$A:$A,[5]ריכוז!$D:$D,"אין כזה"))</f>
        <v/>
      </c>
      <c r="F14" s="10" t="str">
        <f t="shared" si="1"/>
        <v/>
      </c>
      <c r="G14" s="10" t="str">
        <f t="shared" si="2"/>
        <v/>
      </c>
      <c r="H14" s="10" t="str">
        <f t="shared" si="0"/>
        <v/>
      </c>
      <c r="I14" s="57" t="str">
        <f t="shared" si="3"/>
        <v/>
      </c>
      <c r="K14" s="38"/>
    </row>
    <row r="15" spans="1:11" s="27" customFormat="1" ht="15.6" x14ac:dyDescent="0.3">
      <c r="A15" s="59" t="s">
        <v>18</v>
      </c>
      <c r="B15" s="60" t="s">
        <v>19</v>
      </c>
      <c r="C15" s="61" t="s">
        <v>3</v>
      </c>
      <c r="D15" s="62" t="s">
        <v>3</v>
      </c>
      <c r="E15" s="41" t="str">
        <f>IF(D15="","",_xlfn.XLOOKUP(A15,[5]ריכוז!$A:$A,[5]ריכוז!$D:$D,"אין כזה"))</f>
        <v/>
      </c>
      <c r="F15" s="10" t="str">
        <f t="shared" si="1"/>
        <v/>
      </c>
      <c r="G15" s="10" t="str">
        <f t="shared" si="2"/>
        <v/>
      </c>
      <c r="H15" s="10" t="str">
        <f t="shared" si="0"/>
        <v/>
      </c>
      <c r="I15" s="57" t="str">
        <f t="shared" si="3"/>
        <v/>
      </c>
      <c r="K15" s="38"/>
    </row>
    <row r="16" spans="1:11" s="27" customFormat="1" ht="15.6" x14ac:dyDescent="0.3">
      <c r="A16" s="59" t="s">
        <v>20</v>
      </c>
      <c r="B16" s="60" t="s">
        <v>21</v>
      </c>
      <c r="C16" s="61" t="s">
        <v>3</v>
      </c>
      <c r="D16" s="62" t="s">
        <v>3</v>
      </c>
      <c r="E16" s="41" t="str">
        <f>IF(D16="","",_xlfn.XLOOKUP(A16,[5]ריכוז!$A:$A,[5]ריכוז!$D:$D,"אין כזה"))</f>
        <v/>
      </c>
      <c r="F16" s="10" t="str">
        <f t="shared" si="1"/>
        <v/>
      </c>
      <c r="G16" s="10" t="str">
        <f t="shared" si="2"/>
        <v/>
      </c>
      <c r="H16" s="10" t="str">
        <f t="shared" si="0"/>
        <v/>
      </c>
      <c r="I16" s="57" t="str">
        <f t="shared" si="3"/>
        <v/>
      </c>
      <c r="K16" s="38"/>
    </row>
    <row r="17" spans="1:11" ht="28.8" x14ac:dyDescent="0.3">
      <c r="A17" s="63" t="s">
        <v>22</v>
      </c>
      <c r="B17" s="55" t="s">
        <v>23</v>
      </c>
      <c r="C17" s="56" t="s">
        <v>24</v>
      </c>
      <c r="D17" s="57">
        <v>0</v>
      </c>
      <c r="E17" s="41">
        <f>IF(D17="","",_xlfn.XLOOKUP(A17,[5]ריכוז!$A:$A,[5]ריכוז!$D:$D,"אין כזה"))</f>
        <v>1760</v>
      </c>
      <c r="F17" s="10">
        <f t="shared" si="1"/>
        <v>264</v>
      </c>
      <c r="G17" s="10">
        <f t="shared" si="2"/>
        <v>88</v>
      </c>
      <c r="H17" s="10">
        <f t="shared" si="0"/>
        <v>1570.8</v>
      </c>
      <c r="I17" s="57">
        <f t="shared" si="3"/>
        <v>0</v>
      </c>
      <c r="K17" s="38"/>
    </row>
    <row r="18" spans="1:11" ht="44.4" customHeight="1" x14ac:dyDescent="0.3">
      <c r="A18" s="63" t="s">
        <v>25</v>
      </c>
      <c r="B18" s="55" t="s">
        <v>26</v>
      </c>
      <c r="C18" s="56" t="s">
        <v>24</v>
      </c>
      <c r="D18" s="57">
        <v>4</v>
      </c>
      <c r="E18" s="41">
        <f>IF(D18="","",_xlfn.XLOOKUP(A18,[5]ריכוז!$A:$A,[5]ריכוז!$D:$D,"אין כזה"))</f>
        <v>1980</v>
      </c>
      <c r="F18" s="10">
        <f t="shared" si="1"/>
        <v>297</v>
      </c>
      <c r="G18" s="10">
        <f t="shared" si="2"/>
        <v>99</v>
      </c>
      <c r="H18" s="10">
        <f t="shared" si="0"/>
        <v>1767.1499999999999</v>
      </c>
      <c r="I18" s="57">
        <f t="shared" si="3"/>
        <v>7068.5999999999995</v>
      </c>
      <c r="K18" s="38"/>
    </row>
    <row r="19" spans="1:11" ht="28.8" x14ac:dyDescent="0.3">
      <c r="A19" s="63" t="s">
        <v>27</v>
      </c>
      <c r="B19" s="55" t="s">
        <v>28</v>
      </c>
      <c r="C19" s="56" t="s">
        <v>24</v>
      </c>
      <c r="D19" s="57">
        <v>0</v>
      </c>
      <c r="E19" s="41">
        <f>IF(D19="","",_xlfn.XLOOKUP(A19,[5]ריכוז!$A:$A,[5]ריכוז!$D:$D,"אין כזה"))</f>
        <v>2210</v>
      </c>
      <c r="F19" s="10">
        <f t="shared" si="1"/>
        <v>331.5</v>
      </c>
      <c r="G19" s="10">
        <f t="shared" si="2"/>
        <v>110.5</v>
      </c>
      <c r="H19" s="10">
        <f t="shared" si="0"/>
        <v>1972.425</v>
      </c>
      <c r="I19" s="57">
        <f t="shared" si="3"/>
        <v>0</v>
      </c>
      <c r="K19" s="38"/>
    </row>
    <row r="20" spans="1:11" ht="28.8" x14ac:dyDescent="0.3">
      <c r="A20" s="63" t="s">
        <v>29</v>
      </c>
      <c r="B20" s="55" t="s">
        <v>30</v>
      </c>
      <c r="C20" s="56" t="s">
        <v>17</v>
      </c>
      <c r="D20" s="57">
        <v>7068</v>
      </c>
      <c r="E20" s="42">
        <f>IF(D20="","",_xlfn.XLOOKUP(A20,[5]ריכוז!$A:$A,[5]ריכוז!$D:$D,"אין כזה"))</f>
        <v>0.15</v>
      </c>
      <c r="F20" s="10">
        <f t="shared" si="1"/>
        <v>2.2499999999999999E-2</v>
      </c>
      <c r="G20" s="10">
        <f t="shared" si="2"/>
        <v>7.4999999999999997E-3</v>
      </c>
      <c r="H20" s="10">
        <f t="shared" si="0"/>
        <v>0.13387499999999999</v>
      </c>
      <c r="I20" s="57">
        <f t="shared" si="3"/>
        <v>946.22849999999994</v>
      </c>
      <c r="K20" s="38"/>
    </row>
    <row r="21" spans="1:11" x14ac:dyDescent="0.3">
      <c r="A21" s="63" t="s">
        <v>31</v>
      </c>
      <c r="B21" s="55" t="s">
        <v>32</v>
      </c>
      <c r="C21" s="56" t="s">
        <v>2</v>
      </c>
      <c r="D21" s="57">
        <v>2</v>
      </c>
      <c r="E21" s="41">
        <f>IF(D21="","",_xlfn.XLOOKUP(A21,[5]ריכוז!$A:$A,[5]ריכוז!$D:$D,"אין כזה"))</f>
        <v>140</v>
      </c>
      <c r="F21" s="10">
        <f t="shared" si="1"/>
        <v>21</v>
      </c>
      <c r="G21" s="10">
        <f t="shared" si="2"/>
        <v>7</v>
      </c>
      <c r="H21" s="10">
        <f t="shared" si="0"/>
        <v>124.95</v>
      </c>
      <c r="I21" s="57">
        <f t="shared" si="3"/>
        <v>249.9</v>
      </c>
      <c r="K21" s="38"/>
    </row>
    <row r="22" spans="1:11" x14ac:dyDescent="0.3">
      <c r="A22" s="63" t="s">
        <v>33</v>
      </c>
      <c r="B22" s="55" t="s">
        <v>34</v>
      </c>
      <c r="C22" s="56" t="s">
        <v>2</v>
      </c>
      <c r="D22" s="57">
        <v>0</v>
      </c>
      <c r="E22" s="41">
        <f>IF(D22="","",_xlfn.XLOOKUP(A22,[5]ריכוז!$A:$A,[5]ריכוז!$D:$D,"אין כזה"))</f>
        <v>240</v>
      </c>
      <c r="F22" s="10">
        <f t="shared" si="1"/>
        <v>36</v>
      </c>
      <c r="G22" s="10">
        <f t="shared" si="2"/>
        <v>12</v>
      </c>
      <c r="H22" s="10">
        <f t="shared" si="0"/>
        <v>214.2</v>
      </c>
      <c r="I22" s="57">
        <f t="shared" si="3"/>
        <v>0</v>
      </c>
      <c r="K22" s="38"/>
    </row>
    <row r="23" spans="1:11" x14ac:dyDescent="0.3">
      <c r="A23" s="63" t="s">
        <v>35</v>
      </c>
      <c r="B23" s="55" t="s">
        <v>36</v>
      </c>
      <c r="C23" s="56" t="s">
        <v>2</v>
      </c>
      <c r="D23" s="57">
        <v>2</v>
      </c>
      <c r="E23" s="41">
        <f>IF(D23="","",_xlfn.XLOOKUP(A23,[5]ריכוז!$A:$A,[5]ריכוז!$D:$D,"אין כזה"))</f>
        <v>310</v>
      </c>
      <c r="F23" s="10">
        <f t="shared" si="1"/>
        <v>46.5</v>
      </c>
      <c r="G23" s="10">
        <f t="shared" si="2"/>
        <v>15.5</v>
      </c>
      <c r="H23" s="10">
        <f t="shared" si="0"/>
        <v>276.67500000000001</v>
      </c>
      <c r="I23" s="57">
        <f t="shared" si="3"/>
        <v>553.35</v>
      </c>
      <c r="K23" s="38"/>
    </row>
    <row r="24" spans="1:11" s="27" customFormat="1" ht="15.6" x14ac:dyDescent="0.3">
      <c r="A24" s="59" t="s">
        <v>37</v>
      </c>
      <c r="B24" s="60" t="s">
        <v>38</v>
      </c>
      <c r="C24" s="61" t="s">
        <v>3</v>
      </c>
      <c r="D24" s="62" t="s">
        <v>3</v>
      </c>
      <c r="E24" s="41" t="str">
        <f>IF(D24="","",_xlfn.XLOOKUP(A24,[5]ריכוז!$A:$A,[5]ריכוז!$D:$D,"אין כזה"))</f>
        <v/>
      </c>
      <c r="F24" s="10" t="str">
        <f t="shared" si="1"/>
        <v/>
      </c>
      <c r="G24" s="10" t="str">
        <f t="shared" si="2"/>
        <v/>
      </c>
      <c r="H24" s="10" t="str">
        <f t="shared" si="0"/>
        <v/>
      </c>
      <c r="I24" s="57" t="str">
        <f t="shared" si="3"/>
        <v/>
      </c>
      <c r="K24" s="38"/>
    </row>
    <row r="25" spans="1:11" ht="28.8" x14ac:dyDescent="0.3">
      <c r="A25" s="63" t="s">
        <v>39</v>
      </c>
      <c r="B25" s="55" t="s">
        <v>40</v>
      </c>
      <c r="C25" s="56" t="s">
        <v>24</v>
      </c>
      <c r="D25" s="57">
        <v>0</v>
      </c>
      <c r="E25" s="41">
        <f>IF(D25="","",_xlfn.XLOOKUP(A25,[5]ריכוז!$A:$A,[5]ריכוז!$D:$D,"אין כזה"))</f>
        <v>2220</v>
      </c>
      <c r="F25" s="10">
        <f t="shared" si="1"/>
        <v>333</v>
      </c>
      <c r="G25" s="10">
        <f t="shared" si="2"/>
        <v>111</v>
      </c>
      <c r="H25" s="10">
        <f t="shared" si="0"/>
        <v>1981.35</v>
      </c>
      <c r="I25" s="57">
        <f t="shared" si="3"/>
        <v>0</v>
      </c>
      <c r="K25" s="38"/>
    </row>
    <row r="26" spans="1:11" ht="28.8" x14ac:dyDescent="0.3">
      <c r="A26" s="63" t="s">
        <v>188</v>
      </c>
      <c r="B26" s="55" t="s">
        <v>40</v>
      </c>
      <c r="C26" s="56" t="s">
        <v>24</v>
      </c>
      <c r="D26" s="57">
        <v>0</v>
      </c>
      <c r="E26" s="41">
        <f>IF(D26="","",_xlfn.XLOOKUP(A26,[5]ריכוז!$A:$A,[5]ריכוז!$D:$D,"אין כזה"))</f>
        <v>2790</v>
      </c>
      <c r="F26" s="10">
        <f t="shared" si="1"/>
        <v>418.5</v>
      </c>
      <c r="G26" s="10">
        <f t="shared" si="2"/>
        <v>139.5</v>
      </c>
      <c r="H26" s="10">
        <f t="shared" si="0"/>
        <v>2490.0749999999998</v>
      </c>
      <c r="I26" s="57">
        <f t="shared" si="3"/>
        <v>0</v>
      </c>
      <c r="K26" s="38"/>
    </row>
    <row r="27" spans="1:11" ht="28.8" x14ac:dyDescent="0.3">
      <c r="A27" s="63" t="s">
        <v>41</v>
      </c>
      <c r="B27" s="55" t="s">
        <v>42</v>
      </c>
      <c r="C27" s="56" t="s">
        <v>24</v>
      </c>
      <c r="D27" s="57">
        <v>0</v>
      </c>
      <c r="E27" s="41">
        <f>IF(D27="","",_xlfn.XLOOKUP(A27,[5]ריכוז!$A:$A,[5]ריכוז!$D:$D,"אין כזה"))</f>
        <v>2700</v>
      </c>
      <c r="F27" s="10">
        <f t="shared" si="1"/>
        <v>405</v>
      </c>
      <c r="G27" s="10">
        <f t="shared" si="2"/>
        <v>135</v>
      </c>
      <c r="H27" s="10">
        <f t="shared" si="0"/>
        <v>2409.75</v>
      </c>
      <c r="I27" s="57">
        <f t="shared" si="3"/>
        <v>0</v>
      </c>
      <c r="K27" s="38"/>
    </row>
    <row r="28" spans="1:11" s="27" customFormat="1" ht="15.6" x14ac:dyDescent="0.3">
      <c r="A28" s="59" t="s">
        <v>43</v>
      </c>
      <c r="B28" s="60" t="s">
        <v>44</v>
      </c>
      <c r="C28" s="61" t="s">
        <v>3</v>
      </c>
      <c r="D28" s="62" t="s">
        <v>3</v>
      </c>
      <c r="E28" s="41" t="str">
        <f>IF(D28="","",_xlfn.XLOOKUP(A28,[5]ריכוז!$A:$A,[5]ריכוז!$D:$D,"אין כזה"))</f>
        <v/>
      </c>
      <c r="F28" s="10" t="str">
        <f t="shared" si="1"/>
        <v/>
      </c>
      <c r="G28" s="10" t="str">
        <f t="shared" si="2"/>
        <v/>
      </c>
      <c r="H28" s="10" t="str">
        <f t="shared" si="0"/>
        <v/>
      </c>
      <c r="I28" s="57" t="str">
        <f t="shared" si="3"/>
        <v/>
      </c>
      <c r="K28" s="38"/>
    </row>
    <row r="29" spans="1:11" ht="28.8" x14ac:dyDescent="0.3">
      <c r="A29" s="63" t="s">
        <v>45</v>
      </c>
      <c r="B29" s="55" t="s">
        <v>46</v>
      </c>
      <c r="C29" s="56" t="s">
        <v>2</v>
      </c>
      <c r="D29" s="57">
        <v>0</v>
      </c>
      <c r="E29" s="41">
        <f>IF(D29="","",_xlfn.XLOOKUP(A29,[5]ריכוז!$A:$A,[5]ריכוז!$D:$D,"אין כזה"))</f>
        <v>1310</v>
      </c>
      <c r="F29" s="10">
        <f t="shared" si="1"/>
        <v>196.5</v>
      </c>
      <c r="G29" s="10">
        <f t="shared" si="2"/>
        <v>65.5</v>
      </c>
      <c r="H29" s="10">
        <f t="shared" si="0"/>
        <v>1169.175</v>
      </c>
      <c r="I29" s="57">
        <f t="shared" si="3"/>
        <v>0</v>
      </c>
      <c r="K29" s="38"/>
    </row>
    <row r="30" spans="1:11" ht="28.8" x14ac:dyDescent="0.3">
      <c r="A30" s="63" t="s">
        <v>47</v>
      </c>
      <c r="B30" s="55" t="s">
        <v>48</v>
      </c>
      <c r="C30" s="56" t="s">
        <v>2</v>
      </c>
      <c r="D30" s="57">
        <v>0</v>
      </c>
      <c r="E30" s="41">
        <f>IF(D30="","",_xlfn.XLOOKUP(A30,[5]ריכוז!$A:$A,[5]ריכוז!$D:$D,"אין כזה"))</f>
        <v>2090</v>
      </c>
      <c r="F30" s="10">
        <f t="shared" si="1"/>
        <v>313.5</v>
      </c>
      <c r="G30" s="10">
        <f t="shared" si="2"/>
        <v>104.5</v>
      </c>
      <c r="H30" s="10">
        <f t="shared" si="0"/>
        <v>1865.325</v>
      </c>
      <c r="I30" s="57">
        <f t="shared" si="3"/>
        <v>0</v>
      </c>
      <c r="K30" s="38"/>
    </row>
    <row r="31" spans="1:11" s="27" customFormat="1" ht="15.6" x14ac:dyDescent="0.3">
      <c r="A31" s="59" t="s">
        <v>50</v>
      </c>
      <c r="B31" s="60" t="s">
        <v>51</v>
      </c>
      <c r="C31" s="61" t="s">
        <v>3</v>
      </c>
      <c r="D31" s="62" t="s">
        <v>3</v>
      </c>
      <c r="E31" s="41" t="str">
        <f>IF(D31="","",_xlfn.XLOOKUP(A31,[5]ריכוז!$A:$A,[5]ריכוז!$D:$D,"אין כזה"))</f>
        <v/>
      </c>
      <c r="F31" s="10" t="str">
        <f t="shared" si="1"/>
        <v/>
      </c>
      <c r="G31" s="10" t="str">
        <f t="shared" si="2"/>
        <v/>
      </c>
      <c r="H31" s="10" t="str">
        <f t="shared" si="0"/>
        <v/>
      </c>
      <c r="I31" s="57" t="str">
        <f t="shared" si="3"/>
        <v/>
      </c>
      <c r="K31" s="38"/>
    </row>
    <row r="32" spans="1:11" ht="28.8" x14ac:dyDescent="0.3">
      <c r="A32" s="63" t="s">
        <v>52</v>
      </c>
      <c r="B32" s="55" t="s">
        <v>53</v>
      </c>
      <c r="C32" s="56" t="s">
        <v>24</v>
      </c>
      <c r="D32" s="57">
        <v>0</v>
      </c>
      <c r="E32" s="41">
        <f>IF(D32="","",_xlfn.XLOOKUP(A32,[5]ריכוז!$A:$A,[5]ריכוז!$D:$D,"אין כזה"))</f>
        <v>1760</v>
      </c>
      <c r="F32" s="10">
        <f t="shared" si="1"/>
        <v>264</v>
      </c>
      <c r="G32" s="10">
        <f t="shared" si="2"/>
        <v>88</v>
      </c>
      <c r="H32" s="10">
        <f t="shared" si="0"/>
        <v>1570.8</v>
      </c>
      <c r="I32" s="57">
        <f t="shared" si="3"/>
        <v>0</v>
      </c>
      <c r="K32" s="38"/>
    </row>
    <row r="33" spans="1:11" ht="28.8" x14ac:dyDescent="0.3">
      <c r="A33" s="63" t="s">
        <v>54</v>
      </c>
      <c r="B33" s="55" t="s">
        <v>55</v>
      </c>
      <c r="C33" s="56" t="s">
        <v>24</v>
      </c>
      <c r="D33" s="57">
        <v>0</v>
      </c>
      <c r="E33" s="41">
        <f>IF(D33="","",_xlfn.XLOOKUP(A33,[5]ריכוז!$A:$A,[5]ריכוז!$D:$D,"אין כזה"))</f>
        <v>1850</v>
      </c>
      <c r="F33" s="10">
        <f t="shared" si="1"/>
        <v>277.5</v>
      </c>
      <c r="G33" s="10">
        <f t="shared" si="2"/>
        <v>92.5</v>
      </c>
      <c r="H33" s="10">
        <f t="shared" si="0"/>
        <v>1651.125</v>
      </c>
      <c r="I33" s="57">
        <f t="shared" si="3"/>
        <v>0</v>
      </c>
      <c r="K33" s="38"/>
    </row>
    <row r="34" spans="1:11" ht="28.8" x14ac:dyDescent="0.3">
      <c r="A34" s="63" t="s">
        <v>56</v>
      </c>
      <c r="B34" s="55" t="s">
        <v>57</v>
      </c>
      <c r="C34" s="56" t="s">
        <v>24</v>
      </c>
      <c r="D34" s="57">
        <v>0</v>
      </c>
      <c r="E34" s="41">
        <f>IF(D34="","",_xlfn.XLOOKUP(A34,[5]ריכוז!$A:$A,[5]ריכוז!$D:$D,"אין כזה"))</f>
        <v>1680</v>
      </c>
      <c r="F34" s="10">
        <f t="shared" si="1"/>
        <v>252</v>
      </c>
      <c r="G34" s="10">
        <f t="shared" si="2"/>
        <v>84</v>
      </c>
      <c r="H34" s="10">
        <f t="shared" si="0"/>
        <v>1499.3999999999999</v>
      </c>
      <c r="I34" s="57">
        <f t="shared" si="3"/>
        <v>0</v>
      </c>
      <c r="K34" s="38"/>
    </row>
    <row r="35" spans="1:11" s="27" customFormat="1" ht="15.6" x14ac:dyDescent="0.3">
      <c r="A35" s="59" t="s">
        <v>58</v>
      </c>
      <c r="B35" s="60" t="s">
        <v>59</v>
      </c>
      <c r="C35" s="61" t="s">
        <v>3</v>
      </c>
      <c r="D35" s="62" t="s">
        <v>3</v>
      </c>
      <c r="E35" s="41" t="str">
        <f>IF(D35="","",_xlfn.XLOOKUP(A35,[5]ריכוז!$A:$A,[5]ריכוז!$D:$D,"אין כזה"))</f>
        <v/>
      </c>
      <c r="F35" s="10" t="str">
        <f t="shared" si="1"/>
        <v/>
      </c>
      <c r="G35" s="10" t="str">
        <f t="shared" si="2"/>
        <v/>
      </c>
      <c r="H35" s="10" t="str">
        <f t="shared" si="0"/>
        <v/>
      </c>
      <c r="I35" s="57" t="str">
        <f t="shared" si="3"/>
        <v/>
      </c>
      <c r="K35" s="38"/>
    </row>
    <row r="36" spans="1:11" s="27" customFormat="1" ht="28.8" x14ac:dyDescent="0.3">
      <c r="A36" s="63" t="s">
        <v>171</v>
      </c>
      <c r="B36" s="55" t="s">
        <v>172</v>
      </c>
      <c r="C36" s="56" t="s">
        <v>24</v>
      </c>
      <c r="D36" s="57">
        <v>0</v>
      </c>
      <c r="E36" s="41">
        <f>IF(D36="","",_xlfn.XLOOKUP(A36,[5]ריכוז!$A:$A,[5]ריכוז!$D:$D,"אין כזה"))</f>
        <v>2850</v>
      </c>
      <c r="F36" s="10">
        <f t="shared" si="1"/>
        <v>427.5</v>
      </c>
      <c r="G36" s="10">
        <f t="shared" si="2"/>
        <v>142.5</v>
      </c>
      <c r="H36" s="10">
        <f t="shared" si="0"/>
        <v>2543.625</v>
      </c>
      <c r="I36" s="57">
        <f t="shared" si="3"/>
        <v>0</v>
      </c>
      <c r="K36" s="38"/>
    </row>
    <row r="37" spans="1:11" ht="28.8" x14ac:dyDescent="0.3">
      <c r="A37" s="63" t="s">
        <v>60</v>
      </c>
      <c r="B37" s="55" t="s">
        <v>61</v>
      </c>
      <c r="C37" s="56" t="s">
        <v>24</v>
      </c>
      <c r="D37" s="57">
        <v>0</v>
      </c>
      <c r="E37" s="41">
        <f>IF(D37="","",_xlfn.XLOOKUP(A37,[5]ריכוז!$A:$A,[5]ריכוז!$D:$D,"אין כזה"))</f>
        <v>2300</v>
      </c>
      <c r="F37" s="10">
        <f t="shared" si="1"/>
        <v>345</v>
      </c>
      <c r="G37" s="10">
        <f t="shared" si="2"/>
        <v>115</v>
      </c>
      <c r="H37" s="10">
        <f t="shared" si="0"/>
        <v>2052.75</v>
      </c>
      <c r="I37" s="57">
        <f t="shared" si="3"/>
        <v>0</v>
      </c>
      <c r="K37" s="38"/>
    </row>
    <row r="38" spans="1:11" ht="28.8" x14ac:dyDescent="0.3">
      <c r="A38" s="63" t="s">
        <v>62</v>
      </c>
      <c r="B38" s="55" t="s">
        <v>63</v>
      </c>
      <c r="C38" s="56" t="s">
        <v>24</v>
      </c>
      <c r="D38" s="57">
        <v>0</v>
      </c>
      <c r="E38" s="41">
        <f>IF(D38="","",_xlfn.XLOOKUP(A38,[5]ריכוז!$A:$A,[5]ריכוז!$D:$D,"אין כזה"))</f>
        <v>3250</v>
      </c>
      <c r="F38" s="10">
        <f t="shared" si="1"/>
        <v>487.5</v>
      </c>
      <c r="G38" s="10">
        <f t="shared" si="2"/>
        <v>162.5</v>
      </c>
      <c r="H38" s="10">
        <f t="shared" si="0"/>
        <v>2900.625</v>
      </c>
      <c r="I38" s="57">
        <f t="shared" si="3"/>
        <v>0</v>
      </c>
      <c r="K38" s="38"/>
    </row>
    <row r="39" spans="1:11" s="27" customFormat="1" ht="15.6" x14ac:dyDescent="0.3">
      <c r="A39" s="59" t="s">
        <v>64</v>
      </c>
      <c r="B39" s="60" t="s">
        <v>65</v>
      </c>
      <c r="C39" s="61" t="s">
        <v>3</v>
      </c>
      <c r="D39" s="62" t="s">
        <v>3</v>
      </c>
      <c r="E39" s="41" t="str">
        <f>IF(D39="","",_xlfn.XLOOKUP(A39,[5]ריכוז!$A:$A,[5]ריכוז!$D:$D,"אין כזה"))</f>
        <v/>
      </c>
      <c r="F39" s="10" t="str">
        <f t="shared" si="1"/>
        <v/>
      </c>
      <c r="G39" s="10" t="str">
        <f t="shared" si="2"/>
        <v/>
      </c>
      <c r="H39" s="10" t="str">
        <f t="shared" si="0"/>
        <v/>
      </c>
      <c r="I39" s="57" t="str">
        <f t="shared" si="3"/>
        <v/>
      </c>
      <c r="K39" s="38"/>
    </row>
    <row r="40" spans="1:11" x14ac:dyDescent="0.3">
      <c r="A40" s="63" t="s">
        <v>66</v>
      </c>
      <c r="B40" s="55" t="s">
        <v>67</v>
      </c>
      <c r="C40" s="56" t="s">
        <v>24</v>
      </c>
      <c r="D40" s="57">
        <f>D33+D38</f>
        <v>0</v>
      </c>
      <c r="E40" s="41">
        <f>IF(D40="","",_xlfn.XLOOKUP(A40,[5]ריכוז!$A:$A,[5]ריכוז!$D:$D,"אין כזה"))</f>
        <v>88</v>
      </c>
      <c r="F40" s="10">
        <f t="shared" si="1"/>
        <v>13.2</v>
      </c>
      <c r="G40" s="10">
        <f t="shared" si="2"/>
        <v>4.4000000000000004</v>
      </c>
      <c r="H40" s="10">
        <f t="shared" si="0"/>
        <v>78.540000000000006</v>
      </c>
      <c r="I40" s="57">
        <f t="shared" si="3"/>
        <v>0</v>
      </c>
      <c r="K40" s="38"/>
    </row>
    <row r="41" spans="1:11" s="27" customFormat="1" ht="15.6" x14ac:dyDescent="0.3">
      <c r="A41" s="59" t="s">
        <v>68</v>
      </c>
      <c r="B41" s="60" t="s">
        <v>69</v>
      </c>
      <c r="C41" s="61" t="s">
        <v>3</v>
      </c>
      <c r="D41" s="62" t="s">
        <v>3</v>
      </c>
      <c r="E41" s="41" t="str">
        <f>IF(D41="","",_xlfn.XLOOKUP(A41,[5]ריכוז!$A:$A,[5]ריכוז!$D:$D,"אין כזה"))</f>
        <v/>
      </c>
      <c r="F41" s="10" t="str">
        <f t="shared" si="1"/>
        <v/>
      </c>
      <c r="G41" s="10" t="str">
        <f t="shared" si="2"/>
        <v/>
      </c>
      <c r="H41" s="10" t="str">
        <f t="shared" si="0"/>
        <v/>
      </c>
      <c r="I41" s="57" t="str">
        <f t="shared" si="3"/>
        <v/>
      </c>
      <c r="K41" s="38"/>
    </row>
    <row r="42" spans="1:11" ht="28.8" x14ac:dyDescent="0.3">
      <c r="A42" s="63" t="s">
        <v>70</v>
      </c>
      <c r="B42" s="55" t="s">
        <v>71</v>
      </c>
      <c r="C42" s="56" t="s">
        <v>24</v>
      </c>
      <c r="D42" s="57">
        <v>4</v>
      </c>
      <c r="E42" s="41">
        <f>IF(D42="","",_xlfn.XLOOKUP(A42,[5]ריכוז!$A:$A,[5]ריכוז!$D:$D,"אין כזה"))</f>
        <v>717</v>
      </c>
      <c r="F42" s="10">
        <f t="shared" si="1"/>
        <v>107.55</v>
      </c>
      <c r="G42" s="10">
        <f t="shared" si="2"/>
        <v>35.85</v>
      </c>
      <c r="H42" s="10">
        <f t="shared" si="0"/>
        <v>639.92250000000001</v>
      </c>
      <c r="I42" s="57">
        <f t="shared" si="3"/>
        <v>2559.69</v>
      </c>
      <c r="K42" s="38"/>
    </row>
    <row r="43" spans="1:11" ht="28.8" x14ac:dyDescent="0.3">
      <c r="A43" s="63" t="s">
        <v>72</v>
      </c>
      <c r="B43" s="55" t="s">
        <v>73</v>
      </c>
      <c r="C43" s="56" t="s">
        <v>24</v>
      </c>
      <c r="D43" s="57">
        <v>0</v>
      </c>
      <c r="E43" s="41">
        <f>IF(D43="","",_xlfn.XLOOKUP(A43,[5]ריכוז!$A:$A,[5]ריכוז!$D:$D,"אין כזה"))</f>
        <v>582</v>
      </c>
      <c r="F43" s="10">
        <f t="shared" si="1"/>
        <v>87.3</v>
      </c>
      <c r="G43" s="10">
        <f t="shared" si="2"/>
        <v>29.1</v>
      </c>
      <c r="H43" s="10">
        <f t="shared" si="0"/>
        <v>519.43500000000006</v>
      </c>
      <c r="I43" s="57">
        <f t="shared" si="3"/>
        <v>0</v>
      </c>
      <c r="K43" s="38"/>
    </row>
    <row r="44" spans="1:11" ht="28.2" x14ac:dyDescent="0.3">
      <c r="A44" s="9" t="s">
        <v>218</v>
      </c>
      <c r="B44" s="2" t="s">
        <v>219</v>
      </c>
      <c r="C44" s="56" t="s">
        <v>24</v>
      </c>
      <c r="D44" s="57">
        <v>0</v>
      </c>
      <c r="E44" s="41">
        <v>800</v>
      </c>
      <c r="F44" s="10">
        <f t="shared" si="1"/>
        <v>120</v>
      </c>
      <c r="G44" s="10">
        <f t="shared" si="2"/>
        <v>40</v>
      </c>
      <c r="H44" s="10">
        <f t="shared" si="0"/>
        <v>714</v>
      </c>
      <c r="I44" s="57">
        <f t="shared" si="3"/>
        <v>0</v>
      </c>
      <c r="K44" s="38"/>
    </row>
    <row r="45" spans="1:11" ht="28.8" x14ac:dyDescent="0.3">
      <c r="A45" s="63" t="s">
        <v>173</v>
      </c>
      <c r="B45" s="55" t="s">
        <v>174</v>
      </c>
      <c r="C45" s="56" t="s">
        <v>24</v>
      </c>
      <c r="D45" s="57">
        <f>D33</f>
        <v>0</v>
      </c>
      <c r="E45" s="41">
        <f>IF(D45="","",_xlfn.XLOOKUP(A45,[5]ריכוז!$A:$A,[5]ריכוז!$D:$D,"אין כזה"))</f>
        <v>1440</v>
      </c>
      <c r="F45" s="10">
        <f t="shared" si="1"/>
        <v>216</v>
      </c>
      <c r="G45" s="10">
        <f t="shared" si="2"/>
        <v>72</v>
      </c>
      <c r="H45" s="10">
        <f t="shared" si="0"/>
        <v>1285.2</v>
      </c>
      <c r="I45" s="57">
        <f t="shared" si="3"/>
        <v>0</v>
      </c>
      <c r="K45" s="38"/>
    </row>
    <row r="46" spans="1:11" x14ac:dyDescent="0.3">
      <c r="A46" s="63" t="s">
        <v>74</v>
      </c>
      <c r="B46" s="55" t="s">
        <v>75</v>
      </c>
      <c r="C46" s="56" t="s">
        <v>2</v>
      </c>
      <c r="D46" s="57">
        <v>0</v>
      </c>
      <c r="E46" s="41">
        <f>IF(D46="","",_xlfn.XLOOKUP(A46,[5]ריכוז!$A:$A,[5]ריכוז!$D:$D,"אין כזה"))</f>
        <v>620</v>
      </c>
      <c r="F46" s="10">
        <f t="shared" si="1"/>
        <v>93</v>
      </c>
      <c r="G46" s="10">
        <f t="shared" si="2"/>
        <v>31</v>
      </c>
      <c r="H46" s="10">
        <f t="shared" si="0"/>
        <v>553.35</v>
      </c>
      <c r="I46" s="57">
        <f t="shared" si="3"/>
        <v>0</v>
      </c>
      <c r="K46" s="38"/>
    </row>
    <row r="47" spans="1:11" x14ac:dyDescent="0.3">
      <c r="A47" s="63" t="s">
        <v>76</v>
      </c>
      <c r="B47" s="55" t="s">
        <v>77</v>
      </c>
      <c r="C47" s="56" t="s">
        <v>2</v>
      </c>
      <c r="D47" s="57">
        <v>0</v>
      </c>
      <c r="E47" s="41">
        <f>IF(D47="","",_xlfn.XLOOKUP(A47,[5]ריכוז!$A:$A,[5]ריכוז!$D:$D,"אין כזה"))</f>
        <v>750</v>
      </c>
      <c r="F47" s="10">
        <f t="shared" si="1"/>
        <v>112.5</v>
      </c>
      <c r="G47" s="10">
        <f t="shared" si="2"/>
        <v>37.5</v>
      </c>
      <c r="H47" s="10">
        <f t="shared" si="0"/>
        <v>669.375</v>
      </c>
      <c r="I47" s="57">
        <f t="shared" si="3"/>
        <v>0</v>
      </c>
      <c r="K47" s="38"/>
    </row>
    <row r="48" spans="1:11" x14ac:dyDescent="0.3">
      <c r="A48" s="63" t="s">
        <v>78</v>
      </c>
      <c r="B48" s="55" t="s">
        <v>79</v>
      </c>
      <c r="C48" s="56" t="s">
        <v>2</v>
      </c>
      <c r="D48" s="57">
        <v>2</v>
      </c>
      <c r="E48" s="41">
        <f>IF(D48="","",_xlfn.XLOOKUP(A48,[5]ריכוז!$A:$A,[5]ריכוז!$D:$D,"אין כזה"))</f>
        <v>1020</v>
      </c>
      <c r="F48" s="10">
        <f t="shared" si="1"/>
        <v>153</v>
      </c>
      <c r="G48" s="10">
        <f t="shared" si="2"/>
        <v>51</v>
      </c>
      <c r="H48" s="10">
        <f t="shared" si="0"/>
        <v>910.35</v>
      </c>
      <c r="I48" s="57">
        <f t="shared" si="3"/>
        <v>1820.7</v>
      </c>
      <c r="K48" s="38"/>
    </row>
    <row r="49" spans="1:11" x14ac:dyDescent="0.3">
      <c r="A49" s="63" t="s">
        <v>80</v>
      </c>
      <c r="B49" s="55" t="s">
        <v>81</v>
      </c>
      <c r="C49" s="56" t="s">
        <v>2</v>
      </c>
      <c r="D49" s="57">
        <v>0</v>
      </c>
      <c r="E49" s="41">
        <f>IF(D49="","",_xlfn.XLOOKUP(A49,[5]ריכוז!$A:$A,[5]ריכוז!$D:$D,"אין כזה"))</f>
        <v>1370</v>
      </c>
      <c r="F49" s="10">
        <f t="shared" si="1"/>
        <v>205.5</v>
      </c>
      <c r="G49" s="10">
        <f t="shared" si="2"/>
        <v>68.5</v>
      </c>
      <c r="H49" s="10">
        <f t="shared" si="0"/>
        <v>1222.7249999999999</v>
      </c>
      <c r="I49" s="57">
        <f t="shared" si="3"/>
        <v>0</v>
      </c>
      <c r="K49" s="38"/>
    </row>
    <row r="50" spans="1:11" x14ac:dyDescent="0.3">
      <c r="A50" s="63" t="s">
        <v>82</v>
      </c>
      <c r="B50" s="55" t="s">
        <v>83</v>
      </c>
      <c r="C50" s="56" t="s">
        <v>2</v>
      </c>
      <c r="D50" s="57">
        <v>0</v>
      </c>
      <c r="E50" s="41">
        <f>IF(D50="","",_xlfn.XLOOKUP(A50,[5]ריכוז!$A:$A,[5]ריכוז!$D:$D,"אין כזה"))</f>
        <v>1650</v>
      </c>
      <c r="F50" s="10">
        <f t="shared" si="1"/>
        <v>247.5</v>
      </c>
      <c r="G50" s="10">
        <f t="shared" si="2"/>
        <v>82.5</v>
      </c>
      <c r="H50" s="10">
        <f t="shared" si="0"/>
        <v>1472.625</v>
      </c>
      <c r="I50" s="57">
        <f t="shared" si="3"/>
        <v>0</v>
      </c>
      <c r="K50" s="38"/>
    </row>
    <row r="51" spans="1:11" x14ac:dyDescent="0.3">
      <c r="A51" s="63" t="s">
        <v>84</v>
      </c>
      <c r="B51" s="55" t="s">
        <v>85</v>
      </c>
      <c r="C51" s="56" t="s">
        <v>2</v>
      </c>
      <c r="D51" s="57">
        <v>0</v>
      </c>
      <c r="E51" s="41">
        <f>IF(D51="","",_xlfn.XLOOKUP(A51,[5]ריכוז!$A:$A,[5]ריכוז!$D:$D,"אין כזה"))</f>
        <v>1820</v>
      </c>
      <c r="F51" s="10">
        <f t="shared" si="1"/>
        <v>273</v>
      </c>
      <c r="G51" s="10">
        <f t="shared" si="2"/>
        <v>91</v>
      </c>
      <c r="H51" s="10">
        <f t="shared" si="0"/>
        <v>1624.35</v>
      </c>
      <c r="I51" s="57">
        <f t="shared" si="3"/>
        <v>0</v>
      </c>
      <c r="K51" s="38"/>
    </row>
    <row r="52" spans="1:11" x14ac:dyDescent="0.3">
      <c r="A52" s="63" t="s">
        <v>86</v>
      </c>
      <c r="B52" s="55" t="s">
        <v>87</v>
      </c>
      <c r="C52" s="56" t="s">
        <v>2</v>
      </c>
      <c r="D52" s="57">
        <v>2</v>
      </c>
      <c r="E52" s="41">
        <f>IF(D52="","",_xlfn.XLOOKUP(A52,[5]ריכוז!$A:$A,[5]ריכוז!$D:$D,"אין כזה"))</f>
        <v>130</v>
      </c>
      <c r="F52" s="10">
        <f t="shared" si="1"/>
        <v>19.5</v>
      </c>
      <c r="G52" s="10">
        <f t="shared" si="2"/>
        <v>6.5</v>
      </c>
      <c r="H52" s="10">
        <f t="shared" si="0"/>
        <v>116.02499999999999</v>
      </c>
      <c r="I52" s="57">
        <f t="shared" si="3"/>
        <v>232.04999999999998</v>
      </c>
      <c r="K52" s="38"/>
    </row>
    <row r="53" spans="1:11" x14ac:dyDescent="0.3">
      <c r="A53" s="63" t="s">
        <v>175</v>
      </c>
      <c r="B53" s="55" t="s">
        <v>176</v>
      </c>
      <c r="C53" s="56" t="s">
        <v>24</v>
      </c>
      <c r="D53" s="57">
        <f>(D44+D45+D42+D43)</f>
        <v>4</v>
      </c>
      <c r="E53" s="41">
        <f>IF(D53="","",_xlfn.XLOOKUP(A53,[5]ריכוז!$A:$A,[5]ריכוז!$D:$D,"אין כזה"))</f>
        <v>60</v>
      </c>
      <c r="F53" s="10">
        <f t="shared" si="1"/>
        <v>9</v>
      </c>
      <c r="G53" s="10">
        <f t="shared" si="2"/>
        <v>3</v>
      </c>
      <c r="H53" s="10">
        <f t="shared" si="0"/>
        <v>53.55</v>
      </c>
      <c r="I53" s="57">
        <f t="shared" si="3"/>
        <v>214.2</v>
      </c>
      <c r="K53" s="38"/>
    </row>
    <row r="54" spans="1:11" x14ac:dyDescent="0.3">
      <c r="A54" s="63" t="s">
        <v>88</v>
      </c>
      <c r="B54" s="55" t="s">
        <v>89</v>
      </c>
      <c r="C54" s="56" t="s">
        <v>2</v>
      </c>
      <c r="D54" s="57">
        <v>0</v>
      </c>
      <c r="E54" s="41">
        <f>IF(D54="","",_xlfn.XLOOKUP(A54,[5]ריכוז!$A:$A,[5]ריכוז!$D:$D,"אין כזה"))</f>
        <v>109</v>
      </c>
      <c r="F54" s="10">
        <f t="shared" si="1"/>
        <v>16.349999999999998</v>
      </c>
      <c r="G54" s="10">
        <f t="shared" si="2"/>
        <v>5.45</v>
      </c>
      <c r="H54" s="10">
        <f t="shared" si="0"/>
        <v>97.282499999999999</v>
      </c>
      <c r="I54" s="57">
        <f t="shared" si="3"/>
        <v>0</v>
      </c>
      <c r="K54" s="38"/>
    </row>
    <row r="55" spans="1:11" x14ac:dyDescent="0.3">
      <c r="A55" s="63" t="s">
        <v>90</v>
      </c>
      <c r="B55" s="55" t="s">
        <v>91</v>
      </c>
      <c r="C55" s="56" t="s">
        <v>2</v>
      </c>
      <c r="D55" s="57">
        <v>2</v>
      </c>
      <c r="E55" s="41">
        <f>IF(D55="","",_xlfn.XLOOKUP(A55,[5]ריכוז!$A:$A,[5]ריכוז!$D:$D,"אין כזה"))</f>
        <v>121</v>
      </c>
      <c r="F55" s="10">
        <f t="shared" si="1"/>
        <v>18.149999999999999</v>
      </c>
      <c r="G55" s="10">
        <f t="shared" si="2"/>
        <v>6.0500000000000007</v>
      </c>
      <c r="H55" s="10">
        <f t="shared" si="0"/>
        <v>107.99250000000001</v>
      </c>
      <c r="I55" s="57">
        <f t="shared" si="3"/>
        <v>215.98500000000001</v>
      </c>
      <c r="K55" s="38"/>
    </row>
    <row r="56" spans="1:11" ht="14.4" customHeight="1" x14ac:dyDescent="0.3">
      <c r="A56" s="63" t="s">
        <v>195</v>
      </c>
      <c r="B56" s="55" t="s">
        <v>182</v>
      </c>
      <c r="C56" s="56" t="s">
        <v>2</v>
      </c>
      <c r="D56" s="57">
        <v>0</v>
      </c>
      <c r="E56" s="41">
        <f>IF(D56="","",_xlfn.XLOOKUP(A56,[5]ריכוז!$A:$A,[5]ריכוז!$D:$D,"אין כזה"))</f>
        <v>133</v>
      </c>
      <c r="F56" s="10">
        <f t="shared" si="1"/>
        <v>19.95</v>
      </c>
      <c r="G56" s="10">
        <f t="shared" si="2"/>
        <v>6.65</v>
      </c>
      <c r="H56" s="10">
        <f t="shared" si="0"/>
        <v>118.7025</v>
      </c>
      <c r="I56" s="57">
        <f t="shared" si="3"/>
        <v>0</v>
      </c>
      <c r="K56" s="38"/>
    </row>
    <row r="57" spans="1:11" ht="14.4" customHeight="1" x14ac:dyDescent="0.3">
      <c r="A57" s="63" t="s">
        <v>196</v>
      </c>
      <c r="B57" s="55" t="s">
        <v>183</v>
      </c>
      <c r="C57" s="56" t="s">
        <v>2</v>
      </c>
      <c r="D57" s="57">
        <v>0</v>
      </c>
      <c r="E57" s="41">
        <f>IF(D57="","",_xlfn.XLOOKUP(A57,[5]ריכוז!$A:$A,[5]ריכוז!$D:$D,"אין כזה"))</f>
        <v>145</v>
      </c>
      <c r="F57" s="10">
        <f t="shared" si="1"/>
        <v>21.75</v>
      </c>
      <c r="G57" s="10">
        <f t="shared" si="2"/>
        <v>7.25</v>
      </c>
      <c r="H57" s="10">
        <f t="shared" si="0"/>
        <v>129.41249999999999</v>
      </c>
      <c r="I57" s="57">
        <f t="shared" si="3"/>
        <v>0</v>
      </c>
      <c r="K57" s="38"/>
    </row>
    <row r="58" spans="1:11" ht="14.4" customHeight="1" x14ac:dyDescent="0.3">
      <c r="A58" s="63" t="s">
        <v>197</v>
      </c>
      <c r="B58" s="55" t="s">
        <v>184</v>
      </c>
      <c r="C58" s="56" t="s">
        <v>2</v>
      </c>
      <c r="D58" s="57">
        <v>0</v>
      </c>
      <c r="E58" s="41">
        <f>IF(D58="","",_xlfn.XLOOKUP(A58,[5]ריכוז!$A:$A,[5]ריכוז!$D:$D,"אין כזה"))</f>
        <v>157</v>
      </c>
      <c r="F58" s="10">
        <f t="shared" si="1"/>
        <v>23.55</v>
      </c>
      <c r="G58" s="10">
        <f t="shared" si="2"/>
        <v>7.8500000000000005</v>
      </c>
      <c r="H58" s="10">
        <f t="shared" si="0"/>
        <v>140.1225</v>
      </c>
      <c r="I58" s="57">
        <f t="shared" si="3"/>
        <v>0</v>
      </c>
      <c r="K58" s="38"/>
    </row>
    <row r="59" spans="1:11" ht="14.4" customHeight="1" x14ac:dyDescent="0.3">
      <c r="A59" s="63" t="s">
        <v>198</v>
      </c>
      <c r="B59" s="55" t="s">
        <v>185</v>
      </c>
      <c r="C59" s="56" t="s">
        <v>2</v>
      </c>
      <c r="D59" s="57">
        <v>0</v>
      </c>
      <c r="E59" s="41">
        <f>IF(D59="","",_xlfn.XLOOKUP(A59,[5]ריכוז!$A:$A,[5]ריכוז!$D:$D,"אין כזה"))</f>
        <v>169</v>
      </c>
      <c r="F59" s="10">
        <f t="shared" si="1"/>
        <v>25.349999999999998</v>
      </c>
      <c r="G59" s="10">
        <f t="shared" si="2"/>
        <v>8.4500000000000011</v>
      </c>
      <c r="H59" s="10">
        <f t="shared" si="0"/>
        <v>150.83250000000001</v>
      </c>
      <c r="I59" s="57">
        <f t="shared" si="3"/>
        <v>0</v>
      </c>
      <c r="K59" s="38"/>
    </row>
    <row r="60" spans="1:11" ht="14.4" customHeight="1" x14ac:dyDescent="0.3">
      <c r="A60" s="63" t="s">
        <v>199</v>
      </c>
      <c r="B60" s="55" t="s">
        <v>186</v>
      </c>
      <c r="C60" s="56" t="s">
        <v>2</v>
      </c>
      <c r="D60" s="57">
        <v>0</v>
      </c>
      <c r="E60" s="41">
        <f>IF(D60="","",_xlfn.XLOOKUP(A60,[5]ריכוז!$A:$A,[5]ריכוז!$D:$D,"אין כזה"))</f>
        <v>181</v>
      </c>
      <c r="F60" s="10">
        <f t="shared" si="1"/>
        <v>27.15</v>
      </c>
      <c r="G60" s="10">
        <f t="shared" si="2"/>
        <v>9.0500000000000007</v>
      </c>
      <c r="H60" s="10">
        <f t="shared" si="0"/>
        <v>161.54250000000002</v>
      </c>
      <c r="I60" s="57">
        <f t="shared" si="3"/>
        <v>0</v>
      </c>
      <c r="K60" s="38"/>
    </row>
    <row r="61" spans="1:11" ht="14.4" customHeight="1" x14ac:dyDescent="0.3">
      <c r="A61" s="63" t="s">
        <v>200</v>
      </c>
      <c r="B61" s="55" t="s">
        <v>187</v>
      </c>
      <c r="C61" s="56" t="s">
        <v>2</v>
      </c>
      <c r="D61" s="57">
        <v>0</v>
      </c>
      <c r="E61" s="41">
        <f>IF(D61="","",_xlfn.XLOOKUP(A61,[5]ריכוז!$A:$A,[5]ריכוז!$D:$D,"אין כזה"))</f>
        <v>193</v>
      </c>
      <c r="F61" s="10">
        <f t="shared" si="1"/>
        <v>28.95</v>
      </c>
      <c r="G61" s="10">
        <f t="shared" si="2"/>
        <v>9.65</v>
      </c>
      <c r="H61" s="10">
        <f t="shared" si="0"/>
        <v>172.2525</v>
      </c>
      <c r="I61" s="57">
        <f t="shared" si="3"/>
        <v>0</v>
      </c>
      <c r="K61" s="38"/>
    </row>
    <row r="62" spans="1:11" s="27" customFormat="1" ht="15.6" x14ac:dyDescent="0.3">
      <c r="A62" s="59" t="s">
        <v>92</v>
      </c>
      <c r="B62" s="60" t="s">
        <v>93</v>
      </c>
      <c r="C62" s="61" t="s">
        <v>3</v>
      </c>
      <c r="D62" s="62" t="s">
        <v>3</v>
      </c>
      <c r="E62" s="41" t="str">
        <f>IF(D62="","",_xlfn.XLOOKUP(A62,[5]ריכוז!$A:$A,[5]ריכוז!$D:$D,"אין כזה"))</f>
        <v/>
      </c>
      <c r="F62" s="10" t="str">
        <f t="shared" si="1"/>
        <v/>
      </c>
      <c r="G62" s="10" t="str">
        <f t="shared" si="2"/>
        <v/>
      </c>
      <c r="H62" s="10" t="str">
        <f t="shared" si="0"/>
        <v/>
      </c>
      <c r="I62" s="57" t="str">
        <f t="shared" si="3"/>
        <v/>
      </c>
      <c r="K62" s="38"/>
    </row>
    <row r="63" spans="1:11" ht="15" thickBot="1" x14ac:dyDescent="0.35">
      <c r="A63" s="54" t="s">
        <v>94</v>
      </c>
      <c r="B63" s="55" t="s">
        <v>95</v>
      </c>
      <c r="C63" s="56" t="s">
        <v>24</v>
      </c>
      <c r="D63" s="144">
        <f>D64</f>
        <v>1.968</v>
      </c>
      <c r="E63" s="41">
        <f>IF(D63="","",_xlfn.XLOOKUP(A63,[5]ריכוז!$A:$A,[5]ריכוז!$D:$D,"אין כזה"))</f>
        <v>53</v>
      </c>
      <c r="F63" s="10">
        <f t="shared" si="1"/>
        <v>7.9499999999999993</v>
      </c>
      <c r="G63" s="10">
        <f t="shared" si="2"/>
        <v>2.6500000000000004</v>
      </c>
      <c r="H63" s="10">
        <f t="shared" si="0"/>
        <v>47.302500000000002</v>
      </c>
      <c r="I63" s="57">
        <f t="shared" si="3"/>
        <v>93.091319999999996</v>
      </c>
      <c r="K63" s="38"/>
    </row>
    <row r="64" spans="1:11" ht="43.2" x14ac:dyDescent="0.3">
      <c r="A64" s="54" t="s">
        <v>96</v>
      </c>
      <c r="B64" s="55" t="s">
        <v>97</v>
      </c>
      <c r="C64" s="56" t="s">
        <v>24</v>
      </c>
      <c r="D64" s="57">
        <v>1.968</v>
      </c>
      <c r="E64" s="41">
        <f>IF(D64="","",_xlfn.XLOOKUP(A64,[5]ריכוז!$A:$A,[5]ריכוז!$D:$D,"אין כזה"))</f>
        <v>880</v>
      </c>
      <c r="F64" s="10">
        <f t="shared" si="1"/>
        <v>132</v>
      </c>
      <c r="G64" s="10">
        <f t="shared" si="2"/>
        <v>44</v>
      </c>
      <c r="H64" s="10">
        <f t="shared" si="0"/>
        <v>785.4</v>
      </c>
      <c r="I64" s="57">
        <f t="shared" si="3"/>
        <v>1545.6671999999999</v>
      </c>
      <c r="K64" s="38"/>
    </row>
    <row r="65" spans="1:11" ht="43.2" x14ac:dyDescent="0.3">
      <c r="A65" s="54" t="s">
        <v>215</v>
      </c>
      <c r="B65" s="55" t="s">
        <v>98</v>
      </c>
      <c r="C65" s="56" t="s">
        <v>24</v>
      </c>
      <c r="D65" s="57">
        <v>0</v>
      </c>
      <c r="E65" s="41">
        <f>IF(D65="","",_xlfn.XLOOKUP(A65,[5]ריכוז!$A:$A,[5]ריכוז!$D:$D,"אין כזה"))</f>
        <v>650</v>
      </c>
      <c r="F65" s="10">
        <f t="shared" si="1"/>
        <v>97.5</v>
      </c>
      <c r="G65" s="10">
        <f t="shared" si="2"/>
        <v>32.5</v>
      </c>
      <c r="H65" s="10">
        <f t="shared" si="0"/>
        <v>580.125</v>
      </c>
      <c r="I65" s="57">
        <f t="shared" si="3"/>
        <v>0</v>
      </c>
      <c r="K65" s="38"/>
    </row>
    <row r="66" spans="1:11" s="27" customFormat="1" ht="15.6" x14ac:dyDescent="0.3">
      <c r="A66" s="59" t="s">
        <v>99</v>
      </c>
      <c r="B66" s="60" t="s">
        <v>100</v>
      </c>
      <c r="C66" s="61" t="s">
        <v>3</v>
      </c>
      <c r="D66" s="62" t="s">
        <v>3</v>
      </c>
      <c r="E66" s="41" t="str">
        <f>IF(D66="","",_xlfn.XLOOKUP(A66,[5]ריכוז!$A:$A,[5]ריכוז!$D:$D,"אין כזה"))</f>
        <v/>
      </c>
      <c r="F66" s="10" t="str">
        <f t="shared" si="1"/>
        <v/>
      </c>
      <c r="G66" s="10" t="str">
        <f t="shared" si="2"/>
        <v/>
      </c>
      <c r="H66" s="10" t="str">
        <f t="shared" si="0"/>
        <v/>
      </c>
      <c r="I66" s="57" t="str">
        <f t="shared" si="3"/>
        <v/>
      </c>
      <c r="K66" s="38"/>
    </row>
    <row r="67" spans="1:11" x14ac:dyDescent="0.3">
      <c r="A67" s="63" t="s">
        <v>101</v>
      </c>
      <c r="B67" s="55" t="s">
        <v>102</v>
      </c>
      <c r="C67" s="56" t="s">
        <v>24</v>
      </c>
      <c r="D67" s="57">
        <v>0</v>
      </c>
      <c r="E67" s="41">
        <f>IF(D67="","",_xlfn.XLOOKUP(A67,[5]ריכוז!$A:$A,[5]ריכוז!$D:$D,"אין כזה"))</f>
        <v>265</v>
      </c>
      <c r="F67" s="10">
        <f t="shared" si="1"/>
        <v>39.75</v>
      </c>
      <c r="G67" s="10">
        <f t="shared" si="2"/>
        <v>13.25</v>
      </c>
      <c r="H67" s="10">
        <f t="shared" si="0"/>
        <v>236.51249999999999</v>
      </c>
      <c r="I67" s="57">
        <f t="shared" si="3"/>
        <v>0</v>
      </c>
      <c r="K67" s="38"/>
    </row>
    <row r="68" spans="1:11" x14ac:dyDescent="0.3">
      <c r="A68" s="64" t="s">
        <v>103</v>
      </c>
      <c r="B68" s="65" t="s">
        <v>104</v>
      </c>
      <c r="C68" s="56" t="s">
        <v>24</v>
      </c>
      <c r="D68" s="57">
        <f>-D70</f>
        <v>3.9359999999999999</v>
      </c>
      <c r="E68" s="41">
        <f>IF(D68="","",_xlfn.XLOOKUP(A68,[5]ריכוז!$A:$A,[5]ריכוז!$D:$D,"אין כזה"))</f>
        <v>375</v>
      </c>
      <c r="F68" s="10">
        <f t="shared" si="1"/>
        <v>56.25</v>
      </c>
      <c r="G68" s="10">
        <f t="shared" si="2"/>
        <v>18.75</v>
      </c>
      <c r="H68" s="10">
        <f t="shared" si="0"/>
        <v>334.6875</v>
      </c>
      <c r="I68" s="57">
        <f t="shared" si="3"/>
        <v>1317.33</v>
      </c>
      <c r="K68" s="38"/>
    </row>
    <row r="69" spans="1:11" x14ac:dyDescent="0.3">
      <c r="A69" s="64" t="s">
        <v>105</v>
      </c>
      <c r="B69" s="65" t="s">
        <v>106</v>
      </c>
      <c r="C69" s="56" t="s">
        <v>24</v>
      </c>
      <c r="D69" s="57">
        <f>-D19</f>
        <v>0</v>
      </c>
      <c r="E69" s="41">
        <f>IF(D69="","",_xlfn.XLOOKUP(A69,[5]ריכוז!$A:$A,[5]ריכוז!$D:$D,"אין כזה"))</f>
        <v>317</v>
      </c>
      <c r="F69" s="10">
        <f t="shared" si="1"/>
        <v>47.55</v>
      </c>
      <c r="G69" s="10">
        <f t="shared" si="2"/>
        <v>15.850000000000001</v>
      </c>
      <c r="H69" s="10">
        <f t="shared" si="0"/>
        <v>282.92250000000001</v>
      </c>
      <c r="I69" s="57">
        <f t="shared" si="3"/>
        <v>0</v>
      </c>
      <c r="K69" s="38"/>
    </row>
    <row r="70" spans="1:11" x14ac:dyDescent="0.3">
      <c r="A70" s="64" t="s">
        <v>107</v>
      </c>
      <c r="B70" s="65" t="s">
        <v>108</v>
      </c>
      <c r="C70" s="56" t="s">
        <v>24</v>
      </c>
      <c r="D70" s="57">
        <v>-3.9359999999999999</v>
      </c>
      <c r="E70" s="41">
        <f>IF(D70="","",_xlfn.XLOOKUP(A70,[5]ריכוז!$A:$A,[5]ריכוז!$D:$D,"אין כזה"))</f>
        <v>172</v>
      </c>
      <c r="F70" s="10">
        <f t="shared" si="1"/>
        <v>25.8</v>
      </c>
      <c r="G70" s="10">
        <f t="shared" si="2"/>
        <v>8.6</v>
      </c>
      <c r="H70" s="10">
        <f t="shared" si="0"/>
        <v>153.51</v>
      </c>
      <c r="I70" s="57">
        <f t="shared" si="3"/>
        <v>-604.21535999999992</v>
      </c>
      <c r="K70" s="38"/>
    </row>
    <row r="71" spans="1:11" x14ac:dyDescent="0.3">
      <c r="A71" s="63" t="s">
        <v>109</v>
      </c>
      <c r="B71" s="55" t="s">
        <v>110</v>
      </c>
      <c r="C71" s="56" t="s">
        <v>24</v>
      </c>
      <c r="D71" s="57">
        <f>-D67</f>
        <v>0</v>
      </c>
      <c r="E71" s="41">
        <f>IF(D71="","",_xlfn.XLOOKUP(A71,[5]ריכוז!$A:$A,[5]ריכוז!$D:$D,"אין כזה"))</f>
        <v>94</v>
      </c>
      <c r="F71" s="10">
        <f t="shared" si="1"/>
        <v>14.1</v>
      </c>
      <c r="G71" s="10">
        <f t="shared" si="2"/>
        <v>4.7</v>
      </c>
      <c r="H71" s="10">
        <f t="shared" si="0"/>
        <v>83.894999999999996</v>
      </c>
      <c r="I71" s="57">
        <f t="shared" si="3"/>
        <v>0</v>
      </c>
      <c r="K71" s="38"/>
    </row>
    <row r="72" spans="1:11" x14ac:dyDescent="0.3">
      <c r="A72" s="63" t="s">
        <v>111</v>
      </c>
      <c r="B72" s="55" t="s">
        <v>112</v>
      </c>
      <c r="C72" s="56" t="s">
        <v>24</v>
      </c>
      <c r="D72" s="57">
        <v>0</v>
      </c>
      <c r="E72" s="41">
        <f>IF(D72="","",_xlfn.XLOOKUP(A72,[5]ריכוז!$A:$A,[5]ריכוז!$D:$D,"אין כזה"))</f>
        <v>157</v>
      </c>
      <c r="F72" s="10">
        <f t="shared" si="1"/>
        <v>23.55</v>
      </c>
      <c r="G72" s="10">
        <f t="shared" si="2"/>
        <v>7.8500000000000005</v>
      </c>
      <c r="H72" s="10">
        <f t="shared" si="0"/>
        <v>140.1225</v>
      </c>
      <c r="I72" s="57">
        <f t="shared" si="3"/>
        <v>0</v>
      </c>
      <c r="K72" s="38"/>
    </row>
    <row r="73" spans="1:11" s="27" customFormat="1" ht="15.6" x14ac:dyDescent="0.3">
      <c r="A73" s="59" t="s">
        <v>113</v>
      </c>
      <c r="B73" s="60" t="s">
        <v>114</v>
      </c>
      <c r="C73" s="61" t="s">
        <v>3</v>
      </c>
      <c r="D73" s="62" t="s">
        <v>3</v>
      </c>
      <c r="E73" s="41" t="str">
        <f>IF(D73="","",_xlfn.XLOOKUP(A73,[5]ריכוז!$A:$A,[5]ריכוז!$D:$D,"אין כזה"))</f>
        <v/>
      </c>
      <c r="F73" s="10" t="str">
        <f t="shared" si="1"/>
        <v/>
      </c>
      <c r="G73" s="10" t="str">
        <f t="shared" si="2"/>
        <v/>
      </c>
      <c r="H73" s="10" t="str">
        <f t="shared" si="0"/>
        <v/>
      </c>
      <c r="I73" s="57" t="str">
        <f t="shared" si="3"/>
        <v/>
      </c>
      <c r="K73" s="38"/>
    </row>
    <row r="74" spans="1:11" s="27" customFormat="1" ht="15.6" x14ac:dyDescent="0.3">
      <c r="A74" s="59" t="s">
        <v>115</v>
      </c>
      <c r="B74" s="60" t="s">
        <v>116</v>
      </c>
      <c r="C74" s="61" t="s">
        <v>3</v>
      </c>
      <c r="D74" s="62" t="s">
        <v>3</v>
      </c>
      <c r="E74" s="41" t="str">
        <f>IF(D74="","",_xlfn.XLOOKUP(A74,[5]ריכוז!$A:$A,[5]ריכוז!$D:$D,"אין כזה"))</f>
        <v/>
      </c>
      <c r="F74" s="10" t="str">
        <f t="shared" si="1"/>
        <v/>
      </c>
      <c r="G74" s="10" t="str">
        <f t="shared" si="2"/>
        <v/>
      </c>
      <c r="H74" s="10" t="str">
        <f t="shared" si="0"/>
        <v/>
      </c>
      <c r="I74" s="57" t="str">
        <f t="shared" si="3"/>
        <v/>
      </c>
      <c r="K74" s="38"/>
    </row>
    <row r="75" spans="1:11" ht="28.8" x14ac:dyDescent="0.3">
      <c r="A75" s="63" t="s">
        <v>117</v>
      </c>
      <c r="B75" s="55" t="s">
        <v>118</v>
      </c>
      <c r="C75" s="56" t="s">
        <v>17</v>
      </c>
      <c r="D75" s="57">
        <v>0</v>
      </c>
      <c r="E75" s="41">
        <f>IF(D75="","",_xlfn.XLOOKUP(A75,[5]ריכוז!$A:$A,[5]ריכוז!$D:$D,"אין כזה"))</f>
        <v>3500</v>
      </c>
      <c r="F75" s="10">
        <f t="shared" si="1"/>
        <v>525</v>
      </c>
      <c r="G75" s="10">
        <f t="shared" si="2"/>
        <v>175</v>
      </c>
      <c r="H75" s="10">
        <f t="shared" si="0"/>
        <v>3123.75</v>
      </c>
      <c r="I75" s="57">
        <f t="shared" si="3"/>
        <v>0</v>
      </c>
      <c r="K75" s="38"/>
    </row>
    <row r="76" spans="1:11" ht="43.2" x14ac:dyDescent="0.3">
      <c r="A76" s="63" t="s">
        <v>119</v>
      </c>
      <c r="B76" s="55" t="s">
        <v>120</v>
      </c>
      <c r="C76" s="56" t="s">
        <v>4</v>
      </c>
      <c r="D76" s="57">
        <v>0</v>
      </c>
      <c r="E76" s="41">
        <f>IF(D76="","",_xlfn.XLOOKUP(A76,[5]ריכוז!$A:$A,[5]ריכוז!$D:$D,"אין כזה"))</f>
        <v>172</v>
      </c>
      <c r="F76" s="10">
        <f t="shared" si="1"/>
        <v>25.8</v>
      </c>
      <c r="G76" s="10">
        <f t="shared" si="2"/>
        <v>8.6</v>
      </c>
      <c r="H76" s="10">
        <f t="shared" si="0"/>
        <v>153.51</v>
      </c>
      <c r="I76" s="57">
        <f t="shared" si="3"/>
        <v>0</v>
      </c>
      <c r="K76" s="38"/>
    </row>
    <row r="77" spans="1:11" x14ac:dyDescent="0.3">
      <c r="A77" s="63" t="s">
        <v>177</v>
      </c>
      <c r="B77" s="55" t="s">
        <v>178</v>
      </c>
      <c r="C77" s="56" t="s">
        <v>24</v>
      </c>
      <c r="D77" s="57">
        <f>SUM(D17:D19,D25:D27,D29:D30,D32:D34,D36:D38)</f>
        <v>4</v>
      </c>
      <c r="E77" s="41">
        <f>IF(D77="","",_xlfn.XLOOKUP(A77,[5]ריכוז!$A:$A,[5]ריכוז!$D:$D,"אין כזה"))</f>
        <v>48</v>
      </c>
      <c r="F77" s="10">
        <f t="shared" si="1"/>
        <v>7.1999999999999993</v>
      </c>
      <c r="G77" s="10">
        <f t="shared" si="2"/>
        <v>2.4000000000000004</v>
      </c>
      <c r="H77" s="10">
        <f t="shared" si="0"/>
        <v>42.84</v>
      </c>
      <c r="I77" s="57">
        <f t="shared" si="3"/>
        <v>171.36</v>
      </c>
      <c r="K77" s="38"/>
    </row>
    <row r="78" spans="1:11" s="27" customFormat="1" ht="15.6" x14ac:dyDescent="0.3">
      <c r="A78" s="59" t="s">
        <v>121</v>
      </c>
      <c r="B78" s="60" t="s">
        <v>122</v>
      </c>
      <c r="C78" s="61" t="s">
        <v>3</v>
      </c>
      <c r="D78" s="62" t="s">
        <v>3</v>
      </c>
      <c r="E78" s="41" t="str">
        <f>IF(D78="","",_xlfn.XLOOKUP(A78,[5]ריכוז!$A:$A,[5]ריכוז!$D:$D,"אין כזה"))</f>
        <v/>
      </c>
      <c r="F78" s="10" t="str">
        <f t="shared" si="1"/>
        <v/>
      </c>
      <c r="G78" s="10" t="str">
        <f t="shared" si="2"/>
        <v/>
      </c>
      <c r="H78" s="10" t="str">
        <f t="shared" ref="H78:H92" si="4">IF(E78="","",E78*1.05*0.85)</f>
        <v/>
      </c>
      <c r="I78" s="57" t="str">
        <f t="shared" si="3"/>
        <v/>
      </c>
      <c r="K78" s="38"/>
    </row>
    <row r="79" spans="1:11" s="27" customFormat="1" ht="15.6" x14ac:dyDescent="0.3">
      <c r="A79" s="59" t="s">
        <v>123</v>
      </c>
      <c r="B79" s="60" t="s">
        <v>124</v>
      </c>
      <c r="C79" s="61" t="s">
        <v>3</v>
      </c>
      <c r="D79" s="62" t="s">
        <v>3</v>
      </c>
      <c r="E79" s="41" t="str">
        <f>IF(D79="","",_xlfn.XLOOKUP(A79,[5]ריכוז!$A:$A,[5]ריכוז!$D:$D,"אין כזה"))</f>
        <v/>
      </c>
      <c r="F79" s="10" t="str">
        <f t="shared" si="1"/>
        <v/>
      </c>
      <c r="G79" s="10" t="str">
        <f t="shared" si="2"/>
        <v/>
      </c>
      <c r="H79" s="10" t="str">
        <f t="shared" si="4"/>
        <v/>
      </c>
      <c r="I79" s="57" t="str">
        <f t="shared" si="3"/>
        <v/>
      </c>
      <c r="K79" s="38"/>
    </row>
    <row r="80" spans="1:11" s="27" customFormat="1" ht="15.6" x14ac:dyDescent="0.3">
      <c r="A80" s="9" t="s">
        <v>208</v>
      </c>
      <c r="B80" s="55" t="s">
        <v>209</v>
      </c>
      <c r="C80" s="56" t="s">
        <v>125</v>
      </c>
      <c r="D80" s="57">
        <v>3</v>
      </c>
      <c r="E80" s="41">
        <v>130</v>
      </c>
      <c r="F80" s="10">
        <f t="shared" si="1"/>
        <v>19.5</v>
      </c>
      <c r="G80" s="10">
        <f t="shared" si="2"/>
        <v>6.5</v>
      </c>
      <c r="H80" s="10">
        <f t="shared" si="4"/>
        <v>116.02499999999999</v>
      </c>
      <c r="I80" s="57">
        <f t="shared" si="3"/>
        <v>348.07499999999999</v>
      </c>
      <c r="K80" s="38"/>
    </row>
    <row r="81" spans="1:15" s="27" customFormat="1" ht="15.6" x14ac:dyDescent="0.3">
      <c r="A81" s="9" t="s">
        <v>169</v>
      </c>
      <c r="B81" s="55" t="s">
        <v>170</v>
      </c>
      <c r="C81" s="56" t="s">
        <v>125</v>
      </c>
      <c r="D81" s="57">
        <v>2</v>
      </c>
      <c r="E81" s="41">
        <f>IF(D81="","",_xlfn.XLOOKUP(A81,[5]ריכוז!$A:$A,[5]ריכוז!$D:$D,"אין כזה"))</f>
        <v>145</v>
      </c>
      <c r="F81" s="10">
        <f t="shared" si="1"/>
        <v>21.75</v>
      </c>
      <c r="G81" s="10">
        <f t="shared" si="2"/>
        <v>7.25</v>
      </c>
      <c r="H81" s="10">
        <f t="shared" si="4"/>
        <v>129.41249999999999</v>
      </c>
      <c r="I81" s="57">
        <f t="shared" si="3"/>
        <v>258.82499999999999</v>
      </c>
      <c r="K81" s="38"/>
    </row>
    <row r="82" spans="1:15" s="27" customFormat="1" ht="15.6" x14ac:dyDescent="0.3">
      <c r="A82" s="59" t="s">
        <v>126</v>
      </c>
      <c r="B82" s="60" t="s">
        <v>127</v>
      </c>
      <c r="C82" s="61" t="s">
        <v>3</v>
      </c>
      <c r="D82" s="62" t="s">
        <v>3</v>
      </c>
      <c r="E82" s="41" t="str">
        <f>IF(D82="","",_xlfn.XLOOKUP(A82,[5]ריכוז!$A:$A,[5]ריכוז!$D:$D,"אין כזה"))</f>
        <v/>
      </c>
      <c r="F82" s="10" t="str">
        <f t="shared" ref="F82:F92" si="5">IF(E82="","",E82*0.15)</f>
        <v/>
      </c>
      <c r="G82" s="10" t="str">
        <f t="shared" ref="G82:G92" si="6">IF(E82="","",E82*0.05)</f>
        <v/>
      </c>
      <c r="H82" s="10" t="str">
        <f t="shared" si="4"/>
        <v/>
      </c>
      <c r="I82" s="57" t="str">
        <f t="shared" ref="I82:I91" si="7">IF(D82="","",H82*D82)</f>
        <v/>
      </c>
      <c r="K82" s="38"/>
    </row>
    <row r="83" spans="1:15" ht="28.8" x14ac:dyDescent="0.3">
      <c r="A83" s="63" t="s">
        <v>128</v>
      </c>
      <c r="B83" s="55" t="s">
        <v>129</v>
      </c>
      <c r="C83" s="56" t="s">
        <v>2</v>
      </c>
      <c r="D83" s="57">
        <v>0</v>
      </c>
      <c r="E83" s="41">
        <f>IF(D83="","",_xlfn.XLOOKUP(A83,[5]ריכוז!$A:$A,[5]ריכוז!$D:$D,"אין כזה"))</f>
        <v>1460</v>
      </c>
      <c r="F83" s="10">
        <f t="shared" si="5"/>
        <v>219</v>
      </c>
      <c r="G83" s="10">
        <f t="shared" si="6"/>
        <v>73</v>
      </c>
      <c r="H83" s="10">
        <f t="shared" si="4"/>
        <v>1303.05</v>
      </c>
      <c r="I83" s="57">
        <f t="shared" si="7"/>
        <v>0</v>
      </c>
      <c r="K83" s="38"/>
    </row>
    <row r="84" spans="1:15" ht="28.8" x14ac:dyDescent="0.3">
      <c r="A84" s="63" t="s">
        <v>130</v>
      </c>
      <c r="B84" s="55" t="s">
        <v>131</v>
      </c>
      <c r="C84" s="56" t="s">
        <v>2</v>
      </c>
      <c r="D84" s="57">
        <v>1</v>
      </c>
      <c r="E84" s="41">
        <f>IF(D84="","",_xlfn.XLOOKUP(A84,[5]ריכוז!$A:$A,[5]ריכוז!$D:$D,"אין כזה"))</f>
        <v>1810</v>
      </c>
      <c r="F84" s="10">
        <f t="shared" si="5"/>
        <v>271.5</v>
      </c>
      <c r="G84" s="10">
        <f t="shared" si="6"/>
        <v>90.5</v>
      </c>
      <c r="H84" s="10">
        <f t="shared" si="4"/>
        <v>1615.425</v>
      </c>
      <c r="I84" s="57">
        <f t="shared" si="7"/>
        <v>1615.425</v>
      </c>
      <c r="K84" s="38"/>
    </row>
    <row r="85" spans="1:15" ht="28.2" x14ac:dyDescent="0.3">
      <c r="A85" s="9" t="s">
        <v>204</v>
      </c>
      <c r="B85" s="2" t="s">
        <v>205</v>
      </c>
      <c r="C85" s="3" t="s">
        <v>2</v>
      </c>
      <c r="D85" s="57">
        <v>0</v>
      </c>
      <c r="E85" s="41">
        <v>2200</v>
      </c>
      <c r="F85" s="10">
        <f t="shared" si="5"/>
        <v>330</v>
      </c>
      <c r="G85" s="10">
        <f t="shared" si="6"/>
        <v>110</v>
      </c>
      <c r="H85" s="10">
        <f t="shared" si="4"/>
        <v>1963.5</v>
      </c>
      <c r="I85" s="57">
        <f t="shared" si="7"/>
        <v>0</v>
      </c>
      <c r="K85" s="38"/>
    </row>
    <row r="86" spans="1:15" s="27" customFormat="1" ht="15.6" x14ac:dyDescent="0.3">
      <c r="A86" s="59" t="s">
        <v>132</v>
      </c>
      <c r="B86" s="60" t="s">
        <v>133</v>
      </c>
      <c r="C86" s="61" t="s">
        <v>3</v>
      </c>
      <c r="D86" s="62" t="s">
        <v>3</v>
      </c>
      <c r="E86" s="41" t="str">
        <f>IF(D86="","",_xlfn.XLOOKUP(A86,[5]ריכוז!$A:$A,[5]ריכוז!$D:$D,"אין כזה"))</f>
        <v/>
      </c>
      <c r="F86" s="10" t="str">
        <f t="shared" si="5"/>
        <v/>
      </c>
      <c r="G86" s="10" t="str">
        <f t="shared" si="6"/>
        <v/>
      </c>
      <c r="H86" s="10" t="str">
        <f t="shared" si="4"/>
        <v/>
      </c>
      <c r="I86" s="57" t="str">
        <f t="shared" si="7"/>
        <v/>
      </c>
      <c r="K86" s="38"/>
    </row>
    <row r="87" spans="1:15" s="27" customFormat="1" ht="15.6" x14ac:dyDescent="0.3">
      <c r="A87" s="59" t="s">
        <v>134</v>
      </c>
      <c r="B87" s="60" t="s">
        <v>135</v>
      </c>
      <c r="C87" s="61" t="s">
        <v>3</v>
      </c>
      <c r="D87" s="62" t="s">
        <v>3</v>
      </c>
      <c r="E87" s="41" t="str">
        <f>IF(D87="","",_xlfn.XLOOKUP(A87,[5]ריכוז!$A:$A,[5]ריכוז!$D:$D,"אין כזה"))</f>
        <v/>
      </c>
      <c r="F87" s="10" t="str">
        <f t="shared" si="5"/>
        <v/>
      </c>
      <c r="G87" s="10" t="str">
        <f t="shared" si="6"/>
        <v/>
      </c>
      <c r="H87" s="10" t="str">
        <f t="shared" si="4"/>
        <v/>
      </c>
      <c r="I87" s="57" t="str">
        <f t="shared" si="7"/>
        <v/>
      </c>
      <c r="K87" s="38"/>
    </row>
    <row r="88" spans="1:15" ht="43.2" x14ac:dyDescent="0.3">
      <c r="A88" s="63" t="s">
        <v>136</v>
      </c>
      <c r="B88" s="55" t="s">
        <v>137</v>
      </c>
      <c r="C88" s="56" t="s">
        <v>24</v>
      </c>
      <c r="D88" s="138">
        <v>1.75</v>
      </c>
      <c r="E88" s="41">
        <f>IF(D88="","",_xlfn.XLOOKUP(A88,[5]ריכוז!$A:$A,[5]ריכוז!$D:$D,"אין כזה"))</f>
        <v>129.78142076502732</v>
      </c>
      <c r="F88" s="10">
        <f t="shared" si="5"/>
        <v>19.467213114754099</v>
      </c>
      <c r="G88" s="10">
        <f t="shared" si="6"/>
        <v>6.4890710382513666</v>
      </c>
      <c r="H88" s="10">
        <f t="shared" si="4"/>
        <v>115.82991803278689</v>
      </c>
      <c r="I88" s="57">
        <f t="shared" si="7"/>
        <v>202.70235655737707</v>
      </c>
      <c r="K88" s="38"/>
    </row>
    <row r="89" spans="1:15" x14ac:dyDescent="0.3">
      <c r="A89" s="54" t="s">
        <v>138</v>
      </c>
      <c r="B89" s="55" t="s">
        <v>139</v>
      </c>
      <c r="C89" s="56" t="s">
        <v>2</v>
      </c>
      <c r="D89" s="57">
        <v>0</v>
      </c>
      <c r="E89" s="41">
        <f>IF(D89="","",_xlfn.XLOOKUP(A89,[5]ריכוז!$A:$A,[5]ריכוז!$D:$D,"אין כזה"))</f>
        <v>2375.3501400560222</v>
      </c>
      <c r="F89" s="10">
        <f t="shared" si="5"/>
        <v>356.30252100840329</v>
      </c>
      <c r="G89" s="10">
        <f t="shared" si="6"/>
        <v>118.76750700280111</v>
      </c>
      <c r="H89" s="10">
        <f t="shared" si="4"/>
        <v>2120</v>
      </c>
      <c r="I89" s="57">
        <f t="shared" si="7"/>
        <v>0</v>
      </c>
      <c r="K89" s="38"/>
    </row>
    <row r="90" spans="1:15" x14ac:dyDescent="0.3">
      <c r="A90" s="54" t="s">
        <v>140</v>
      </c>
      <c r="B90" s="55" t="s">
        <v>141</v>
      </c>
      <c r="C90" s="56" t="s">
        <v>2</v>
      </c>
      <c r="D90" s="57">
        <v>0</v>
      </c>
      <c r="E90" s="41">
        <f>IF(D90="","",_xlfn.XLOOKUP(A90,[5]ריכוז!$A:$A,[5]ריכוז!$D:$D,"אין כזה"))</f>
        <v>950.14005602240888</v>
      </c>
      <c r="F90" s="10">
        <f t="shared" si="5"/>
        <v>142.52100840336132</v>
      </c>
      <c r="G90" s="10">
        <f t="shared" si="6"/>
        <v>47.50700280112045</v>
      </c>
      <c r="H90" s="10">
        <f t="shared" si="4"/>
        <v>848</v>
      </c>
      <c r="I90" s="57">
        <f t="shared" si="7"/>
        <v>0</v>
      </c>
      <c r="K90" s="38"/>
    </row>
    <row r="91" spans="1:15" ht="28.8" x14ac:dyDescent="0.3">
      <c r="A91" s="54" t="s">
        <v>165</v>
      </c>
      <c r="B91" s="55" t="s">
        <v>166</v>
      </c>
      <c r="C91" s="56" t="s">
        <v>167</v>
      </c>
      <c r="D91" s="96">
        <f>SUM(I17:I20,I25:I27,I29:I30,I32:I34,I36:I38,I42:I45,I64:I65,I89:I90)/0.85/1.05</f>
        <v>13580.039999999999</v>
      </c>
      <c r="E91" s="41">
        <f>IF(D91="","",_xlfn.XLOOKUP(A91,[5]ריכוז!$A:$A,[5]ריכוז!$D:$D,"אין כזה"))</f>
        <v>0.06</v>
      </c>
      <c r="F91" s="10">
        <f t="shared" si="5"/>
        <v>8.9999999999999993E-3</v>
      </c>
      <c r="G91" s="10">
        <f t="shared" si="6"/>
        <v>3.0000000000000001E-3</v>
      </c>
      <c r="H91" s="10">
        <f t="shared" si="4"/>
        <v>5.355E-2</v>
      </c>
      <c r="I91" s="57">
        <f t="shared" si="7"/>
        <v>727.211142</v>
      </c>
      <c r="K91" s="38"/>
    </row>
    <row r="92" spans="1:15" ht="55.8" x14ac:dyDescent="0.3">
      <c r="A92" s="48" t="s">
        <v>162</v>
      </c>
      <c r="B92" s="2" t="s">
        <v>163</v>
      </c>
      <c r="C92" s="3" t="s">
        <v>164</v>
      </c>
      <c r="D92" s="3">
        <v>0</v>
      </c>
      <c r="E92" s="41">
        <f>IF(D92="","",_xlfn.XLOOKUP(A92,[5]ריכוז!$A:$A,[5]ריכוז!$D:$D,"אין כזה"))</f>
        <v>3500</v>
      </c>
      <c r="F92" s="10">
        <f t="shared" si="5"/>
        <v>525</v>
      </c>
      <c r="G92" s="10">
        <f t="shared" si="6"/>
        <v>175</v>
      </c>
      <c r="H92" s="10">
        <f t="shared" si="4"/>
        <v>3123.75</v>
      </c>
      <c r="I92" s="57">
        <f>H92*D92</f>
        <v>0</v>
      </c>
      <c r="K92" s="38"/>
      <c r="L92"/>
      <c r="M92"/>
      <c r="N92"/>
      <c r="O92"/>
    </row>
    <row r="93" spans="1:15" x14ac:dyDescent="0.3">
      <c r="A93" s="21" t="s">
        <v>3</v>
      </c>
      <c r="B93" s="22" t="s">
        <v>152</v>
      </c>
      <c r="C93" s="23"/>
      <c r="D93" s="24"/>
      <c r="E93" s="25"/>
      <c r="F93" s="24"/>
      <c r="G93" s="24"/>
      <c r="H93" s="24"/>
      <c r="I93" s="31">
        <f>SUMIF(A:A,"01.*",I:I)</f>
        <v>0</v>
      </c>
      <c r="K93"/>
      <c r="L93"/>
      <c r="M93"/>
      <c r="N93"/>
      <c r="O93"/>
    </row>
    <row r="94" spans="1:15" x14ac:dyDescent="0.3">
      <c r="A94" s="21" t="s">
        <v>3</v>
      </c>
      <c r="B94" s="22" t="s">
        <v>153</v>
      </c>
      <c r="C94" s="23"/>
      <c r="D94" s="24"/>
      <c r="E94" s="25"/>
      <c r="F94" s="24"/>
      <c r="G94" s="24"/>
      <c r="H94" s="24"/>
      <c r="I94" s="31">
        <f>SUMIF(A:A,"05.*",I:I)</f>
        <v>0</v>
      </c>
      <c r="K94"/>
      <c r="L94"/>
      <c r="M94"/>
      <c r="N94"/>
      <c r="O94"/>
    </row>
    <row r="95" spans="1:15" x14ac:dyDescent="0.3">
      <c r="A95" s="21" t="s">
        <v>3</v>
      </c>
      <c r="B95" s="22" t="s">
        <v>154</v>
      </c>
      <c r="C95" s="23"/>
      <c r="D95" s="24"/>
      <c r="E95" s="25"/>
      <c r="F95" s="24"/>
      <c r="G95" s="24"/>
      <c r="H95" s="24"/>
      <c r="I95" s="31">
        <f>SUMIF(A:A,"09.*",I:I)</f>
        <v>646.59839999999997</v>
      </c>
      <c r="K95"/>
      <c r="L95"/>
      <c r="M95"/>
      <c r="N95"/>
      <c r="O95"/>
    </row>
    <row r="96" spans="1:15" x14ac:dyDescent="0.3">
      <c r="A96" s="21" t="s">
        <v>3</v>
      </c>
      <c r="B96" s="22" t="s">
        <v>155</v>
      </c>
      <c r="C96" s="23"/>
      <c r="D96" s="24"/>
      <c r="E96" s="25"/>
      <c r="F96" s="24"/>
      <c r="G96" s="24"/>
      <c r="H96" s="24"/>
      <c r="I96" s="31">
        <f>SUMIF(A:A,"11.*",I:I)</f>
        <v>3159.45</v>
      </c>
      <c r="K96"/>
      <c r="L96"/>
      <c r="M96"/>
      <c r="N96"/>
      <c r="O96"/>
    </row>
    <row r="97" spans="1:15" x14ac:dyDescent="0.3">
      <c r="A97" s="21" t="s">
        <v>3</v>
      </c>
      <c r="B97" s="22" t="s">
        <v>156</v>
      </c>
      <c r="C97" s="23"/>
      <c r="D97" s="24"/>
      <c r="E97" s="25"/>
      <c r="F97" s="24"/>
      <c r="G97" s="24"/>
      <c r="H97" s="24"/>
      <c r="I97" s="31">
        <f>SUMIF(A:A,"12.*",I:I)</f>
        <v>16939.787801999999</v>
      </c>
      <c r="K97"/>
      <c r="L97"/>
      <c r="M97"/>
      <c r="N97"/>
      <c r="O97"/>
    </row>
    <row r="98" spans="1:15" x14ac:dyDescent="0.3">
      <c r="A98" s="21" t="s">
        <v>3</v>
      </c>
      <c r="B98" s="22" t="s">
        <v>157</v>
      </c>
      <c r="C98" s="23"/>
      <c r="D98" s="24"/>
      <c r="E98" s="25"/>
      <c r="F98" s="24"/>
      <c r="G98" s="24"/>
      <c r="H98" s="24"/>
      <c r="I98" s="31">
        <f>SUMIF(A:A,"15.*",I:I)</f>
        <v>0</v>
      </c>
      <c r="K98"/>
      <c r="L98"/>
      <c r="M98"/>
      <c r="N98"/>
      <c r="O98"/>
    </row>
    <row r="99" spans="1:15" x14ac:dyDescent="0.3">
      <c r="A99" s="21"/>
      <c r="B99" s="90" t="s">
        <v>181</v>
      </c>
      <c r="C99" s="23"/>
      <c r="D99" s="24"/>
      <c r="E99" s="25"/>
      <c r="F99" s="24"/>
      <c r="G99" s="24"/>
      <c r="H99" s="24"/>
      <c r="I99" s="31">
        <f>SUMIF(A:A,"30.*",I:I)</f>
        <v>171.36</v>
      </c>
      <c r="K99"/>
      <c r="L99"/>
      <c r="M99"/>
      <c r="N99"/>
      <c r="O99"/>
    </row>
    <row r="100" spans="1:15" x14ac:dyDescent="0.3">
      <c r="A100" s="21" t="s">
        <v>3</v>
      </c>
      <c r="B100" s="22" t="s">
        <v>158</v>
      </c>
      <c r="C100" s="23"/>
      <c r="D100" s="24"/>
      <c r="E100" s="25"/>
      <c r="F100" s="24"/>
      <c r="G100" s="24"/>
      <c r="H100" s="24"/>
      <c r="I100" s="31">
        <f>SUMIF(A:A,"60.*",I:I)</f>
        <v>2490.0749999999998</v>
      </c>
      <c r="K100"/>
      <c r="L100"/>
      <c r="M100"/>
      <c r="N100"/>
      <c r="O100"/>
    </row>
    <row r="101" spans="1:15" x14ac:dyDescent="0.3">
      <c r="A101" s="21" t="s">
        <v>3</v>
      </c>
      <c r="B101" s="22" t="s">
        <v>159</v>
      </c>
      <c r="C101" s="23"/>
      <c r="D101" s="24"/>
      <c r="E101" s="25"/>
      <c r="F101" s="24"/>
      <c r="G101" s="24"/>
      <c r="H101" s="24"/>
      <c r="I101" s="31">
        <f>SUMIF(A:A,"85.*",I:I)</f>
        <v>202.70235655737707</v>
      </c>
      <c r="K101"/>
      <c r="L101"/>
      <c r="M101"/>
      <c r="N101"/>
      <c r="O101"/>
    </row>
    <row r="102" spans="1:15" x14ac:dyDescent="0.3">
      <c r="A102" s="28" t="s">
        <v>3</v>
      </c>
      <c r="B102" s="29" t="s">
        <v>160</v>
      </c>
      <c r="C102" s="23"/>
      <c r="D102" s="24"/>
      <c r="E102" s="25"/>
      <c r="F102" s="30"/>
      <c r="G102" s="30"/>
      <c r="H102" s="30"/>
      <c r="I102" s="30">
        <f>SUM(I93:I101)</f>
        <v>23609.973558557376</v>
      </c>
      <c r="K102"/>
      <c r="L102"/>
      <c r="M102"/>
      <c r="N102"/>
      <c r="O102"/>
    </row>
    <row r="103" spans="1:15" x14ac:dyDescent="0.3">
      <c r="A103" s="28" t="s">
        <v>3</v>
      </c>
      <c r="B103" s="29" t="s">
        <v>161</v>
      </c>
      <c r="C103" s="23"/>
      <c r="D103" s="24"/>
      <c r="E103" s="25"/>
      <c r="F103" s="30"/>
      <c r="G103" s="30"/>
      <c r="H103" s="30"/>
      <c r="I103" s="30">
        <f t="shared" ref="I103" si="8">(I102 * (1 / 100 * 18))</f>
        <v>4249.7952405403275</v>
      </c>
      <c r="K103"/>
      <c r="L103"/>
      <c r="M103"/>
      <c r="N103"/>
      <c r="O103"/>
    </row>
    <row r="104" spans="1:15" x14ac:dyDescent="0.3">
      <c r="A104" s="32" t="s">
        <v>3</v>
      </c>
      <c r="B104" s="33" t="s">
        <v>160</v>
      </c>
      <c r="C104" s="34"/>
      <c r="D104" s="35"/>
      <c r="E104" s="36"/>
      <c r="F104" s="37"/>
      <c r="G104" s="37"/>
      <c r="H104" s="37"/>
      <c r="I104" s="37">
        <f t="shared" ref="I104" si="9">I102 + I103</f>
        <v>27859.768799097703</v>
      </c>
      <c r="K104"/>
      <c r="L104"/>
      <c r="M104"/>
      <c r="N104"/>
      <c r="O104"/>
    </row>
  </sheetData>
  <conditionalFormatting sqref="A7:D43 C44:D44 A45:D84">
    <cfRule type="expression" dxfId="22" priority="3">
      <formula>$K7="אין"</formula>
    </cfRule>
  </conditionalFormatting>
  <conditionalFormatting sqref="F7:K92 D85 A86:D90 A92:D92 A91:C91">
    <cfRule type="expression" dxfId="21" priority="4">
      <formula>$K7="אין"</formula>
    </cfRule>
  </conditionalFormatting>
  <conditionalFormatting sqref="D91">
    <cfRule type="expression" dxfId="4" priority="1">
      <formula>$K91="אין"</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A6293-A5B1-41D7-9971-DE001E6AFEDE}">
  <sheetPr>
    <tabColor rgb="FFFFFF00"/>
  </sheetPr>
  <dimension ref="A1:O104"/>
  <sheetViews>
    <sheetView rightToLeft="1" topLeftCell="C84" zoomScale="85" zoomScaleNormal="85" workbookViewId="0">
      <selection activeCell="H109" sqref="H109"/>
    </sheetView>
  </sheetViews>
  <sheetFormatPr defaultColWidth="8.69921875" defaultRowHeight="14.4" x14ac:dyDescent="0.3"/>
  <cols>
    <col min="1" max="1" width="11.69921875" style="38" customWidth="1"/>
    <col min="2" max="2" width="63" style="13" customWidth="1"/>
    <col min="3" max="3" width="8.19921875" style="39" customWidth="1"/>
    <col min="4" max="4" width="10.09765625" style="14" customWidth="1"/>
    <col min="5" max="5" width="11.19921875" style="15" bestFit="1" customWidth="1"/>
    <col min="6" max="6" width="10.19921875" style="14" customWidth="1"/>
    <col min="7" max="7" width="12.19921875" style="14" customWidth="1"/>
    <col min="8" max="8" width="14" style="13" bestFit="1" customWidth="1"/>
    <col min="9" max="9" width="13.3984375" style="13" bestFit="1" customWidth="1"/>
    <col min="10" max="10" width="8.69921875" style="13"/>
    <col min="11" max="11" width="13.19921875" style="13" bestFit="1" customWidth="1"/>
    <col min="12" max="12" width="11.19921875" style="13" bestFit="1" customWidth="1"/>
    <col min="13" max="16384" width="8.69921875" style="13"/>
  </cols>
  <sheetData>
    <row r="1" spans="1:11" ht="17.399999999999999" x14ac:dyDescent="0.3">
      <c r="A1" s="12"/>
      <c r="C1" s="89" t="s">
        <v>233</v>
      </c>
      <c r="D1" s="40">
        <v>1708</v>
      </c>
    </row>
    <row r="3" spans="1:11" ht="21" x14ac:dyDescent="0.4">
      <c r="A3" s="16"/>
      <c r="B3" s="17"/>
      <c r="C3" s="18"/>
      <c r="D3" s="19"/>
      <c r="E3" s="20"/>
      <c r="F3" s="19"/>
      <c r="G3" s="19"/>
      <c r="H3" s="19"/>
      <c r="I3" s="19"/>
    </row>
    <row r="4" spans="1:11" x14ac:dyDescent="0.3">
      <c r="A4" s="21"/>
      <c r="B4" s="22"/>
      <c r="C4" s="23"/>
      <c r="D4" s="24"/>
      <c r="E4" s="25"/>
      <c r="F4" s="24"/>
      <c r="G4" s="24"/>
      <c r="H4" s="24"/>
      <c r="I4" s="24"/>
    </row>
    <row r="5" spans="1:11" ht="15" thickBot="1" x14ac:dyDescent="0.35">
      <c r="A5" s="21"/>
      <c r="B5" s="22"/>
      <c r="C5" s="23"/>
      <c r="D5" s="24"/>
      <c r="E5" s="25"/>
      <c r="F5" s="24"/>
      <c r="G5" s="26"/>
      <c r="H5" s="26"/>
      <c r="I5" s="24"/>
    </row>
    <row r="6" spans="1:11" ht="29.4" thickTop="1" x14ac:dyDescent="0.3">
      <c r="A6" s="50" t="s">
        <v>0</v>
      </c>
      <c r="B6" s="51" t="s">
        <v>1</v>
      </c>
      <c r="C6" s="52" t="s">
        <v>2</v>
      </c>
      <c r="D6" s="53" t="s">
        <v>147</v>
      </c>
      <c r="E6" s="66" t="s">
        <v>142</v>
      </c>
      <c r="F6" s="66" t="s">
        <v>143</v>
      </c>
      <c r="G6" s="66" t="s">
        <v>144</v>
      </c>
      <c r="H6" s="66" t="s">
        <v>145</v>
      </c>
      <c r="I6" s="53" t="s">
        <v>151</v>
      </c>
    </row>
    <row r="7" spans="1:11" x14ac:dyDescent="0.3">
      <c r="A7" s="63" t="s">
        <v>179</v>
      </c>
      <c r="B7" s="55" t="s">
        <v>180</v>
      </c>
      <c r="C7" s="56" t="s">
        <v>125</v>
      </c>
      <c r="D7" s="14">
        <v>2</v>
      </c>
      <c r="E7" s="41">
        <f>IF(D7="","",_xlfn.XLOOKUP(A7,[5]ריכוז!$A:$A,[5]ריכוז!$D:$D,"אין כזה"))</f>
        <v>150</v>
      </c>
      <c r="F7" s="10">
        <f>IF(E7="","",E7*0.15)</f>
        <v>22.5</v>
      </c>
      <c r="G7" s="10">
        <f>IF(E7="","",E7*0.05)</f>
        <v>7.5</v>
      </c>
      <c r="H7" s="10">
        <f>IF(E7="","",E7*1.05*0.85)</f>
        <v>133.875</v>
      </c>
      <c r="I7" s="57">
        <f>IF(D7="","",H7*D7)</f>
        <v>267.75</v>
      </c>
      <c r="K7" s="38"/>
    </row>
    <row r="8" spans="1:11" s="27" customFormat="1" ht="15.6" x14ac:dyDescent="0.3">
      <c r="A8" s="59" t="s">
        <v>5</v>
      </c>
      <c r="B8" s="60" t="s">
        <v>6</v>
      </c>
      <c r="C8" s="61" t="s">
        <v>3</v>
      </c>
      <c r="D8" s="62" t="s">
        <v>3</v>
      </c>
      <c r="E8" s="41" t="str">
        <f>IF(D8="","",_xlfn.XLOOKUP(A8,[5]ריכוז!$A:$A,[5]ריכוז!$D:$D,"אין כזה"))</f>
        <v/>
      </c>
      <c r="F8" s="62" t="s">
        <v>3</v>
      </c>
      <c r="G8" s="62"/>
      <c r="H8" s="10" t="str">
        <f t="shared" ref="H8:H77" si="0">IF(E8="","",E8*1.05*0.85)</f>
        <v/>
      </c>
      <c r="I8" s="62"/>
      <c r="K8" s="38"/>
    </row>
    <row r="9" spans="1:11" s="27" customFormat="1" ht="15.6" x14ac:dyDescent="0.3">
      <c r="A9" s="59" t="s">
        <v>7</v>
      </c>
      <c r="B9" s="60" t="s">
        <v>8</v>
      </c>
      <c r="C9" s="61" t="s">
        <v>3</v>
      </c>
      <c r="D9" s="62" t="s">
        <v>3</v>
      </c>
      <c r="E9" s="41" t="str">
        <f>IF(D9="","",_xlfn.XLOOKUP(A9,[5]ריכוז!$A:$A,[5]ריכוז!$D:$D,"אין כזה"))</f>
        <v/>
      </c>
      <c r="F9" s="62" t="s">
        <v>3</v>
      </c>
      <c r="G9" s="62"/>
      <c r="H9" s="10" t="str">
        <f t="shared" si="0"/>
        <v/>
      </c>
      <c r="I9" s="62"/>
      <c r="K9" s="38"/>
    </row>
    <row r="10" spans="1:11" ht="57.6" x14ac:dyDescent="0.3">
      <c r="A10" s="63" t="s">
        <v>9</v>
      </c>
      <c r="B10" s="55" t="s">
        <v>10</v>
      </c>
      <c r="C10" s="56" t="s">
        <v>4</v>
      </c>
      <c r="D10" s="57">
        <v>31.36</v>
      </c>
      <c r="E10" s="41">
        <f>IF(D10="","",_xlfn.XLOOKUP(A10,[5]ריכוז!$A:$A,[5]ריכוז!$D:$D,"אין כזה"))</f>
        <v>64</v>
      </c>
      <c r="F10" s="10">
        <f>IF(E10="","",E10*0.15)</f>
        <v>9.6</v>
      </c>
      <c r="G10" s="10">
        <f>IF(E10="","",E10*0.05)</f>
        <v>3.2</v>
      </c>
      <c r="H10" s="10">
        <f t="shared" si="0"/>
        <v>57.12</v>
      </c>
      <c r="I10" s="57">
        <f>IF(D10="","",H10*D10)</f>
        <v>1791.2831999999999</v>
      </c>
      <c r="K10" s="38"/>
    </row>
    <row r="11" spans="1:11" s="27" customFormat="1" ht="15.6" x14ac:dyDescent="0.3">
      <c r="A11" s="59" t="s">
        <v>11</v>
      </c>
      <c r="B11" s="60" t="s">
        <v>12</v>
      </c>
      <c r="C11" s="61" t="s">
        <v>3</v>
      </c>
      <c r="D11" s="62" t="s">
        <v>3</v>
      </c>
      <c r="E11" s="41" t="str">
        <f>IF(D11="","",_xlfn.XLOOKUP(A11,[5]ריכוז!$A:$A,[5]ריכוז!$D:$D,"אין כזה"))</f>
        <v/>
      </c>
      <c r="F11" s="10" t="str">
        <f t="shared" ref="F11:F81" si="1">IF(E11="","",E11*0.15)</f>
        <v/>
      </c>
      <c r="G11" s="10" t="str">
        <f t="shared" ref="G11:G81" si="2">IF(E11="","",E11*0.05)</f>
        <v/>
      </c>
      <c r="H11" s="10" t="str">
        <f t="shared" si="0"/>
        <v/>
      </c>
      <c r="I11" s="57" t="str">
        <f t="shared" ref="I11:I81" si="3">IF(D11="","",H11*D11)</f>
        <v/>
      </c>
      <c r="K11" s="38"/>
    </row>
    <row r="12" spans="1:11" s="27" customFormat="1" ht="15.6" x14ac:dyDescent="0.3">
      <c r="A12" s="59" t="s">
        <v>13</v>
      </c>
      <c r="B12" s="60" t="s">
        <v>14</v>
      </c>
      <c r="C12" s="61" t="s">
        <v>3</v>
      </c>
      <c r="D12" s="62" t="s">
        <v>3</v>
      </c>
      <c r="E12" s="41" t="str">
        <f>IF(D12="","",_xlfn.XLOOKUP(A12,[5]ריכוז!$A:$A,[5]ריכוז!$D:$D,"אין כזה"))</f>
        <v/>
      </c>
      <c r="F12" s="10" t="str">
        <f t="shared" si="1"/>
        <v/>
      </c>
      <c r="G12" s="10" t="str">
        <f t="shared" si="2"/>
        <v/>
      </c>
      <c r="H12" s="10" t="str">
        <f t="shared" si="0"/>
        <v/>
      </c>
      <c r="I12" s="57" t="str">
        <f t="shared" si="3"/>
        <v/>
      </c>
      <c r="K12" s="38"/>
    </row>
    <row r="13" spans="1:11" ht="43.2" x14ac:dyDescent="0.3">
      <c r="A13" s="63" t="s">
        <v>15</v>
      </c>
      <c r="B13" s="55" t="s">
        <v>16</v>
      </c>
      <c r="C13" s="56" t="s">
        <v>17</v>
      </c>
      <c r="D13" s="57">
        <v>3</v>
      </c>
      <c r="E13" s="41">
        <f>IF(D13="","",_xlfn.XLOOKUP(A13,[5]ריכוז!$A:$A,[5]ריכוז!$D:$D,"אין כזה"))</f>
        <v>1770</v>
      </c>
      <c r="F13" s="10">
        <f t="shared" si="1"/>
        <v>265.5</v>
      </c>
      <c r="G13" s="10">
        <f t="shared" si="2"/>
        <v>88.5</v>
      </c>
      <c r="H13" s="10">
        <f t="shared" si="0"/>
        <v>1579.7249999999999</v>
      </c>
      <c r="I13" s="57">
        <f t="shared" si="3"/>
        <v>4739.1749999999993</v>
      </c>
      <c r="K13" s="38"/>
    </row>
    <row r="14" spans="1:11" x14ac:dyDescent="0.3">
      <c r="A14" s="54"/>
      <c r="B14" s="55"/>
      <c r="C14" s="56"/>
      <c r="D14" s="57"/>
      <c r="E14" s="41" t="str">
        <f>IF(D14="","",_xlfn.XLOOKUP(A14,[5]ריכוז!$A:$A,[5]ריכוז!$D:$D,"אין כזה"))</f>
        <v/>
      </c>
      <c r="F14" s="10" t="str">
        <f t="shared" si="1"/>
        <v/>
      </c>
      <c r="G14" s="10" t="str">
        <f t="shared" si="2"/>
        <v/>
      </c>
      <c r="H14" s="10" t="str">
        <f t="shared" si="0"/>
        <v/>
      </c>
      <c r="I14" s="57" t="str">
        <f t="shared" si="3"/>
        <v/>
      </c>
      <c r="K14" s="38"/>
    </row>
    <row r="15" spans="1:11" s="27" customFormat="1" ht="15.6" x14ac:dyDescent="0.3">
      <c r="A15" s="59" t="s">
        <v>18</v>
      </c>
      <c r="B15" s="60" t="s">
        <v>19</v>
      </c>
      <c r="C15" s="61" t="s">
        <v>3</v>
      </c>
      <c r="D15" s="62" t="s">
        <v>3</v>
      </c>
      <c r="E15" s="41" t="str">
        <f>IF(D15="","",_xlfn.XLOOKUP(A15,[5]ריכוז!$A:$A,[5]ריכוז!$D:$D,"אין כזה"))</f>
        <v/>
      </c>
      <c r="F15" s="10" t="str">
        <f t="shared" si="1"/>
        <v/>
      </c>
      <c r="G15" s="10" t="str">
        <f t="shared" si="2"/>
        <v/>
      </c>
      <c r="H15" s="10" t="str">
        <f t="shared" si="0"/>
        <v/>
      </c>
      <c r="I15" s="57" t="str">
        <f t="shared" si="3"/>
        <v/>
      </c>
      <c r="K15" s="38"/>
    </row>
    <row r="16" spans="1:11" s="27" customFormat="1" ht="15.6" x14ac:dyDescent="0.3">
      <c r="A16" s="59" t="s">
        <v>20</v>
      </c>
      <c r="B16" s="60" t="s">
        <v>21</v>
      </c>
      <c r="C16" s="61" t="s">
        <v>3</v>
      </c>
      <c r="D16" s="62" t="s">
        <v>3</v>
      </c>
      <c r="E16" s="41" t="str">
        <f>IF(D16="","",_xlfn.XLOOKUP(A16,[5]ריכוז!$A:$A,[5]ריכוז!$D:$D,"אין כזה"))</f>
        <v/>
      </c>
      <c r="F16" s="10" t="str">
        <f t="shared" si="1"/>
        <v/>
      </c>
      <c r="G16" s="10" t="str">
        <f t="shared" si="2"/>
        <v/>
      </c>
      <c r="H16" s="10" t="str">
        <f t="shared" si="0"/>
        <v/>
      </c>
      <c r="I16" s="57" t="str">
        <f t="shared" si="3"/>
        <v/>
      </c>
      <c r="K16" s="38"/>
    </row>
    <row r="17" spans="1:11" ht="28.8" x14ac:dyDescent="0.3">
      <c r="A17" s="63" t="s">
        <v>22</v>
      </c>
      <c r="B17" s="55" t="s">
        <v>23</v>
      </c>
      <c r="C17" s="56" t="s">
        <v>24</v>
      </c>
      <c r="D17" s="138">
        <v>0</v>
      </c>
      <c r="E17" s="41">
        <f>IF(D17="","",_xlfn.XLOOKUP(A17,[5]ריכוז!$A:$A,[5]ריכוז!$D:$D,"אין כזה"))</f>
        <v>1760</v>
      </c>
      <c r="F17" s="10">
        <f t="shared" si="1"/>
        <v>264</v>
      </c>
      <c r="G17" s="10">
        <f t="shared" si="2"/>
        <v>88</v>
      </c>
      <c r="H17" s="10">
        <f t="shared" si="0"/>
        <v>1570.8</v>
      </c>
      <c r="I17" s="57">
        <f t="shared" si="3"/>
        <v>0</v>
      </c>
      <c r="K17" s="38"/>
    </row>
    <row r="18" spans="1:11" ht="44.4" customHeight="1" x14ac:dyDescent="0.3">
      <c r="A18" s="63" t="s">
        <v>25</v>
      </c>
      <c r="B18" s="55" t="s">
        <v>26</v>
      </c>
      <c r="C18" s="56" t="s">
        <v>24</v>
      </c>
      <c r="D18" s="138">
        <f>1.45*1.3*3</f>
        <v>5.6550000000000002</v>
      </c>
      <c r="E18" s="41">
        <f>IF(D18="","",_xlfn.XLOOKUP(A18,[5]ריכוז!$A:$A,[5]ריכוז!$D:$D,"אין כזה"))</f>
        <v>1980</v>
      </c>
      <c r="F18" s="10">
        <f t="shared" si="1"/>
        <v>297</v>
      </c>
      <c r="G18" s="10">
        <f t="shared" si="2"/>
        <v>99</v>
      </c>
      <c r="H18" s="10">
        <f t="shared" si="0"/>
        <v>1767.1499999999999</v>
      </c>
      <c r="I18" s="57">
        <f t="shared" si="3"/>
        <v>9993.2332499999993</v>
      </c>
      <c r="K18" s="38"/>
    </row>
    <row r="19" spans="1:11" ht="28.8" x14ac:dyDescent="0.3">
      <c r="A19" s="63" t="s">
        <v>27</v>
      </c>
      <c r="B19" s="55" t="s">
        <v>28</v>
      </c>
      <c r="C19" s="56" t="s">
        <v>24</v>
      </c>
      <c r="D19" s="57">
        <v>0</v>
      </c>
      <c r="E19" s="41">
        <f>IF(D19="","",_xlfn.XLOOKUP(A19,[5]ריכוז!$A:$A,[5]ריכוז!$D:$D,"אין כזה"))</f>
        <v>2210</v>
      </c>
      <c r="F19" s="10">
        <f t="shared" si="1"/>
        <v>331.5</v>
      </c>
      <c r="G19" s="10">
        <f t="shared" si="2"/>
        <v>110.5</v>
      </c>
      <c r="H19" s="10">
        <f t="shared" si="0"/>
        <v>1972.425</v>
      </c>
      <c r="I19" s="57">
        <f t="shared" si="3"/>
        <v>0</v>
      </c>
      <c r="K19" s="38"/>
    </row>
    <row r="20" spans="1:11" ht="28.8" x14ac:dyDescent="0.3">
      <c r="A20" s="63" t="s">
        <v>29</v>
      </c>
      <c r="B20" s="55" t="s">
        <v>30</v>
      </c>
      <c r="C20" s="56" t="s">
        <v>17</v>
      </c>
      <c r="D20" s="138">
        <f>1.83*1.8*E25</f>
        <v>7312.68</v>
      </c>
      <c r="E20" s="42">
        <f>IF(D20="","",_xlfn.XLOOKUP(A20,[5]ריכוז!$A:$A,[5]ריכוז!$D:$D,"אין כזה"))</f>
        <v>0.15</v>
      </c>
      <c r="F20" s="10">
        <f t="shared" si="1"/>
        <v>2.2499999999999999E-2</v>
      </c>
      <c r="G20" s="10">
        <f t="shared" si="2"/>
        <v>7.4999999999999997E-3</v>
      </c>
      <c r="H20" s="10">
        <f t="shared" si="0"/>
        <v>0.13387499999999999</v>
      </c>
      <c r="I20" s="57">
        <f t="shared" si="3"/>
        <v>978.98503500000004</v>
      </c>
      <c r="K20" s="38"/>
    </row>
    <row r="21" spans="1:11" x14ac:dyDescent="0.3">
      <c r="A21" s="63" t="s">
        <v>31</v>
      </c>
      <c r="B21" s="55" t="s">
        <v>32</v>
      </c>
      <c r="C21" s="56" t="s">
        <v>2</v>
      </c>
      <c r="D21" s="57">
        <v>3</v>
      </c>
      <c r="E21" s="41">
        <f>IF(D21="","",_xlfn.XLOOKUP(A21,[5]ריכוז!$A:$A,[5]ריכוז!$D:$D,"אין כזה"))</f>
        <v>140</v>
      </c>
      <c r="F21" s="10">
        <f t="shared" si="1"/>
        <v>21</v>
      </c>
      <c r="G21" s="10">
        <f t="shared" si="2"/>
        <v>7</v>
      </c>
      <c r="H21" s="10">
        <f t="shared" si="0"/>
        <v>124.95</v>
      </c>
      <c r="I21" s="57">
        <f t="shared" si="3"/>
        <v>374.85</v>
      </c>
      <c r="K21" s="38"/>
    </row>
    <row r="22" spans="1:11" x14ac:dyDescent="0.3">
      <c r="A22" s="63" t="s">
        <v>33</v>
      </c>
      <c r="B22" s="55" t="s">
        <v>34</v>
      </c>
      <c r="C22" s="56" t="s">
        <v>2</v>
      </c>
      <c r="D22" s="57">
        <v>0</v>
      </c>
      <c r="E22" s="41">
        <f>IF(D22="","",_xlfn.XLOOKUP(A22,[5]ריכוז!$A:$A,[5]ריכוז!$D:$D,"אין כזה"))</f>
        <v>240</v>
      </c>
      <c r="F22" s="10">
        <f t="shared" si="1"/>
        <v>36</v>
      </c>
      <c r="G22" s="10">
        <f t="shared" si="2"/>
        <v>12</v>
      </c>
      <c r="H22" s="10">
        <f t="shared" si="0"/>
        <v>214.2</v>
      </c>
      <c r="I22" s="57">
        <f t="shared" si="3"/>
        <v>0</v>
      </c>
      <c r="K22" s="38"/>
    </row>
    <row r="23" spans="1:11" x14ac:dyDescent="0.3">
      <c r="A23" s="63" t="s">
        <v>35</v>
      </c>
      <c r="B23" s="55" t="s">
        <v>36</v>
      </c>
      <c r="C23" s="56" t="s">
        <v>2</v>
      </c>
      <c r="D23" s="57">
        <v>1</v>
      </c>
      <c r="E23" s="41">
        <f>IF(D23="","",_xlfn.XLOOKUP(A23,[5]ריכוז!$A:$A,[5]ריכוז!$D:$D,"אין כזה"))</f>
        <v>310</v>
      </c>
      <c r="F23" s="10">
        <f t="shared" si="1"/>
        <v>46.5</v>
      </c>
      <c r="G23" s="10">
        <f t="shared" si="2"/>
        <v>15.5</v>
      </c>
      <c r="H23" s="10">
        <f t="shared" si="0"/>
        <v>276.67500000000001</v>
      </c>
      <c r="I23" s="57">
        <f t="shared" si="3"/>
        <v>276.67500000000001</v>
      </c>
      <c r="K23" s="38"/>
    </row>
    <row r="24" spans="1:11" s="27" customFormat="1" ht="15.6" x14ac:dyDescent="0.3">
      <c r="A24" s="59" t="s">
        <v>37</v>
      </c>
      <c r="B24" s="60" t="s">
        <v>38</v>
      </c>
      <c r="C24" s="61" t="s">
        <v>3</v>
      </c>
      <c r="D24" s="62"/>
      <c r="E24" s="41" t="str">
        <f>IF(D24="","",_xlfn.XLOOKUP(A24,[5]ריכוז!$A:$A,[5]ריכוז!$D:$D,"אין כזה"))</f>
        <v/>
      </c>
      <c r="F24" s="10" t="str">
        <f t="shared" si="1"/>
        <v/>
      </c>
      <c r="G24" s="10" t="str">
        <f t="shared" si="2"/>
        <v/>
      </c>
      <c r="H24" s="10" t="str">
        <f t="shared" si="0"/>
        <v/>
      </c>
      <c r="I24" s="57" t="str">
        <f t="shared" si="3"/>
        <v/>
      </c>
      <c r="K24" s="38"/>
    </row>
    <row r="25" spans="1:11" ht="28.8" x14ac:dyDescent="0.3">
      <c r="A25" s="63" t="s">
        <v>39</v>
      </c>
      <c r="B25" s="55" t="s">
        <v>40</v>
      </c>
      <c r="C25" s="56" t="s">
        <v>24</v>
      </c>
      <c r="D25" s="57">
        <f>1.85*1.8</f>
        <v>3.33</v>
      </c>
      <c r="E25" s="41">
        <f>IF(D25="","",_xlfn.XLOOKUP(A25,[5]ריכוז!$A:$A,[5]ריכוז!$D:$D,"אין כזה"))</f>
        <v>2220</v>
      </c>
      <c r="F25" s="10">
        <f t="shared" si="1"/>
        <v>333</v>
      </c>
      <c r="G25" s="10">
        <f t="shared" si="2"/>
        <v>111</v>
      </c>
      <c r="H25" s="10">
        <f t="shared" si="0"/>
        <v>1981.35</v>
      </c>
      <c r="I25" s="57">
        <f t="shared" si="3"/>
        <v>6597.8954999999996</v>
      </c>
      <c r="K25" s="38"/>
    </row>
    <row r="26" spans="1:11" ht="28.8" x14ac:dyDescent="0.3">
      <c r="A26" s="63" t="s">
        <v>188</v>
      </c>
      <c r="B26" s="55" t="s">
        <v>40</v>
      </c>
      <c r="C26" s="56" t="s">
        <v>24</v>
      </c>
      <c r="D26" s="57">
        <v>0</v>
      </c>
      <c r="E26" s="41">
        <f>IF(D26="","",_xlfn.XLOOKUP(A26,[5]ריכוז!$A:$A,[5]ריכוז!$D:$D,"אין כזה"))</f>
        <v>2790</v>
      </c>
      <c r="F26" s="10">
        <f t="shared" si="1"/>
        <v>418.5</v>
      </c>
      <c r="G26" s="10">
        <f t="shared" si="2"/>
        <v>139.5</v>
      </c>
      <c r="H26" s="10">
        <f t="shared" si="0"/>
        <v>2490.0749999999998</v>
      </c>
      <c r="I26" s="57">
        <f t="shared" si="3"/>
        <v>0</v>
      </c>
      <c r="K26" s="38"/>
    </row>
    <row r="27" spans="1:11" ht="28.8" x14ac:dyDescent="0.3">
      <c r="A27" s="63" t="s">
        <v>41</v>
      </c>
      <c r="B27" s="55" t="s">
        <v>42</v>
      </c>
      <c r="C27" s="56" t="s">
        <v>24</v>
      </c>
      <c r="D27" s="57">
        <v>0</v>
      </c>
      <c r="E27" s="41">
        <f>IF(D27="","",_xlfn.XLOOKUP(A27,[5]ריכוז!$A:$A,[5]ריכוז!$D:$D,"אין כזה"))</f>
        <v>2700</v>
      </c>
      <c r="F27" s="10">
        <f t="shared" si="1"/>
        <v>405</v>
      </c>
      <c r="G27" s="10">
        <f t="shared" si="2"/>
        <v>135</v>
      </c>
      <c r="H27" s="10">
        <f t="shared" si="0"/>
        <v>2409.75</v>
      </c>
      <c r="I27" s="57">
        <f t="shared" si="3"/>
        <v>0</v>
      </c>
      <c r="K27" s="38"/>
    </row>
    <row r="28" spans="1:11" s="27" customFormat="1" ht="15.6" x14ac:dyDescent="0.3">
      <c r="A28" s="59" t="s">
        <v>43</v>
      </c>
      <c r="B28" s="60" t="s">
        <v>44</v>
      </c>
      <c r="C28" s="61" t="s">
        <v>3</v>
      </c>
      <c r="D28" s="62" t="s">
        <v>3</v>
      </c>
      <c r="E28" s="41" t="str">
        <f>IF(D28="","",_xlfn.XLOOKUP(A28,[5]ריכוז!$A:$A,[5]ריכוז!$D:$D,"אין כזה"))</f>
        <v/>
      </c>
      <c r="F28" s="10" t="str">
        <f t="shared" si="1"/>
        <v/>
      </c>
      <c r="G28" s="10" t="str">
        <f t="shared" si="2"/>
        <v/>
      </c>
      <c r="H28" s="10" t="str">
        <f t="shared" si="0"/>
        <v/>
      </c>
      <c r="I28" s="57" t="str">
        <f t="shared" si="3"/>
        <v/>
      </c>
      <c r="K28" s="38"/>
    </row>
    <row r="29" spans="1:11" ht="28.8" x14ac:dyDescent="0.3">
      <c r="A29" s="63" t="s">
        <v>45</v>
      </c>
      <c r="B29" s="55" t="s">
        <v>46</v>
      </c>
      <c r="C29" s="56" t="s">
        <v>2</v>
      </c>
      <c r="D29" s="57">
        <v>0</v>
      </c>
      <c r="E29" s="41">
        <f>IF(D29="","",_xlfn.XLOOKUP(A29,[5]ריכוז!$A:$A,[5]ריכוז!$D:$D,"אין כזה"))</f>
        <v>1310</v>
      </c>
      <c r="F29" s="10">
        <f t="shared" si="1"/>
        <v>196.5</v>
      </c>
      <c r="G29" s="10">
        <f t="shared" si="2"/>
        <v>65.5</v>
      </c>
      <c r="H29" s="10">
        <f t="shared" si="0"/>
        <v>1169.175</v>
      </c>
      <c r="I29" s="57">
        <f t="shared" si="3"/>
        <v>0</v>
      </c>
      <c r="K29" s="38"/>
    </row>
    <row r="30" spans="1:11" ht="28.8" x14ac:dyDescent="0.3">
      <c r="A30" s="63" t="s">
        <v>47</v>
      </c>
      <c r="B30" s="55" t="s">
        <v>48</v>
      </c>
      <c r="C30" s="56" t="s">
        <v>2</v>
      </c>
      <c r="D30" s="57">
        <v>0</v>
      </c>
      <c r="E30" s="41">
        <f>IF(D30="","",_xlfn.XLOOKUP(A30,[5]ריכוז!$A:$A,[5]ריכוז!$D:$D,"אין כזה"))</f>
        <v>2090</v>
      </c>
      <c r="F30" s="10">
        <f t="shared" si="1"/>
        <v>313.5</v>
      </c>
      <c r="G30" s="10">
        <f t="shared" si="2"/>
        <v>104.5</v>
      </c>
      <c r="H30" s="10">
        <f t="shared" si="0"/>
        <v>1865.325</v>
      </c>
      <c r="I30" s="57">
        <f t="shared" si="3"/>
        <v>0</v>
      </c>
      <c r="K30" s="38"/>
    </row>
    <row r="31" spans="1:11" s="27" customFormat="1" ht="15.6" x14ac:dyDescent="0.3">
      <c r="A31" s="59" t="s">
        <v>50</v>
      </c>
      <c r="B31" s="60" t="s">
        <v>51</v>
      </c>
      <c r="C31" s="61" t="s">
        <v>3</v>
      </c>
      <c r="D31" s="62" t="s">
        <v>3</v>
      </c>
      <c r="E31" s="41" t="str">
        <f>IF(D31="","",_xlfn.XLOOKUP(A31,[5]ריכוז!$A:$A,[5]ריכוז!$D:$D,"אין כזה"))</f>
        <v/>
      </c>
      <c r="F31" s="10" t="str">
        <f t="shared" si="1"/>
        <v/>
      </c>
      <c r="G31" s="10" t="str">
        <f t="shared" si="2"/>
        <v/>
      </c>
      <c r="H31" s="10" t="str">
        <f t="shared" si="0"/>
        <v/>
      </c>
      <c r="I31" s="57" t="str">
        <f t="shared" si="3"/>
        <v/>
      </c>
      <c r="K31" s="38"/>
    </row>
    <row r="32" spans="1:11" ht="28.8" x14ac:dyDescent="0.3">
      <c r="A32" s="63" t="s">
        <v>52</v>
      </c>
      <c r="B32" s="55" t="s">
        <v>53</v>
      </c>
      <c r="C32" s="56" t="s">
        <v>24</v>
      </c>
      <c r="D32" s="57">
        <v>0</v>
      </c>
      <c r="E32" s="41">
        <f>IF(D32="","",_xlfn.XLOOKUP(A32,[5]ריכוז!$A:$A,[5]ריכוז!$D:$D,"אין כזה"))</f>
        <v>1760</v>
      </c>
      <c r="F32" s="10">
        <f t="shared" si="1"/>
        <v>264</v>
      </c>
      <c r="G32" s="10">
        <f t="shared" si="2"/>
        <v>88</v>
      </c>
      <c r="H32" s="10">
        <f t="shared" si="0"/>
        <v>1570.8</v>
      </c>
      <c r="I32" s="57">
        <f t="shared" si="3"/>
        <v>0</v>
      </c>
      <c r="K32" s="38"/>
    </row>
    <row r="33" spans="1:11" ht="28.8" x14ac:dyDescent="0.3">
      <c r="A33" s="63" t="s">
        <v>54</v>
      </c>
      <c r="B33" s="55" t="s">
        <v>55</v>
      </c>
      <c r="C33" s="56" t="s">
        <v>24</v>
      </c>
      <c r="D33" s="57">
        <v>6.9</v>
      </c>
      <c r="E33" s="41">
        <f>IF(D33="","",_xlfn.XLOOKUP(A33,[5]ריכוז!$A:$A,[5]ריכוז!$D:$D,"אין כזה"))</f>
        <v>1850</v>
      </c>
      <c r="F33" s="10">
        <f t="shared" si="1"/>
        <v>277.5</v>
      </c>
      <c r="G33" s="10">
        <f t="shared" si="2"/>
        <v>92.5</v>
      </c>
      <c r="H33" s="10">
        <f t="shared" si="0"/>
        <v>1651.125</v>
      </c>
      <c r="I33" s="57">
        <f t="shared" si="3"/>
        <v>11392.762500000001</v>
      </c>
      <c r="K33" s="38"/>
    </row>
    <row r="34" spans="1:11" ht="28.8" x14ac:dyDescent="0.3">
      <c r="A34" s="63" t="s">
        <v>56</v>
      </c>
      <c r="B34" s="55" t="s">
        <v>57</v>
      </c>
      <c r="C34" s="56" t="s">
        <v>24</v>
      </c>
      <c r="D34" s="57">
        <v>0</v>
      </c>
      <c r="E34" s="41">
        <f>IF(D34="","",_xlfn.XLOOKUP(A34,[5]ריכוז!$A:$A,[5]ריכוז!$D:$D,"אין כזה"))</f>
        <v>1680</v>
      </c>
      <c r="F34" s="10">
        <f t="shared" si="1"/>
        <v>252</v>
      </c>
      <c r="G34" s="10">
        <f t="shared" si="2"/>
        <v>84</v>
      </c>
      <c r="H34" s="10">
        <f t="shared" si="0"/>
        <v>1499.3999999999999</v>
      </c>
      <c r="I34" s="57">
        <f t="shared" si="3"/>
        <v>0</v>
      </c>
      <c r="K34" s="38"/>
    </row>
    <row r="35" spans="1:11" s="27" customFormat="1" ht="15.6" x14ac:dyDescent="0.3">
      <c r="A35" s="59" t="s">
        <v>58</v>
      </c>
      <c r="B35" s="60" t="s">
        <v>59</v>
      </c>
      <c r="C35" s="61" t="s">
        <v>3</v>
      </c>
      <c r="D35" s="62" t="s">
        <v>3</v>
      </c>
      <c r="E35" s="41" t="str">
        <f>IF(D35="","",_xlfn.XLOOKUP(A35,[5]ריכוז!$A:$A,[5]ריכוז!$D:$D,"אין כזה"))</f>
        <v/>
      </c>
      <c r="F35" s="10" t="str">
        <f t="shared" si="1"/>
        <v/>
      </c>
      <c r="G35" s="10" t="str">
        <f t="shared" si="2"/>
        <v/>
      </c>
      <c r="H35" s="10" t="str">
        <f t="shared" si="0"/>
        <v/>
      </c>
      <c r="I35" s="57" t="str">
        <f t="shared" si="3"/>
        <v/>
      </c>
      <c r="K35" s="38"/>
    </row>
    <row r="36" spans="1:11" s="27" customFormat="1" ht="28.8" x14ac:dyDescent="0.3">
      <c r="A36" s="63" t="s">
        <v>171</v>
      </c>
      <c r="B36" s="55" t="s">
        <v>172</v>
      </c>
      <c r="C36" s="56" t="s">
        <v>24</v>
      </c>
      <c r="D36" s="57">
        <v>0</v>
      </c>
      <c r="E36" s="41">
        <f>IF(D36="","",_xlfn.XLOOKUP(A36,[5]ריכוז!$A:$A,[5]ריכוז!$D:$D,"אין כזה"))</f>
        <v>2850</v>
      </c>
      <c r="F36" s="10">
        <f t="shared" si="1"/>
        <v>427.5</v>
      </c>
      <c r="G36" s="10">
        <f t="shared" si="2"/>
        <v>142.5</v>
      </c>
      <c r="H36" s="10">
        <f t="shared" si="0"/>
        <v>2543.625</v>
      </c>
      <c r="I36" s="57">
        <f t="shared" si="3"/>
        <v>0</v>
      </c>
      <c r="K36" s="38"/>
    </row>
    <row r="37" spans="1:11" ht="28.8" x14ac:dyDescent="0.3">
      <c r="A37" s="63" t="s">
        <v>60</v>
      </c>
      <c r="B37" s="55" t="s">
        <v>61</v>
      </c>
      <c r="C37" s="56" t="s">
        <v>24</v>
      </c>
      <c r="D37" s="57">
        <v>0</v>
      </c>
      <c r="E37" s="41">
        <f>IF(D37="","",_xlfn.XLOOKUP(A37,[5]ריכוז!$A:$A,[5]ריכוז!$D:$D,"אין כזה"))</f>
        <v>2300</v>
      </c>
      <c r="F37" s="10">
        <f t="shared" si="1"/>
        <v>345</v>
      </c>
      <c r="G37" s="10">
        <f t="shared" si="2"/>
        <v>115</v>
      </c>
      <c r="H37" s="10">
        <f t="shared" si="0"/>
        <v>2052.75</v>
      </c>
      <c r="I37" s="57">
        <f t="shared" si="3"/>
        <v>0</v>
      </c>
      <c r="K37" s="38"/>
    </row>
    <row r="38" spans="1:11" ht="28.8" x14ac:dyDescent="0.3">
      <c r="A38" s="63" t="s">
        <v>62</v>
      </c>
      <c r="B38" s="55" t="s">
        <v>63</v>
      </c>
      <c r="C38" s="56" t="s">
        <v>24</v>
      </c>
      <c r="D38" s="57">
        <v>0</v>
      </c>
      <c r="E38" s="41">
        <f>IF(D38="","",_xlfn.XLOOKUP(A38,[5]ריכוז!$A:$A,[5]ריכוז!$D:$D,"אין כזה"))</f>
        <v>3250</v>
      </c>
      <c r="F38" s="10">
        <f t="shared" si="1"/>
        <v>487.5</v>
      </c>
      <c r="G38" s="10">
        <f t="shared" si="2"/>
        <v>162.5</v>
      </c>
      <c r="H38" s="10">
        <f t="shared" si="0"/>
        <v>2900.625</v>
      </c>
      <c r="I38" s="57">
        <f t="shared" si="3"/>
        <v>0</v>
      </c>
      <c r="K38" s="38"/>
    </row>
    <row r="39" spans="1:11" s="27" customFormat="1" ht="15.6" x14ac:dyDescent="0.3">
      <c r="A39" s="59" t="s">
        <v>64</v>
      </c>
      <c r="B39" s="60" t="s">
        <v>65</v>
      </c>
      <c r="C39" s="61" t="s">
        <v>3</v>
      </c>
      <c r="D39" s="62" t="s">
        <v>3</v>
      </c>
      <c r="E39" s="41" t="str">
        <f>IF(D39="","",_xlfn.XLOOKUP(A39,[5]ריכוז!$A:$A,[5]ריכוז!$D:$D,"אין כזה"))</f>
        <v/>
      </c>
      <c r="F39" s="10" t="str">
        <f t="shared" si="1"/>
        <v/>
      </c>
      <c r="G39" s="10" t="str">
        <f t="shared" si="2"/>
        <v/>
      </c>
      <c r="H39" s="10" t="str">
        <f t="shared" si="0"/>
        <v/>
      </c>
      <c r="I39" s="57" t="str">
        <f t="shared" si="3"/>
        <v/>
      </c>
      <c r="K39" s="38"/>
    </row>
    <row r="40" spans="1:11" x14ac:dyDescent="0.3">
      <c r="A40" s="63" t="s">
        <v>66</v>
      </c>
      <c r="B40" s="55" t="s">
        <v>67</v>
      </c>
      <c r="C40" s="56" t="s">
        <v>24</v>
      </c>
      <c r="D40" s="57">
        <f>D33+D38</f>
        <v>6.9</v>
      </c>
      <c r="E40" s="41">
        <f>IF(D40="","",_xlfn.XLOOKUP(A40,[5]ריכוז!$A:$A,[5]ריכוז!$D:$D,"אין כזה"))</f>
        <v>88</v>
      </c>
      <c r="F40" s="10">
        <f t="shared" si="1"/>
        <v>13.2</v>
      </c>
      <c r="G40" s="10">
        <f t="shared" si="2"/>
        <v>4.4000000000000004</v>
      </c>
      <c r="H40" s="10">
        <f t="shared" si="0"/>
        <v>78.540000000000006</v>
      </c>
      <c r="I40" s="57">
        <f t="shared" si="3"/>
        <v>541.92600000000004</v>
      </c>
      <c r="K40" s="38"/>
    </row>
    <row r="41" spans="1:11" s="27" customFormat="1" ht="15.6" x14ac:dyDescent="0.3">
      <c r="A41" s="59" t="s">
        <v>68</v>
      </c>
      <c r="B41" s="60" t="s">
        <v>69</v>
      </c>
      <c r="C41" s="61" t="s">
        <v>3</v>
      </c>
      <c r="D41" s="62" t="s">
        <v>3</v>
      </c>
      <c r="E41" s="41" t="str">
        <f>IF(D41="","",_xlfn.XLOOKUP(A41,[5]ריכוז!$A:$A,[5]ריכוז!$D:$D,"אין כזה"))</f>
        <v/>
      </c>
      <c r="F41" s="10" t="str">
        <f t="shared" si="1"/>
        <v/>
      </c>
      <c r="G41" s="10" t="str">
        <f t="shared" si="2"/>
        <v/>
      </c>
      <c r="H41" s="10" t="str">
        <f t="shared" si="0"/>
        <v/>
      </c>
      <c r="I41" s="57" t="str">
        <f t="shared" si="3"/>
        <v/>
      </c>
      <c r="K41" s="38"/>
    </row>
    <row r="42" spans="1:11" ht="28.8" x14ac:dyDescent="0.3">
      <c r="A42" s="63" t="s">
        <v>70</v>
      </c>
      <c r="B42" s="55" t="s">
        <v>71</v>
      </c>
      <c r="C42" s="56" t="s">
        <v>24</v>
      </c>
      <c r="D42" s="57">
        <v>0</v>
      </c>
      <c r="E42" s="41">
        <f>IF(D42="","",_xlfn.XLOOKUP(A42,[5]ריכוז!$A:$A,[5]ריכוז!$D:$D,"אין כזה"))</f>
        <v>717</v>
      </c>
      <c r="F42" s="10">
        <f t="shared" si="1"/>
        <v>107.55</v>
      </c>
      <c r="G42" s="10">
        <f t="shared" si="2"/>
        <v>35.85</v>
      </c>
      <c r="H42" s="10">
        <f t="shared" si="0"/>
        <v>639.92250000000001</v>
      </c>
      <c r="I42" s="57">
        <f t="shared" si="3"/>
        <v>0</v>
      </c>
      <c r="K42" s="38"/>
    </row>
    <row r="43" spans="1:11" ht="28.8" x14ac:dyDescent="0.3">
      <c r="A43" s="63" t="s">
        <v>72</v>
      </c>
      <c r="B43" s="55" t="s">
        <v>73</v>
      </c>
      <c r="C43" s="56" t="s">
        <v>24</v>
      </c>
      <c r="D43" s="57">
        <v>0</v>
      </c>
      <c r="E43" s="41">
        <f>IF(D43="","",_xlfn.XLOOKUP(A43,[5]ריכוז!$A:$A,[5]ריכוז!$D:$D,"אין כזה"))</f>
        <v>582</v>
      </c>
      <c r="F43" s="10">
        <f t="shared" si="1"/>
        <v>87.3</v>
      </c>
      <c r="G43" s="10">
        <f t="shared" si="2"/>
        <v>29.1</v>
      </c>
      <c r="H43" s="10">
        <f t="shared" si="0"/>
        <v>519.43500000000006</v>
      </c>
      <c r="I43" s="57">
        <f t="shared" si="3"/>
        <v>0</v>
      </c>
      <c r="K43" s="38"/>
    </row>
    <row r="44" spans="1:11" ht="28.2" x14ac:dyDescent="0.3">
      <c r="A44" s="9" t="s">
        <v>218</v>
      </c>
      <c r="B44" s="2" t="s">
        <v>219</v>
      </c>
      <c r="C44" s="56" t="s">
        <v>24</v>
      </c>
      <c r="D44" s="138">
        <f>D18+D25</f>
        <v>8.9849999999999994</v>
      </c>
      <c r="E44" s="41">
        <v>800</v>
      </c>
      <c r="F44" s="10">
        <f t="shared" si="1"/>
        <v>120</v>
      </c>
      <c r="G44" s="10">
        <f t="shared" si="2"/>
        <v>40</v>
      </c>
      <c r="H44" s="10">
        <f t="shared" si="0"/>
        <v>714</v>
      </c>
      <c r="I44" s="57">
        <f t="shared" si="3"/>
        <v>6415.29</v>
      </c>
      <c r="K44" s="38"/>
    </row>
    <row r="45" spans="1:11" ht="28.8" x14ac:dyDescent="0.3">
      <c r="A45" s="63" t="s">
        <v>173</v>
      </c>
      <c r="B45" s="55" t="s">
        <v>174</v>
      </c>
      <c r="C45" s="56" t="s">
        <v>24</v>
      </c>
      <c r="D45" s="57">
        <f>D33</f>
        <v>6.9</v>
      </c>
      <c r="E45" s="41">
        <f>IF(D45="","",_xlfn.XLOOKUP(A45,[5]ריכוז!$A:$A,[5]ריכוז!$D:$D,"אין כזה"))</f>
        <v>1440</v>
      </c>
      <c r="F45" s="10">
        <f t="shared" si="1"/>
        <v>216</v>
      </c>
      <c r="G45" s="10">
        <f t="shared" si="2"/>
        <v>72</v>
      </c>
      <c r="H45" s="10">
        <f t="shared" si="0"/>
        <v>1285.2</v>
      </c>
      <c r="I45" s="57">
        <f t="shared" si="3"/>
        <v>8867.880000000001</v>
      </c>
      <c r="K45" s="38"/>
    </row>
    <row r="46" spans="1:11" x14ac:dyDescent="0.3">
      <c r="A46" s="63" t="s">
        <v>74</v>
      </c>
      <c r="B46" s="55" t="s">
        <v>75</v>
      </c>
      <c r="C46" s="56" t="s">
        <v>2</v>
      </c>
      <c r="D46" s="57">
        <v>0</v>
      </c>
      <c r="E46" s="41">
        <f>IF(D46="","",_xlfn.XLOOKUP(A46,[5]ריכוז!$A:$A,[5]ריכוז!$D:$D,"אין כזה"))</f>
        <v>620</v>
      </c>
      <c r="F46" s="10">
        <f t="shared" si="1"/>
        <v>93</v>
      </c>
      <c r="G46" s="10">
        <f t="shared" si="2"/>
        <v>31</v>
      </c>
      <c r="H46" s="10">
        <f t="shared" si="0"/>
        <v>553.35</v>
      </c>
      <c r="I46" s="57">
        <f t="shared" si="3"/>
        <v>0</v>
      </c>
      <c r="K46" s="38"/>
    </row>
    <row r="47" spans="1:11" x14ac:dyDescent="0.3">
      <c r="A47" s="63" t="s">
        <v>76</v>
      </c>
      <c r="B47" s="55" t="s">
        <v>77</v>
      </c>
      <c r="C47" s="56" t="s">
        <v>2</v>
      </c>
      <c r="D47" s="57">
        <v>0</v>
      </c>
      <c r="E47" s="41">
        <f>IF(D47="","",_xlfn.XLOOKUP(A47,[5]ריכוז!$A:$A,[5]ריכוז!$D:$D,"אין כזה"))</f>
        <v>750</v>
      </c>
      <c r="F47" s="10">
        <f t="shared" si="1"/>
        <v>112.5</v>
      </c>
      <c r="G47" s="10">
        <f t="shared" si="2"/>
        <v>37.5</v>
      </c>
      <c r="H47" s="10">
        <f t="shared" si="0"/>
        <v>669.375</v>
      </c>
      <c r="I47" s="57">
        <f t="shared" si="3"/>
        <v>0</v>
      </c>
      <c r="K47" s="38"/>
    </row>
    <row r="48" spans="1:11" x14ac:dyDescent="0.3">
      <c r="A48" s="63" t="s">
        <v>78</v>
      </c>
      <c r="B48" s="55" t="s">
        <v>79</v>
      </c>
      <c r="C48" s="56" t="s">
        <v>2</v>
      </c>
      <c r="D48" s="57">
        <v>0</v>
      </c>
      <c r="E48" s="41">
        <f>IF(D48="","",_xlfn.XLOOKUP(A48,[5]ריכוז!$A:$A,[5]ריכוז!$D:$D,"אין כזה"))</f>
        <v>1020</v>
      </c>
      <c r="F48" s="10">
        <f t="shared" si="1"/>
        <v>153</v>
      </c>
      <c r="G48" s="10">
        <f t="shared" si="2"/>
        <v>51</v>
      </c>
      <c r="H48" s="10">
        <f t="shared" si="0"/>
        <v>910.35</v>
      </c>
      <c r="I48" s="57">
        <f t="shared" si="3"/>
        <v>0</v>
      </c>
      <c r="K48" s="38"/>
    </row>
    <row r="49" spans="1:11" x14ac:dyDescent="0.3">
      <c r="A49" s="63" t="s">
        <v>80</v>
      </c>
      <c r="B49" s="55" t="s">
        <v>81</v>
      </c>
      <c r="C49" s="56" t="s">
        <v>2</v>
      </c>
      <c r="D49" s="57">
        <v>3</v>
      </c>
      <c r="E49" s="41">
        <f>IF(D49="","",_xlfn.XLOOKUP(A49,[5]ריכוז!$A:$A,[5]ריכוז!$D:$D,"אין כזה"))</f>
        <v>1370</v>
      </c>
      <c r="F49" s="10">
        <f t="shared" si="1"/>
        <v>205.5</v>
      </c>
      <c r="G49" s="10">
        <f t="shared" si="2"/>
        <v>68.5</v>
      </c>
      <c r="H49" s="10">
        <f t="shared" si="0"/>
        <v>1222.7249999999999</v>
      </c>
      <c r="I49" s="57">
        <f t="shared" si="3"/>
        <v>3668.1749999999997</v>
      </c>
      <c r="K49" s="38"/>
    </row>
    <row r="50" spans="1:11" x14ac:dyDescent="0.3">
      <c r="A50" s="63" t="s">
        <v>82</v>
      </c>
      <c r="B50" s="55" t="s">
        <v>83</v>
      </c>
      <c r="C50" s="56" t="s">
        <v>2</v>
      </c>
      <c r="D50" s="57">
        <v>1</v>
      </c>
      <c r="E50" s="41">
        <f>IF(D50="","",_xlfn.XLOOKUP(A50,[5]ריכוז!$A:$A,[5]ריכוז!$D:$D,"אין כזה"))</f>
        <v>1650</v>
      </c>
      <c r="F50" s="10">
        <f t="shared" si="1"/>
        <v>247.5</v>
      </c>
      <c r="G50" s="10">
        <f t="shared" si="2"/>
        <v>82.5</v>
      </c>
      <c r="H50" s="10">
        <f t="shared" si="0"/>
        <v>1472.625</v>
      </c>
      <c r="I50" s="57">
        <f t="shared" si="3"/>
        <v>1472.625</v>
      </c>
      <c r="K50" s="38"/>
    </row>
    <row r="51" spans="1:11" x14ac:dyDescent="0.3">
      <c r="A51" s="63" t="s">
        <v>84</v>
      </c>
      <c r="B51" s="55" t="s">
        <v>85</v>
      </c>
      <c r="C51" s="56" t="s">
        <v>2</v>
      </c>
      <c r="D51" s="57">
        <v>1</v>
      </c>
      <c r="E51" s="41">
        <f>IF(D51="","",_xlfn.XLOOKUP(A51,[5]ריכוז!$A:$A,[5]ריכוז!$D:$D,"אין כזה"))</f>
        <v>1820</v>
      </c>
      <c r="F51" s="10">
        <f t="shared" si="1"/>
        <v>273</v>
      </c>
      <c r="G51" s="10">
        <f t="shared" si="2"/>
        <v>91</v>
      </c>
      <c r="H51" s="10">
        <f t="shared" si="0"/>
        <v>1624.35</v>
      </c>
      <c r="I51" s="57">
        <f t="shared" si="3"/>
        <v>1624.35</v>
      </c>
      <c r="K51" s="38"/>
    </row>
    <row r="52" spans="1:11" x14ac:dyDescent="0.3">
      <c r="A52" s="63" t="s">
        <v>86</v>
      </c>
      <c r="B52" s="55" t="s">
        <v>87</v>
      </c>
      <c r="C52" s="56" t="s">
        <v>2</v>
      </c>
      <c r="D52" s="57">
        <v>3</v>
      </c>
      <c r="E52" s="41">
        <f>IF(D52="","",_xlfn.XLOOKUP(A52,[5]ריכוז!$A:$A,[5]ריכוז!$D:$D,"אין כזה"))</f>
        <v>130</v>
      </c>
      <c r="F52" s="10">
        <f t="shared" si="1"/>
        <v>19.5</v>
      </c>
      <c r="G52" s="10">
        <f t="shared" si="2"/>
        <v>6.5</v>
      </c>
      <c r="H52" s="10">
        <f t="shared" si="0"/>
        <v>116.02499999999999</v>
      </c>
      <c r="I52" s="57">
        <f t="shared" si="3"/>
        <v>348.07499999999999</v>
      </c>
      <c r="K52" s="38"/>
    </row>
    <row r="53" spans="1:11" x14ac:dyDescent="0.3">
      <c r="A53" s="63" t="s">
        <v>175</v>
      </c>
      <c r="B53" s="55" t="s">
        <v>176</v>
      </c>
      <c r="C53" s="56" t="s">
        <v>24</v>
      </c>
      <c r="D53" s="57">
        <f>D45+D25</f>
        <v>10.23</v>
      </c>
      <c r="E53" s="41">
        <f>IF(D53="","",_xlfn.XLOOKUP(A53,[5]ריכוז!$A:$A,[5]ריכוז!$D:$D,"אין כזה"))</f>
        <v>60</v>
      </c>
      <c r="F53" s="10">
        <f t="shared" si="1"/>
        <v>9</v>
      </c>
      <c r="G53" s="10">
        <f t="shared" si="2"/>
        <v>3</v>
      </c>
      <c r="H53" s="10">
        <f t="shared" si="0"/>
        <v>53.55</v>
      </c>
      <c r="I53" s="57">
        <f t="shared" si="3"/>
        <v>547.81650000000002</v>
      </c>
      <c r="K53" s="38"/>
    </row>
    <row r="54" spans="1:11" x14ac:dyDescent="0.3">
      <c r="A54" s="63" t="s">
        <v>88</v>
      </c>
      <c r="B54" s="55" t="s">
        <v>89</v>
      </c>
      <c r="C54" s="56" t="s">
        <v>2</v>
      </c>
      <c r="D54" s="57">
        <v>0</v>
      </c>
      <c r="E54" s="41">
        <f>IF(D54="","",_xlfn.XLOOKUP(A54,[5]ריכוז!$A:$A,[5]ריכוז!$D:$D,"אין כזה"))</f>
        <v>109</v>
      </c>
      <c r="F54" s="10">
        <f t="shared" si="1"/>
        <v>16.349999999999998</v>
      </c>
      <c r="G54" s="10">
        <f t="shared" si="2"/>
        <v>5.45</v>
      </c>
      <c r="H54" s="10">
        <f t="shared" si="0"/>
        <v>97.282499999999999</v>
      </c>
      <c r="I54" s="57">
        <f t="shared" si="3"/>
        <v>0</v>
      </c>
      <c r="K54" s="38"/>
    </row>
    <row r="55" spans="1:11" x14ac:dyDescent="0.3">
      <c r="A55" s="63" t="s">
        <v>90</v>
      </c>
      <c r="B55" s="55" t="s">
        <v>91</v>
      </c>
      <c r="C55" s="56" t="s">
        <v>2</v>
      </c>
      <c r="D55" s="57">
        <v>3</v>
      </c>
      <c r="E55" s="41">
        <f>IF(D55="","",_xlfn.XLOOKUP(A55,[5]ריכוז!$A:$A,[5]ריכוז!$D:$D,"אין כזה"))</f>
        <v>121</v>
      </c>
      <c r="F55" s="10">
        <f t="shared" si="1"/>
        <v>18.149999999999999</v>
      </c>
      <c r="G55" s="10">
        <f t="shared" si="2"/>
        <v>6.0500000000000007</v>
      </c>
      <c r="H55" s="10">
        <f t="shared" si="0"/>
        <v>107.99250000000001</v>
      </c>
      <c r="I55" s="57">
        <f t="shared" si="3"/>
        <v>323.97750000000002</v>
      </c>
      <c r="K55" s="38"/>
    </row>
    <row r="56" spans="1:11" ht="14.4" customHeight="1" x14ac:dyDescent="0.3">
      <c r="A56" s="63" t="s">
        <v>195</v>
      </c>
      <c r="B56" s="55" t="s">
        <v>182</v>
      </c>
      <c r="C56" s="56" t="s">
        <v>2</v>
      </c>
      <c r="D56" s="57">
        <v>1</v>
      </c>
      <c r="E56" s="41">
        <f>IF(D56="","",_xlfn.XLOOKUP(A56,[5]ריכוז!$A:$A,[5]ריכוז!$D:$D,"אין כזה"))</f>
        <v>133</v>
      </c>
      <c r="F56" s="10">
        <f t="shared" si="1"/>
        <v>19.95</v>
      </c>
      <c r="G56" s="10">
        <f t="shared" si="2"/>
        <v>6.65</v>
      </c>
      <c r="H56" s="10">
        <f t="shared" si="0"/>
        <v>118.7025</v>
      </c>
      <c r="I56" s="57">
        <f t="shared" si="3"/>
        <v>118.7025</v>
      </c>
      <c r="K56" s="38"/>
    </row>
    <row r="57" spans="1:11" ht="14.4" customHeight="1" x14ac:dyDescent="0.3">
      <c r="A57" s="63" t="s">
        <v>196</v>
      </c>
      <c r="B57" s="55" t="s">
        <v>183</v>
      </c>
      <c r="C57" s="56" t="s">
        <v>2</v>
      </c>
      <c r="D57" s="57">
        <v>0</v>
      </c>
      <c r="E57" s="41">
        <f>IF(D57="","",_xlfn.XLOOKUP(A57,[5]ריכוז!$A:$A,[5]ריכוז!$D:$D,"אין כזה"))</f>
        <v>145</v>
      </c>
      <c r="F57" s="10">
        <f t="shared" si="1"/>
        <v>21.75</v>
      </c>
      <c r="G57" s="10">
        <f t="shared" si="2"/>
        <v>7.25</v>
      </c>
      <c r="H57" s="10">
        <f t="shared" si="0"/>
        <v>129.41249999999999</v>
      </c>
      <c r="I57" s="57">
        <f t="shared" si="3"/>
        <v>0</v>
      </c>
      <c r="K57" s="38"/>
    </row>
    <row r="58" spans="1:11" ht="14.4" customHeight="1" x14ac:dyDescent="0.3">
      <c r="A58" s="63" t="s">
        <v>197</v>
      </c>
      <c r="B58" s="55" t="s">
        <v>184</v>
      </c>
      <c r="C58" s="56" t="s">
        <v>2</v>
      </c>
      <c r="D58" s="57">
        <v>1</v>
      </c>
      <c r="E58" s="41">
        <f>IF(D58="","",_xlfn.XLOOKUP(A58,[5]ריכוז!$A:$A,[5]ריכוז!$D:$D,"אין כזה"))</f>
        <v>157</v>
      </c>
      <c r="F58" s="10">
        <f t="shared" si="1"/>
        <v>23.55</v>
      </c>
      <c r="G58" s="10">
        <f t="shared" si="2"/>
        <v>7.8500000000000005</v>
      </c>
      <c r="H58" s="10">
        <f t="shared" si="0"/>
        <v>140.1225</v>
      </c>
      <c r="I58" s="57">
        <f t="shared" si="3"/>
        <v>140.1225</v>
      </c>
      <c r="K58" s="38"/>
    </row>
    <row r="59" spans="1:11" ht="14.4" customHeight="1" x14ac:dyDescent="0.3">
      <c r="A59" s="63" t="s">
        <v>198</v>
      </c>
      <c r="B59" s="55" t="s">
        <v>185</v>
      </c>
      <c r="C59" s="56" t="s">
        <v>2</v>
      </c>
      <c r="D59" s="57">
        <v>0</v>
      </c>
      <c r="E59" s="41">
        <f>IF(D59="","",_xlfn.XLOOKUP(A59,[5]ריכוז!$A:$A,[5]ריכוז!$D:$D,"אין כזה"))</f>
        <v>169</v>
      </c>
      <c r="F59" s="10">
        <f t="shared" si="1"/>
        <v>25.349999999999998</v>
      </c>
      <c r="G59" s="10">
        <f t="shared" si="2"/>
        <v>8.4500000000000011</v>
      </c>
      <c r="H59" s="10">
        <f t="shared" si="0"/>
        <v>150.83250000000001</v>
      </c>
      <c r="I59" s="57">
        <f t="shared" si="3"/>
        <v>0</v>
      </c>
      <c r="K59" s="38"/>
    </row>
    <row r="60" spans="1:11" ht="14.4" customHeight="1" x14ac:dyDescent="0.3">
      <c r="A60" s="63" t="s">
        <v>199</v>
      </c>
      <c r="B60" s="55" t="s">
        <v>186</v>
      </c>
      <c r="C60" s="56" t="s">
        <v>2</v>
      </c>
      <c r="D60" s="57">
        <v>0</v>
      </c>
      <c r="E60" s="41">
        <f>IF(D60="","",_xlfn.XLOOKUP(A60,[5]ריכוז!$A:$A,[5]ריכוז!$D:$D,"אין כזה"))</f>
        <v>181</v>
      </c>
      <c r="F60" s="10">
        <f t="shared" si="1"/>
        <v>27.15</v>
      </c>
      <c r="G60" s="10">
        <f t="shared" si="2"/>
        <v>9.0500000000000007</v>
      </c>
      <c r="H60" s="10">
        <f t="shared" si="0"/>
        <v>161.54250000000002</v>
      </c>
      <c r="I60" s="57">
        <f t="shared" si="3"/>
        <v>0</v>
      </c>
      <c r="K60" s="38"/>
    </row>
    <row r="61" spans="1:11" ht="14.4" customHeight="1" x14ac:dyDescent="0.3">
      <c r="A61" s="63" t="s">
        <v>200</v>
      </c>
      <c r="B61" s="55" t="s">
        <v>187</v>
      </c>
      <c r="C61" s="56" t="s">
        <v>2</v>
      </c>
      <c r="D61" s="57">
        <v>0</v>
      </c>
      <c r="E61" s="41">
        <f>IF(D61="","",_xlfn.XLOOKUP(A61,[5]ריכוז!$A:$A,[5]ריכוז!$D:$D,"אין כזה"))</f>
        <v>193</v>
      </c>
      <c r="F61" s="10">
        <f t="shared" si="1"/>
        <v>28.95</v>
      </c>
      <c r="G61" s="10">
        <f t="shared" si="2"/>
        <v>9.65</v>
      </c>
      <c r="H61" s="10">
        <f t="shared" si="0"/>
        <v>172.2525</v>
      </c>
      <c r="I61" s="57">
        <f t="shared" si="3"/>
        <v>0</v>
      </c>
      <c r="K61" s="38"/>
    </row>
    <row r="62" spans="1:11" s="27" customFormat="1" ht="15.6" x14ac:dyDescent="0.3">
      <c r="A62" s="59" t="s">
        <v>92</v>
      </c>
      <c r="B62" s="60" t="s">
        <v>93</v>
      </c>
      <c r="C62" s="61" t="s">
        <v>3</v>
      </c>
      <c r="D62" s="62" t="s">
        <v>3</v>
      </c>
      <c r="E62" s="41" t="str">
        <f>IF(D62="","",_xlfn.XLOOKUP(A62,[5]ריכוז!$A:$A,[5]ריכוז!$D:$D,"אין כזה"))</f>
        <v/>
      </c>
      <c r="F62" s="10" t="str">
        <f t="shared" si="1"/>
        <v/>
      </c>
      <c r="G62" s="10" t="str">
        <f t="shared" si="2"/>
        <v/>
      </c>
      <c r="H62" s="10" t="str">
        <f t="shared" si="0"/>
        <v/>
      </c>
      <c r="I62" s="57" t="str">
        <f t="shared" si="3"/>
        <v/>
      </c>
      <c r="K62" s="38"/>
    </row>
    <row r="63" spans="1:11" ht="15" thickBot="1" x14ac:dyDescent="0.35">
      <c r="A63" s="54" t="s">
        <v>94</v>
      </c>
      <c r="B63" s="55" t="s">
        <v>95</v>
      </c>
      <c r="C63" s="56" t="s">
        <v>24</v>
      </c>
      <c r="D63" s="92">
        <v>0</v>
      </c>
      <c r="E63" s="41">
        <f>IF(D63="","",_xlfn.XLOOKUP(A63,[5]ריכוז!$A:$A,[5]ריכוז!$D:$D,"אין כזה"))</f>
        <v>53</v>
      </c>
      <c r="F63" s="10">
        <f t="shared" si="1"/>
        <v>7.9499999999999993</v>
      </c>
      <c r="G63" s="10">
        <f t="shared" si="2"/>
        <v>2.6500000000000004</v>
      </c>
      <c r="H63" s="10">
        <f t="shared" si="0"/>
        <v>47.302500000000002</v>
      </c>
      <c r="I63" s="57">
        <f t="shared" si="3"/>
        <v>0</v>
      </c>
      <c r="K63" s="38"/>
    </row>
    <row r="64" spans="1:11" ht="43.2" x14ac:dyDescent="0.3">
      <c r="A64" s="54" t="s">
        <v>96</v>
      </c>
      <c r="B64" s="55" t="s">
        <v>97</v>
      </c>
      <c r="C64" s="56" t="s">
        <v>24</v>
      </c>
      <c r="D64" s="57">
        <v>0</v>
      </c>
      <c r="E64" s="41">
        <f>IF(D64="","",_xlfn.XLOOKUP(A64,[5]ריכוז!$A:$A,[5]ריכוז!$D:$D,"אין כזה"))</f>
        <v>880</v>
      </c>
      <c r="F64" s="10">
        <f t="shared" si="1"/>
        <v>132</v>
      </c>
      <c r="G64" s="10">
        <f t="shared" si="2"/>
        <v>44</v>
      </c>
      <c r="H64" s="10">
        <f t="shared" si="0"/>
        <v>785.4</v>
      </c>
      <c r="I64" s="57">
        <f t="shared" si="3"/>
        <v>0</v>
      </c>
      <c r="K64" s="38"/>
    </row>
    <row r="65" spans="1:11" ht="43.2" x14ac:dyDescent="0.3">
      <c r="A65" s="54" t="s">
        <v>215</v>
      </c>
      <c r="B65" s="55" t="s">
        <v>98</v>
      </c>
      <c r="C65" s="56" t="s">
        <v>24</v>
      </c>
      <c r="D65" s="57">
        <f>D63</f>
        <v>0</v>
      </c>
      <c r="E65" s="41">
        <f>IF(D65="","",_xlfn.XLOOKUP(A65,[5]ריכוז!$A:$A,[5]ריכוז!$D:$D,"אין כזה"))</f>
        <v>650</v>
      </c>
      <c r="F65" s="10">
        <f t="shared" si="1"/>
        <v>97.5</v>
      </c>
      <c r="G65" s="10">
        <f t="shared" si="2"/>
        <v>32.5</v>
      </c>
      <c r="H65" s="10">
        <f t="shared" si="0"/>
        <v>580.125</v>
      </c>
      <c r="I65" s="57">
        <f t="shared" si="3"/>
        <v>0</v>
      </c>
      <c r="K65" s="38"/>
    </row>
    <row r="66" spans="1:11" s="27" customFormat="1" ht="15.6" x14ac:dyDescent="0.3">
      <c r="A66" s="59" t="s">
        <v>99</v>
      </c>
      <c r="B66" s="60" t="s">
        <v>100</v>
      </c>
      <c r="C66" s="61" t="s">
        <v>3</v>
      </c>
      <c r="D66" s="62" t="s">
        <v>3</v>
      </c>
      <c r="E66" s="41" t="str">
        <f>IF(D66="","",_xlfn.XLOOKUP(A66,[5]ריכוז!$A:$A,[5]ריכוז!$D:$D,"אין כזה"))</f>
        <v/>
      </c>
      <c r="F66" s="10" t="str">
        <f t="shared" si="1"/>
        <v/>
      </c>
      <c r="G66" s="10" t="str">
        <f t="shared" si="2"/>
        <v/>
      </c>
      <c r="H66" s="10" t="str">
        <f t="shared" si="0"/>
        <v/>
      </c>
      <c r="I66" s="57" t="str">
        <f t="shared" si="3"/>
        <v/>
      </c>
      <c r="K66" s="38"/>
    </row>
    <row r="67" spans="1:11" x14ac:dyDescent="0.3">
      <c r="A67" s="63" t="s">
        <v>101</v>
      </c>
      <c r="B67" s="55" t="s">
        <v>102</v>
      </c>
      <c r="C67" s="56" t="s">
        <v>24</v>
      </c>
      <c r="D67" s="57">
        <v>0</v>
      </c>
      <c r="E67" s="41">
        <f>IF(D67="","",_xlfn.XLOOKUP(A67,[5]ריכוז!$A:$A,[5]ריכוז!$D:$D,"אין כזה"))</f>
        <v>265</v>
      </c>
      <c r="F67" s="10">
        <f t="shared" si="1"/>
        <v>39.75</v>
      </c>
      <c r="G67" s="10">
        <f t="shared" si="2"/>
        <v>13.25</v>
      </c>
      <c r="H67" s="10">
        <f t="shared" si="0"/>
        <v>236.51249999999999</v>
      </c>
      <c r="I67" s="57">
        <f t="shared" si="3"/>
        <v>0</v>
      </c>
      <c r="K67" s="38"/>
    </row>
    <row r="68" spans="1:11" x14ac:dyDescent="0.3">
      <c r="A68" s="64" t="s">
        <v>103</v>
      </c>
      <c r="B68" s="65" t="s">
        <v>104</v>
      </c>
      <c r="C68" s="56" t="s">
        <v>24</v>
      </c>
      <c r="D68" s="57">
        <f>-D69-D70</f>
        <v>15.394</v>
      </c>
      <c r="E68" s="41">
        <f>IF(D68="","",_xlfn.XLOOKUP(A68,[5]ריכוז!$A:$A,[5]ריכוז!$D:$D,"אין כזה"))</f>
        <v>375</v>
      </c>
      <c r="F68" s="10">
        <f t="shared" si="1"/>
        <v>56.25</v>
      </c>
      <c r="G68" s="10">
        <f t="shared" si="2"/>
        <v>18.75</v>
      </c>
      <c r="H68" s="10">
        <f t="shared" si="0"/>
        <v>334.6875</v>
      </c>
      <c r="I68" s="57">
        <f t="shared" si="3"/>
        <v>5152.1793749999997</v>
      </c>
      <c r="K68" s="38"/>
    </row>
    <row r="69" spans="1:11" x14ac:dyDescent="0.3">
      <c r="A69" s="64" t="s">
        <v>105</v>
      </c>
      <c r="B69" s="65" t="s">
        <v>106</v>
      </c>
      <c r="C69" s="56" t="s">
        <v>24</v>
      </c>
      <c r="D69" s="57">
        <v>-8.4939999999999998</v>
      </c>
      <c r="E69" s="41">
        <f>IF(D69="","",_xlfn.XLOOKUP(A69,[5]ריכוז!$A:$A,[5]ריכוז!$D:$D,"אין כזה"))</f>
        <v>317</v>
      </c>
      <c r="F69" s="10">
        <f t="shared" si="1"/>
        <v>47.55</v>
      </c>
      <c r="G69" s="10">
        <f t="shared" si="2"/>
        <v>15.850000000000001</v>
      </c>
      <c r="H69" s="10">
        <f t="shared" si="0"/>
        <v>282.92250000000001</v>
      </c>
      <c r="I69" s="57">
        <f t="shared" si="3"/>
        <v>-2403.1437150000002</v>
      </c>
      <c r="K69" s="38"/>
    </row>
    <row r="70" spans="1:11" x14ac:dyDescent="0.3">
      <c r="A70" s="64" t="s">
        <v>107</v>
      </c>
      <c r="B70" s="65" t="s">
        <v>108</v>
      </c>
      <c r="C70" s="56" t="s">
        <v>24</v>
      </c>
      <c r="D70" s="57">
        <f>-D40-D36</f>
        <v>-6.9</v>
      </c>
      <c r="E70" s="41">
        <f>IF(D70="","",_xlfn.XLOOKUP(A70,[5]ריכוז!$A:$A,[5]ריכוז!$D:$D,"אין כזה"))</f>
        <v>172</v>
      </c>
      <c r="F70" s="10">
        <f t="shared" si="1"/>
        <v>25.8</v>
      </c>
      <c r="G70" s="10">
        <f t="shared" si="2"/>
        <v>8.6</v>
      </c>
      <c r="H70" s="10">
        <f t="shared" si="0"/>
        <v>153.51</v>
      </c>
      <c r="I70" s="57">
        <f t="shared" si="3"/>
        <v>-1059.2190000000001</v>
      </c>
      <c r="K70" s="38"/>
    </row>
    <row r="71" spans="1:11" x14ac:dyDescent="0.3">
      <c r="A71" s="63" t="s">
        <v>109</v>
      </c>
      <c r="B71" s="55" t="s">
        <v>110</v>
      </c>
      <c r="C71" s="56" t="s">
        <v>24</v>
      </c>
      <c r="D71" s="57">
        <f>-D67</f>
        <v>0</v>
      </c>
      <c r="E71" s="41">
        <f>IF(D71="","",_xlfn.XLOOKUP(A71,[5]ריכוז!$A:$A,[5]ריכוז!$D:$D,"אין כזה"))</f>
        <v>94</v>
      </c>
      <c r="F71" s="10">
        <f t="shared" si="1"/>
        <v>14.1</v>
      </c>
      <c r="G71" s="10">
        <f t="shared" si="2"/>
        <v>4.7</v>
      </c>
      <c r="H71" s="10">
        <f t="shared" si="0"/>
        <v>83.894999999999996</v>
      </c>
      <c r="I71" s="57">
        <f t="shared" si="3"/>
        <v>0</v>
      </c>
      <c r="K71" s="38"/>
    </row>
    <row r="72" spans="1:11" x14ac:dyDescent="0.3">
      <c r="A72" s="63" t="s">
        <v>111</v>
      </c>
      <c r="B72" s="55" t="s">
        <v>112</v>
      </c>
      <c r="C72" s="56" t="s">
        <v>24</v>
      </c>
      <c r="D72" s="57">
        <v>0</v>
      </c>
      <c r="E72" s="41">
        <f>IF(D72="","",_xlfn.XLOOKUP(A72,[5]ריכוז!$A:$A,[5]ריכוז!$D:$D,"אין כזה"))</f>
        <v>157</v>
      </c>
      <c r="F72" s="10">
        <f t="shared" si="1"/>
        <v>23.55</v>
      </c>
      <c r="G72" s="10">
        <f t="shared" si="2"/>
        <v>7.8500000000000005</v>
      </c>
      <c r="H72" s="10">
        <f t="shared" si="0"/>
        <v>140.1225</v>
      </c>
      <c r="I72" s="57">
        <f t="shared" si="3"/>
        <v>0</v>
      </c>
      <c r="K72" s="38"/>
    </row>
    <row r="73" spans="1:11" s="27" customFormat="1" ht="15.6" x14ac:dyDescent="0.3">
      <c r="A73" s="59" t="s">
        <v>113</v>
      </c>
      <c r="B73" s="60" t="s">
        <v>114</v>
      </c>
      <c r="C73" s="61" t="s">
        <v>3</v>
      </c>
      <c r="D73" s="62" t="s">
        <v>3</v>
      </c>
      <c r="E73" s="41" t="str">
        <f>IF(D73="","",_xlfn.XLOOKUP(A73,[5]ריכוז!$A:$A,[5]ריכוז!$D:$D,"אין כזה"))</f>
        <v/>
      </c>
      <c r="F73" s="10" t="str">
        <f t="shared" si="1"/>
        <v/>
      </c>
      <c r="G73" s="10" t="str">
        <f t="shared" si="2"/>
        <v/>
      </c>
      <c r="H73" s="10" t="str">
        <f t="shared" si="0"/>
        <v/>
      </c>
      <c r="I73" s="57" t="str">
        <f t="shared" si="3"/>
        <v/>
      </c>
      <c r="K73" s="38"/>
    </row>
    <row r="74" spans="1:11" s="27" customFormat="1" ht="15.6" x14ac:dyDescent="0.3">
      <c r="A74" s="59" t="s">
        <v>115</v>
      </c>
      <c r="B74" s="60" t="s">
        <v>116</v>
      </c>
      <c r="C74" s="61" t="s">
        <v>3</v>
      </c>
      <c r="D74" s="62" t="s">
        <v>3</v>
      </c>
      <c r="E74" s="41" t="str">
        <f>IF(D74="","",_xlfn.XLOOKUP(A74,[5]ריכוז!$A:$A,[5]ריכוז!$D:$D,"אין כזה"))</f>
        <v/>
      </c>
      <c r="F74" s="10" t="str">
        <f t="shared" si="1"/>
        <v/>
      </c>
      <c r="G74" s="10" t="str">
        <f t="shared" si="2"/>
        <v/>
      </c>
      <c r="H74" s="10" t="str">
        <f t="shared" si="0"/>
        <v/>
      </c>
      <c r="I74" s="57" t="str">
        <f t="shared" si="3"/>
        <v/>
      </c>
      <c r="K74" s="38"/>
    </row>
    <row r="75" spans="1:11" ht="28.8" x14ac:dyDescent="0.3">
      <c r="A75" s="63" t="s">
        <v>117</v>
      </c>
      <c r="B75" s="55" t="s">
        <v>118</v>
      </c>
      <c r="C75" s="56" t="s">
        <v>17</v>
      </c>
      <c r="D75" s="57">
        <v>0</v>
      </c>
      <c r="E75" s="41">
        <f>IF(D75="","",_xlfn.XLOOKUP(A75,[5]ריכוז!$A:$A,[5]ריכוז!$D:$D,"אין כזה"))</f>
        <v>3500</v>
      </c>
      <c r="F75" s="10">
        <f t="shared" si="1"/>
        <v>525</v>
      </c>
      <c r="G75" s="10">
        <f t="shared" si="2"/>
        <v>175</v>
      </c>
      <c r="H75" s="10">
        <f t="shared" si="0"/>
        <v>3123.75</v>
      </c>
      <c r="I75" s="57">
        <f t="shared" si="3"/>
        <v>0</v>
      </c>
      <c r="K75" s="38"/>
    </row>
    <row r="76" spans="1:11" ht="43.2" x14ac:dyDescent="0.3">
      <c r="A76" s="63" t="s">
        <v>119</v>
      </c>
      <c r="B76" s="55" t="s">
        <v>120</v>
      </c>
      <c r="C76" s="56" t="s">
        <v>4</v>
      </c>
      <c r="D76" s="57">
        <v>0</v>
      </c>
      <c r="E76" s="41">
        <f>IF(D76="","",_xlfn.XLOOKUP(A76,[5]ריכוז!$A:$A,[5]ריכוז!$D:$D,"אין כזה"))</f>
        <v>172</v>
      </c>
      <c r="F76" s="10">
        <f t="shared" si="1"/>
        <v>25.8</v>
      </c>
      <c r="G76" s="10">
        <f t="shared" si="2"/>
        <v>8.6</v>
      </c>
      <c r="H76" s="10">
        <f t="shared" si="0"/>
        <v>153.51</v>
      </c>
      <c r="I76" s="57">
        <f t="shared" si="3"/>
        <v>0</v>
      </c>
      <c r="K76" s="38"/>
    </row>
    <row r="77" spans="1:11" x14ac:dyDescent="0.3">
      <c r="A77" s="63" t="s">
        <v>177</v>
      </c>
      <c r="B77" s="55" t="s">
        <v>178</v>
      </c>
      <c r="C77" s="56" t="s">
        <v>24</v>
      </c>
      <c r="D77" s="57">
        <f>SUM(D17:D19,D25:D27,D29:D30,D32:D34,D36:D38)</f>
        <v>15.885</v>
      </c>
      <c r="E77" s="41">
        <f>IF(D77="","",_xlfn.XLOOKUP(A77,[5]ריכוז!$A:$A,[5]ריכוז!$D:$D,"אין כזה"))</f>
        <v>48</v>
      </c>
      <c r="F77" s="10">
        <f t="shared" si="1"/>
        <v>7.1999999999999993</v>
      </c>
      <c r="G77" s="10">
        <f t="shared" si="2"/>
        <v>2.4000000000000004</v>
      </c>
      <c r="H77" s="10">
        <f t="shared" si="0"/>
        <v>42.84</v>
      </c>
      <c r="I77" s="57">
        <f t="shared" si="3"/>
        <v>680.51340000000005</v>
      </c>
      <c r="K77" s="38"/>
    </row>
    <row r="78" spans="1:11" s="27" customFormat="1" ht="15.6" x14ac:dyDescent="0.3">
      <c r="A78" s="59" t="s">
        <v>121</v>
      </c>
      <c r="B78" s="60" t="s">
        <v>122</v>
      </c>
      <c r="C78" s="61" t="s">
        <v>3</v>
      </c>
      <c r="D78" s="62" t="s">
        <v>3</v>
      </c>
      <c r="E78" s="41" t="str">
        <f>IF(D78="","",_xlfn.XLOOKUP(A78,[5]ריכוז!$A:$A,[5]ריכוז!$D:$D,"אין כזה"))</f>
        <v/>
      </c>
      <c r="F78" s="10" t="str">
        <f t="shared" si="1"/>
        <v/>
      </c>
      <c r="G78" s="10" t="str">
        <f t="shared" si="2"/>
        <v/>
      </c>
      <c r="H78" s="10" t="str">
        <f t="shared" ref="H78:H92" si="4">IF(E78="","",E78*1.05*0.85)</f>
        <v/>
      </c>
      <c r="I78" s="57" t="str">
        <f t="shared" si="3"/>
        <v/>
      </c>
      <c r="K78" s="38"/>
    </row>
    <row r="79" spans="1:11" s="27" customFormat="1" ht="15.6" x14ac:dyDescent="0.3">
      <c r="A79" s="59" t="s">
        <v>123</v>
      </c>
      <c r="B79" s="60" t="s">
        <v>124</v>
      </c>
      <c r="C79" s="61" t="s">
        <v>3</v>
      </c>
      <c r="D79" s="62" t="s">
        <v>3</v>
      </c>
      <c r="E79" s="41" t="str">
        <f>IF(D79="","",_xlfn.XLOOKUP(A79,[5]ריכוז!$A:$A,[5]ריכוז!$D:$D,"אין כזה"))</f>
        <v/>
      </c>
      <c r="F79" s="10" t="str">
        <f t="shared" si="1"/>
        <v/>
      </c>
      <c r="G79" s="10" t="str">
        <f t="shared" si="2"/>
        <v/>
      </c>
      <c r="H79" s="10" t="str">
        <f t="shared" si="4"/>
        <v/>
      </c>
      <c r="I79" s="57" t="str">
        <f t="shared" si="3"/>
        <v/>
      </c>
      <c r="K79" s="38"/>
    </row>
    <row r="80" spans="1:11" s="27" customFormat="1" ht="15.6" x14ac:dyDescent="0.3">
      <c r="A80" s="9" t="s">
        <v>208</v>
      </c>
      <c r="B80" s="55" t="s">
        <v>209</v>
      </c>
      <c r="C80" s="56" t="s">
        <v>125</v>
      </c>
      <c r="D80" s="57">
        <v>3</v>
      </c>
      <c r="E80" s="41">
        <v>130</v>
      </c>
      <c r="F80" s="10">
        <f t="shared" si="1"/>
        <v>19.5</v>
      </c>
      <c r="G80" s="10">
        <f t="shared" si="2"/>
        <v>6.5</v>
      </c>
      <c r="H80" s="10">
        <f t="shared" si="4"/>
        <v>116.02499999999999</v>
      </c>
      <c r="I80" s="57">
        <f t="shared" si="3"/>
        <v>348.07499999999999</v>
      </c>
      <c r="K80" s="38"/>
    </row>
    <row r="81" spans="1:15" s="27" customFormat="1" ht="15.6" x14ac:dyDescent="0.3">
      <c r="A81" s="9" t="s">
        <v>169</v>
      </c>
      <c r="B81" s="55" t="s">
        <v>170</v>
      </c>
      <c r="C81" s="56" t="s">
        <v>125</v>
      </c>
      <c r="D81" s="57">
        <f>2+4</f>
        <v>6</v>
      </c>
      <c r="E81" s="41">
        <f>IF(D81="","",_xlfn.XLOOKUP(A81,[5]ריכוז!$A:$A,[5]ריכוז!$D:$D,"אין כזה"))</f>
        <v>145</v>
      </c>
      <c r="F81" s="10">
        <f t="shared" si="1"/>
        <v>21.75</v>
      </c>
      <c r="G81" s="10">
        <f t="shared" si="2"/>
        <v>7.25</v>
      </c>
      <c r="H81" s="10">
        <f t="shared" si="4"/>
        <v>129.41249999999999</v>
      </c>
      <c r="I81" s="57">
        <f t="shared" si="3"/>
        <v>776.47499999999991</v>
      </c>
      <c r="K81" s="38"/>
    </row>
    <row r="82" spans="1:15" s="27" customFormat="1" ht="15.6" x14ac:dyDescent="0.3">
      <c r="A82" s="59" t="s">
        <v>126</v>
      </c>
      <c r="B82" s="60" t="s">
        <v>127</v>
      </c>
      <c r="C82" s="61" t="s">
        <v>3</v>
      </c>
      <c r="D82" s="62" t="s">
        <v>3</v>
      </c>
      <c r="E82" s="41" t="str">
        <f>IF(D82="","",_xlfn.XLOOKUP(A82,[5]ריכוז!$A:$A,[5]ריכוז!$D:$D,"אין כזה"))</f>
        <v/>
      </c>
      <c r="F82" s="10" t="str">
        <f t="shared" ref="F82:F92" si="5">IF(E82="","",E82*0.15)</f>
        <v/>
      </c>
      <c r="G82" s="10" t="str">
        <f t="shared" ref="G82:G92" si="6">IF(E82="","",E82*0.05)</f>
        <v/>
      </c>
      <c r="H82" s="10" t="str">
        <f t="shared" si="4"/>
        <v/>
      </c>
      <c r="I82" s="57" t="str">
        <f t="shared" ref="I82:I91" si="7">IF(D82="","",H82*D82)</f>
        <v/>
      </c>
      <c r="K82" s="38"/>
    </row>
    <row r="83" spans="1:15" ht="28.8" x14ac:dyDescent="0.3">
      <c r="A83" s="63" t="s">
        <v>128</v>
      </c>
      <c r="B83" s="55" t="s">
        <v>129</v>
      </c>
      <c r="C83" s="56" t="s">
        <v>2</v>
      </c>
      <c r="D83" s="57">
        <v>0</v>
      </c>
      <c r="E83" s="41">
        <f>IF(D83="","",_xlfn.XLOOKUP(A83,[5]ריכוז!$A:$A,[5]ריכוז!$D:$D,"אין כזה"))</f>
        <v>1460</v>
      </c>
      <c r="F83" s="10">
        <f t="shared" si="5"/>
        <v>219</v>
      </c>
      <c r="G83" s="10">
        <f t="shared" si="6"/>
        <v>73</v>
      </c>
      <c r="H83" s="10">
        <f t="shared" si="4"/>
        <v>1303.05</v>
      </c>
      <c r="I83" s="57">
        <f t="shared" si="7"/>
        <v>0</v>
      </c>
      <c r="K83" s="38"/>
    </row>
    <row r="84" spans="1:15" ht="28.8" x14ac:dyDescent="0.3">
      <c r="A84" s="63" t="s">
        <v>130</v>
      </c>
      <c r="B84" s="55" t="s">
        <v>131</v>
      </c>
      <c r="C84" s="56" t="s">
        <v>2</v>
      </c>
      <c r="D84" s="57">
        <v>2</v>
      </c>
      <c r="E84" s="41">
        <f>IF(D84="","",_xlfn.XLOOKUP(A84,[5]ריכוז!$A:$A,[5]ריכוז!$D:$D,"אין כזה"))</f>
        <v>1810</v>
      </c>
      <c r="F84" s="10">
        <f t="shared" si="5"/>
        <v>271.5</v>
      </c>
      <c r="G84" s="10">
        <f t="shared" si="6"/>
        <v>90.5</v>
      </c>
      <c r="H84" s="10">
        <f t="shared" si="4"/>
        <v>1615.425</v>
      </c>
      <c r="I84" s="57">
        <f t="shared" si="7"/>
        <v>3230.85</v>
      </c>
      <c r="K84" s="38"/>
    </row>
    <row r="85" spans="1:15" ht="28.2" x14ac:dyDescent="0.3">
      <c r="A85" s="9" t="s">
        <v>204</v>
      </c>
      <c r="B85" s="2" t="s">
        <v>205</v>
      </c>
      <c r="C85" s="3" t="s">
        <v>2</v>
      </c>
      <c r="D85" s="57">
        <v>0</v>
      </c>
      <c r="E85" s="41">
        <v>2200</v>
      </c>
      <c r="F85" s="10">
        <f t="shared" si="5"/>
        <v>330</v>
      </c>
      <c r="G85" s="10">
        <f t="shared" si="6"/>
        <v>110</v>
      </c>
      <c r="H85" s="10">
        <f t="shared" si="4"/>
        <v>1963.5</v>
      </c>
      <c r="I85" s="57">
        <f t="shared" si="7"/>
        <v>0</v>
      </c>
      <c r="K85" s="38"/>
    </row>
    <row r="86" spans="1:15" s="27" customFormat="1" ht="15.6" x14ac:dyDescent="0.3">
      <c r="A86" s="59" t="s">
        <v>132</v>
      </c>
      <c r="B86" s="60" t="s">
        <v>133</v>
      </c>
      <c r="C86" s="61" t="s">
        <v>3</v>
      </c>
      <c r="D86" s="62" t="s">
        <v>3</v>
      </c>
      <c r="E86" s="41" t="str">
        <f>IF(D86="","",_xlfn.XLOOKUP(A86,[5]ריכוז!$A:$A,[5]ריכוז!$D:$D,"אין כזה"))</f>
        <v/>
      </c>
      <c r="F86" s="10" t="str">
        <f t="shared" si="5"/>
        <v/>
      </c>
      <c r="G86" s="10" t="str">
        <f t="shared" si="6"/>
        <v/>
      </c>
      <c r="H86" s="10" t="str">
        <f t="shared" si="4"/>
        <v/>
      </c>
      <c r="I86" s="57" t="str">
        <f t="shared" si="7"/>
        <v/>
      </c>
      <c r="K86" s="38"/>
    </row>
    <row r="87" spans="1:15" s="27" customFormat="1" ht="15.6" x14ac:dyDescent="0.3">
      <c r="A87" s="59" t="s">
        <v>134</v>
      </c>
      <c r="B87" s="60" t="s">
        <v>135</v>
      </c>
      <c r="C87" s="61" t="s">
        <v>3</v>
      </c>
      <c r="D87" s="62" t="s">
        <v>3</v>
      </c>
      <c r="E87" s="41" t="str">
        <f>IF(D87="","",_xlfn.XLOOKUP(A87,[5]ריכוז!$A:$A,[5]ריכוז!$D:$D,"אין כזה"))</f>
        <v/>
      </c>
      <c r="F87" s="10" t="str">
        <f t="shared" si="5"/>
        <v/>
      </c>
      <c r="G87" s="10" t="str">
        <f t="shared" si="6"/>
        <v/>
      </c>
      <c r="H87" s="10" t="str">
        <f t="shared" si="4"/>
        <v/>
      </c>
      <c r="I87" s="57" t="str">
        <f t="shared" si="7"/>
        <v/>
      </c>
      <c r="K87" s="38"/>
    </row>
    <row r="88" spans="1:15" ht="43.2" x14ac:dyDescent="0.3">
      <c r="A88" s="63" t="s">
        <v>136</v>
      </c>
      <c r="B88" s="55" t="s">
        <v>137</v>
      </c>
      <c r="C88" s="56" t="s">
        <v>24</v>
      </c>
      <c r="D88" s="57">
        <v>6.44</v>
      </c>
      <c r="E88" s="41">
        <f>IF(D88="","",_xlfn.XLOOKUP(A88,[5]ריכוז!$A:$A,[5]ריכוז!$D:$D,"אין כזה"))</f>
        <v>129.78142076502732</v>
      </c>
      <c r="F88" s="10">
        <f t="shared" si="5"/>
        <v>19.467213114754099</v>
      </c>
      <c r="G88" s="10">
        <f t="shared" si="6"/>
        <v>6.4890710382513666</v>
      </c>
      <c r="H88" s="10">
        <f t="shared" si="4"/>
        <v>115.82991803278689</v>
      </c>
      <c r="I88" s="57">
        <f t="shared" si="7"/>
        <v>745.94467213114763</v>
      </c>
      <c r="K88" s="38"/>
    </row>
    <row r="89" spans="1:15" x14ac:dyDescent="0.3">
      <c r="A89" s="54" t="s">
        <v>138</v>
      </c>
      <c r="B89" s="55" t="s">
        <v>139</v>
      </c>
      <c r="C89" s="56" t="s">
        <v>2</v>
      </c>
      <c r="D89" s="57">
        <v>0</v>
      </c>
      <c r="E89" s="41">
        <f>IF(D89="","",_xlfn.XLOOKUP(A89,[5]ריכוז!$A:$A,[5]ריכוז!$D:$D,"אין כזה"))</f>
        <v>2375.3501400560222</v>
      </c>
      <c r="F89" s="10">
        <f t="shared" si="5"/>
        <v>356.30252100840329</v>
      </c>
      <c r="G89" s="10">
        <f t="shared" si="6"/>
        <v>118.76750700280111</v>
      </c>
      <c r="H89" s="10">
        <f t="shared" si="4"/>
        <v>2120</v>
      </c>
      <c r="I89" s="57">
        <f t="shared" si="7"/>
        <v>0</v>
      </c>
      <c r="K89" s="38"/>
    </row>
    <row r="90" spans="1:15" x14ac:dyDescent="0.3">
      <c r="A90" s="54" t="s">
        <v>140</v>
      </c>
      <c r="B90" s="55" t="s">
        <v>141</v>
      </c>
      <c r="C90" s="56" t="s">
        <v>2</v>
      </c>
      <c r="D90" s="57">
        <v>0</v>
      </c>
      <c r="E90" s="41">
        <f>IF(D90="","",_xlfn.XLOOKUP(A90,[5]ריכוז!$A:$A,[5]ריכוז!$D:$D,"אין כזה"))</f>
        <v>950.14005602240888</v>
      </c>
      <c r="F90" s="10">
        <f t="shared" si="5"/>
        <v>142.52100840336132</v>
      </c>
      <c r="G90" s="10">
        <f t="shared" si="6"/>
        <v>47.50700280112045</v>
      </c>
      <c r="H90" s="10">
        <f t="shared" si="4"/>
        <v>848</v>
      </c>
      <c r="I90" s="57">
        <f t="shared" si="7"/>
        <v>0</v>
      </c>
      <c r="K90" s="38"/>
    </row>
    <row r="91" spans="1:15" ht="28.8" x14ac:dyDescent="0.3">
      <c r="A91" s="54" t="s">
        <v>165</v>
      </c>
      <c r="B91" s="55" t="s">
        <v>166</v>
      </c>
      <c r="C91" s="56" t="s">
        <v>167</v>
      </c>
      <c r="D91" s="96">
        <f>SUM(I17:I20,I25:I27,I29:I30,I32:I34,I36:I38,I42:I45,I64:I65,I89:I90)/0.85/1.05</f>
        <v>49575.402000000002</v>
      </c>
      <c r="E91" s="41">
        <f>IF(D91="","",_xlfn.XLOOKUP(A91,[5]ריכוז!$A:$A,[5]ריכוז!$D:$D,"אין כזה"))</f>
        <v>0.06</v>
      </c>
      <c r="F91" s="10">
        <f t="shared" si="5"/>
        <v>8.9999999999999993E-3</v>
      </c>
      <c r="G91" s="10">
        <f t="shared" si="6"/>
        <v>3.0000000000000001E-3</v>
      </c>
      <c r="H91" s="10">
        <f t="shared" si="4"/>
        <v>5.355E-2</v>
      </c>
      <c r="I91" s="57">
        <f t="shared" si="7"/>
        <v>2654.7627771000002</v>
      </c>
      <c r="K91" s="38"/>
    </row>
    <row r="92" spans="1:15" ht="55.8" x14ac:dyDescent="0.3">
      <c r="A92" s="48" t="s">
        <v>162</v>
      </c>
      <c r="B92" s="2" t="s">
        <v>163</v>
      </c>
      <c r="C92" s="3" t="s">
        <v>164</v>
      </c>
      <c r="D92" s="3">
        <v>0</v>
      </c>
      <c r="E92" s="41">
        <f>IF(D92="","",_xlfn.XLOOKUP(A92,[5]ריכוז!$A:$A,[5]ריכוז!$D:$D,"אין כזה"))</f>
        <v>3500</v>
      </c>
      <c r="F92" s="10">
        <f t="shared" si="5"/>
        <v>525</v>
      </c>
      <c r="G92" s="10">
        <f t="shared" si="6"/>
        <v>175</v>
      </c>
      <c r="H92" s="10">
        <f t="shared" si="4"/>
        <v>3123.75</v>
      </c>
      <c r="I92" s="57">
        <f>H92*D92</f>
        <v>0</v>
      </c>
      <c r="K92" s="38"/>
      <c r="L92"/>
      <c r="M92"/>
      <c r="N92"/>
      <c r="O92"/>
    </row>
    <row r="93" spans="1:15" x14ac:dyDescent="0.3">
      <c r="A93" s="21" t="s">
        <v>3</v>
      </c>
      <c r="B93" s="22" t="s">
        <v>152</v>
      </c>
      <c r="C93" s="23"/>
      <c r="D93" s="24"/>
      <c r="E93" s="25"/>
      <c r="F93" s="24"/>
      <c r="G93" s="24"/>
      <c r="H93" s="24"/>
      <c r="I93" s="31">
        <f>SUMIF(A:A,"01.*",I:I)</f>
        <v>0</v>
      </c>
      <c r="K93"/>
      <c r="L93"/>
      <c r="M93"/>
      <c r="N93"/>
      <c r="O93"/>
    </row>
    <row r="94" spans="1:15" x14ac:dyDescent="0.3">
      <c r="A94" s="21" t="s">
        <v>3</v>
      </c>
      <c r="B94" s="22" t="s">
        <v>153</v>
      </c>
      <c r="C94" s="23"/>
      <c r="D94" s="24"/>
      <c r="E94" s="25"/>
      <c r="F94" s="24"/>
      <c r="G94" s="24"/>
      <c r="H94" s="24"/>
      <c r="I94" s="31">
        <f>SUMIF(A:A,"05.*",I:I)</f>
        <v>0</v>
      </c>
      <c r="K94"/>
      <c r="L94"/>
      <c r="M94"/>
      <c r="N94"/>
      <c r="O94"/>
    </row>
    <row r="95" spans="1:15" x14ac:dyDescent="0.3">
      <c r="A95" s="21" t="s">
        <v>3</v>
      </c>
      <c r="B95" s="22" t="s">
        <v>154</v>
      </c>
      <c r="C95" s="23"/>
      <c r="D95" s="24"/>
      <c r="E95" s="25"/>
      <c r="F95" s="24"/>
      <c r="G95" s="24"/>
      <c r="H95" s="24"/>
      <c r="I95" s="31">
        <f>SUMIF(A:A,"09.*",I:I)</f>
        <v>1791.2831999999999</v>
      </c>
      <c r="K95"/>
      <c r="L95"/>
      <c r="M95"/>
      <c r="N95"/>
      <c r="O95"/>
    </row>
    <row r="96" spans="1:15" x14ac:dyDescent="0.3">
      <c r="A96" s="21" t="s">
        <v>3</v>
      </c>
      <c r="B96" s="22" t="s">
        <v>155</v>
      </c>
      <c r="C96" s="23"/>
      <c r="D96" s="24"/>
      <c r="E96" s="25"/>
      <c r="F96" s="24"/>
      <c r="G96" s="24"/>
      <c r="H96" s="24"/>
      <c r="I96" s="31">
        <f>SUMIF(A:A,"11.*",I:I)</f>
        <v>4739.1749999999993</v>
      </c>
      <c r="K96"/>
      <c r="L96"/>
      <c r="M96"/>
      <c r="N96"/>
      <c r="O96"/>
    </row>
    <row r="97" spans="1:15" x14ac:dyDescent="0.3">
      <c r="A97" s="21" t="s">
        <v>3</v>
      </c>
      <c r="B97" s="22" t="s">
        <v>156</v>
      </c>
      <c r="C97" s="23"/>
      <c r="D97" s="24"/>
      <c r="E97" s="25"/>
      <c r="F97" s="24"/>
      <c r="G97" s="24"/>
      <c r="H97" s="24"/>
      <c r="I97" s="31">
        <f>SUMIF(A:A,"12.*",I:I)</f>
        <v>58027.920722100003</v>
      </c>
      <c r="K97"/>
      <c r="L97"/>
      <c r="M97"/>
      <c r="N97"/>
      <c r="O97"/>
    </row>
    <row r="98" spans="1:15" x14ac:dyDescent="0.3">
      <c r="A98" s="21" t="s">
        <v>3</v>
      </c>
      <c r="B98" s="22" t="s">
        <v>157</v>
      </c>
      <c r="C98" s="23"/>
      <c r="D98" s="24"/>
      <c r="E98" s="25"/>
      <c r="F98" s="24"/>
      <c r="G98" s="24"/>
      <c r="H98" s="24"/>
      <c r="I98" s="31">
        <f>SUMIF(A:A,"15.*",I:I)</f>
        <v>0</v>
      </c>
      <c r="K98"/>
      <c r="L98"/>
      <c r="M98"/>
      <c r="N98"/>
      <c r="O98"/>
    </row>
    <row r="99" spans="1:15" x14ac:dyDescent="0.3">
      <c r="A99" s="21"/>
      <c r="B99" s="90" t="s">
        <v>181</v>
      </c>
      <c r="C99" s="23"/>
      <c r="D99" s="24"/>
      <c r="E99" s="25"/>
      <c r="F99" s="24"/>
      <c r="G99" s="24"/>
      <c r="H99" s="24"/>
      <c r="I99" s="31">
        <f>SUMIF(A:A,"30.*",I:I)</f>
        <v>680.51340000000005</v>
      </c>
      <c r="K99"/>
      <c r="L99"/>
      <c r="M99"/>
      <c r="N99"/>
      <c r="O99"/>
    </row>
    <row r="100" spans="1:15" x14ac:dyDescent="0.3">
      <c r="A100" s="21" t="s">
        <v>3</v>
      </c>
      <c r="B100" s="22" t="s">
        <v>158</v>
      </c>
      <c r="C100" s="23"/>
      <c r="D100" s="24"/>
      <c r="E100" s="25"/>
      <c r="F100" s="24"/>
      <c r="G100" s="24"/>
      <c r="H100" s="24"/>
      <c r="I100" s="31">
        <f>SUMIF(A:A,"60.*",I:I)</f>
        <v>4623.1499999999996</v>
      </c>
      <c r="K100"/>
      <c r="L100"/>
      <c r="M100"/>
      <c r="N100"/>
      <c r="O100"/>
    </row>
    <row r="101" spans="1:15" x14ac:dyDescent="0.3">
      <c r="A101" s="21" t="s">
        <v>3</v>
      </c>
      <c r="B101" s="22" t="s">
        <v>159</v>
      </c>
      <c r="C101" s="23"/>
      <c r="D101" s="24"/>
      <c r="E101" s="25"/>
      <c r="F101" s="24"/>
      <c r="G101" s="24"/>
      <c r="H101" s="24"/>
      <c r="I101" s="31">
        <f>SUMIF(A:A,"85.*",I:I)</f>
        <v>745.94467213114763</v>
      </c>
      <c r="K101"/>
      <c r="L101"/>
      <c r="M101"/>
      <c r="N101"/>
      <c r="O101"/>
    </row>
    <row r="102" spans="1:15" x14ac:dyDescent="0.3">
      <c r="A102" s="28" t="s">
        <v>3</v>
      </c>
      <c r="B102" s="29" t="s">
        <v>160</v>
      </c>
      <c r="C102" s="23"/>
      <c r="D102" s="24"/>
      <c r="E102" s="25"/>
      <c r="F102" s="30"/>
      <c r="G102" s="30"/>
      <c r="H102" s="30"/>
      <c r="I102" s="30">
        <f>SUM(I93:I101)</f>
        <v>70607.986994231163</v>
      </c>
      <c r="K102"/>
      <c r="L102"/>
      <c r="M102"/>
      <c r="N102"/>
      <c r="O102"/>
    </row>
    <row r="103" spans="1:15" x14ac:dyDescent="0.3">
      <c r="A103" s="28" t="s">
        <v>3</v>
      </c>
      <c r="B103" s="29" t="s">
        <v>161</v>
      </c>
      <c r="C103" s="23"/>
      <c r="D103" s="24"/>
      <c r="E103" s="25"/>
      <c r="F103" s="30"/>
      <c r="G103" s="30"/>
      <c r="H103" s="30"/>
      <c r="I103" s="30">
        <f t="shared" ref="I103" si="8">(I102 * (1 / 100 * 18))</f>
        <v>12709.437658961609</v>
      </c>
      <c r="K103"/>
      <c r="L103"/>
      <c r="M103"/>
      <c r="N103"/>
      <c r="O103"/>
    </row>
    <row r="104" spans="1:15" x14ac:dyDescent="0.3">
      <c r="A104" s="32" t="s">
        <v>3</v>
      </c>
      <c r="B104" s="33" t="s">
        <v>160</v>
      </c>
      <c r="C104" s="34"/>
      <c r="D104" s="35"/>
      <c r="E104" s="36"/>
      <c r="F104" s="37"/>
      <c r="G104" s="37"/>
      <c r="H104" s="37"/>
      <c r="I104" s="37">
        <f t="shared" ref="I104" si="9">I102 + I103</f>
        <v>83317.424653192778</v>
      </c>
      <c r="K104"/>
      <c r="L104"/>
      <c r="M104"/>
      <c r="N104"/>
      <c r="O104"/>
    </row>
  </sheetData>
  <conditionalFormatting sqref="A7:D43 C44:D44 A45:D84">
    <cfRule type="expression" dxfId="20" priority="3">
      <formula>$K7="אין"</formula>
    </cfRule>
  </conditionalFormatting>
  <conditionalFormatting sqref="F7:K92 D85 A86:D90 A92:D92 A91:C91">
    <cfRule type="expression" dxfId="19" priority="4">
      <formula>$K7="אין"</formula>
    </cfRule>
  </conditionalFormatting>
  <conditionalFormatting sqref="D91">
    <cfRule type="expression" dxfId="2" priority="1">
      <formula>$K91="אין"</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86C1F-862F-4D1A-9F54-B4AEF45A09E1}">
  <dimension ref="A1:O104"/>
  <sheetViews>
    <sheetView rightToLeft="1" topLeftCell="E86" zoomScale="85" zoomScaleNormal="85" workbookViewId="0">
      <selection activeCell="G95" sqref="G95"/>
    </sheetView>
  </sheetViews>
  <sheetFormatPr defaultColWidth="8.69921875" defaultRowHeight="14.4" x14ac:dyDescent="0.3"/>
  <cols>
    <col min="1" max="1" width="11.69921875" style="38" customWidth="1"/>
    <col min="2" max="2" width="63" style="13" customWidth="1"/>
    <col min="3" max="3" width="8.19921875" style="39" customWidth="1"/>
    <col min="4" max="4" width="10.09765625" style="14" customWidth="1"/>
    <col min="5" max="5" width="11.19921875" style="15" bestFit="1" customWidth="1"/>
    <col min="6" max="6" width="10.19921875" style="14" customWidth="1"/>
    <col min="7" max="7" width="12.19921875" style="14" customWidth="1"/>
    <col min="8" max="8" width="14" style="13" bestFit="1" customWidth="1"/>
    <col min="9" max="9" width="13.3984375" style="13" bestFit="1" customWidth="1"/>
    <col min="10" max="10" width="8.69921875" style="13"/>
    <col min="11" max="11" width="13.19921875" style="13" bestFit="1" customWidth="1"/>
    <col min="12" max="12" width="11.19921875" style="13" bestFit="1" customWidth="1"/>
    <col min="13" max="16384" width="8.69921875" style="13"/>
  </cols>
  <sheetData>
    <row r="1" spans="1:11" ht="17.399999999999999" x14ac:dyDescent="0.3">
      <c r="A1" s="12"/>
      <c r="C1" s="89" t="s">
        <v>234</v>
      </c>
      <c r="D1" s="40">
        <v>1691</v>
      </c>
    </row>
    <row r="3" spans="1:11" ht="21" x14ac:dyDescent="0.4">
      <c r="A3" s="16"/>
      <c r="B3" s="17"/>
      <c r="C3" s="18"/>
      <c r="D3" s="19"/>
      <c r="E3" s="20"/>
      <c r="F3" s="19"/>
      <c r="G3" s="19"/>
      <c r="H3" s="19"/>
      <c r="I3" s="19"/>
    </row>
    <row r="4" spans="1:11" x14ac:dyDescent="0.3">
      <c r="A4" s="21"/>
      <c r="B4" s="22"/>
      <c r="C4" s="23"/>
      <c r="D4" s="24"/>
      <c r="E4" s="25"/>
      <c r="F4" s="24"/>
      <c r="G4" s="24"/>
      <c r="H4" s="24"/>
      <c r="I4" s="24"/>
    </row>
    <row r="5" spans="1:11" ht="15" thickBot="1" x14ac:dyDescent="0.35">
      <c r="A5" s="21"/>
      <c r="B5" s="22"/>
      <c r="C5" s="23"/>
      <c r="D5" s="24"/>
      <c r="E5" s="25"/>
      <c r="F5" s="24"/>
      <c r="G5" s="26"/>
      <c r="H5" s="26"/>
      <c r="I5" s="24"/>
    </row>
    <row r="6" spans="1:11" ht="29.4" thickTop="1" x14ac:dyDescent="0.3">
      <c r="A6" s="50" t="s">
        <v>0</v>
      </c>
      <c r="B6" s="51" t="s">
        <v>1</v>
      </c>
      <c r="C6" s="52" t="s">
        <v>2</v>
      </c>
      <c r="D6" s="53" t="s">
        <v>147</v>
      </c>
      <c r="E6" s="66" t="s">
        <v>142</v>
      </c>
      <c r="F6" s="66" t="s">
        <v>143</v>
      </c>
      <c r="G6" s="66" t="s">
        <v>144</v>
      </c>
      <c r="H6" s="66" t="s">
        <v>145</v>
      </c>
      <c r="I6" s="53" t="s">
        <v>151</v>
      </c>
    </row>
    <row r="7" spans="1:11" x14ac:dyDescent="0.3">
      <c r="A7" s="63" t="s">
        <v>179</v>
      </c>
      <c r="B7" s="55" t="s">
        <v>180</v>
      </c>
      <c r="C7" s="56" t="s">
        <v>125</v>
      </c>
      <c r="D7" s="14">
        <v>0</v>
      </c>
      <c r="E7" s="41">
        <f>IF(D7="","",_xlfn.XLOOKUP(A7,[5]ריכוז!$A:$A,[5]ריכוז!$D:$D,"אין כזה"))</f>
        <v>150</v>
      </c>
      <c r="F7" s="10">
        <f>IF(E7="","",E7*0.15)</f>
        <v>22.5</v>
      </c>
      <c r="G7" s="10">
        <f>IF(E7="","",E7*0.05)</f>
        <v>7.5</v>
      </c>
      <c r="H7" s="10">
        <f>IF(E7="","",E7*1.05*0.85)</f>
        <v>133.875</v>
      </c>
      <c r="I7" s="57">
        <f>IF(D7="","",H7*D7)</f>
        <v>0</v>
      </c>
      <c r="K7" s="38"/>
    </row>
    <row r="8" spans="1:11" s="27" customFormat="1" ht="15.6" x14ac:dyDescent="0.3">
      <c r="A8" s="59" t="s">
        <v>5</v>
      </c>
      <c r="B8" s="60" t="s">
        <v>6</v>
      </c>
      <c r="C8" s="61" t="s">
        <v>3</v>
      </c>
      <c r="D8" s="62" t="s">
        <v>3</v>
      </c>
      <c r="E8" s="41" t="str">
        <f>IF(D8="","",_xlfn.XLOOKUP(A8,[5]ריכוז!$A:$A,[5]ריכוז!$D:$D,"אין כזה"))</f>
        <v/>
      </c>
      <c r="F8" s="62" t="s">
        <v>3</v>
      </c>
      <c r="G8" s="62"/>
      <c r="H8" s="10" t="str">
        <f t="shared" ref="H8:H77" si="0">IF(E8="","",E8*1.05*0.85)</f>
        <v/>
      </c>
      <c r="I8" s="62"/>
      <c r="K8" s="38"/>
    </row>
    <row r="9" spans="1:11" s="27" customFormat="1" ht="15.6" x14ac:dyDescent="0.3">
      <c r="A9" s="59" t="s">
        <v>7</v>
      </c>
      <c r="B9" s="60" t="s">
        <v>8</v>
      </c>
      <c r="C9" s="61" t="s">
        <v>3</v>
      </c>
      <c r="D9" s="62" t="s">
        <v>3</v>
      </c>
      <c r="E9" s="41" t="str">
        <f>IF(D9="","",_xlfn.XLOOKUP(A9,[5]ריכוז!$A:$A,[5]ריכוז!$D:$D,"אין כזה"))</f>
        <v/>
      </c>
      <c r="F9" s="62" t="s">
        <v>3</v>
      </c>
      <c r="G9" s="62"/>
      <c r="H9" s="10" t="str">
        <f t="shared" si="0"/>
        <v/>
      </c>
      <c r="I9" s="62"/>
      <c r="K9" s="38"/>
    </row>
    <row r="10" spans="1:11" ht="57.6" x14ac:dyDescent="0.3">
      <c r="A10" s="63" t="s">
        <v>9</v>
      </c>
      <c r="B10" s="55" t="s">
        <v>10</v>
      </c>
      <c r="C10" s="56" t="s">
        <v>4</v>
      </c>
      <c r="D10" s="57">
        <v>0</v>
      </c>
      <c r="E10" s="41">
        <f>IF(D10="","",_xlfn.XLOOKUP(A10,[5]ריכוז!$A:$A,[5]ריכוז!$D:$D,"אין כזה"))</f>
        <v>64</v>
      </c>
      <c r="F10" s="10">
        <f>IF(E10="","",E10*0.15)</f>
        <v>9.6</v>
      </c>
      <c r="G10" s="10">
        <f>IF(E10="","",E10*0.05)</f>
        <v>3.2</v>
      </c>
      <c r="H10" s="10">
        <f t="shared" si="0"/>
        <v>57.12</v>
      </c>
      <c r="I10" s="57">
        <f>IF(D10="","",H10*D10)</f>
        <v>0</v>
      </c>
      <c r="K10" s="38"/>
    </row>
    <row r="11" spans="1:11" s="27" customFormat="1" ht="15.6" x14ac:dyDescent="0.3">
      <c r="A11" s="59" t="s">
        <v>11</v>
      </c>
      <c r="B11" s="60" t="s">
        <v>12</v>
      </c>
      <c r="C11" s="61" t="s">
        <v>3</v>
      </c>
      <c r="D11" s="62" t="s">
        <v>3</v>
      </c>
      <c r="E11" s="41" t="str">
        <f>IF(D11="","",_xlfn.XLOOKUP(A11,[5]ריכוז!$A:$A,[5]ריכוז!$D:$D,"אין כזה"))</f>
        <v/>
      </c>
      <c r="F11" s="10" t="str">
        <f t="shared" ref="F11:F81" si="1">IF(E11="","",E11*0.15)</f>
        <v/>
      </c>
      <c r="G11" s="10" t="str">
        <f t="shared" ref="G11:G81" si="2">IF(E11="","",E11*0.05)</f>
        <v/>
      </c>
      <c r="H11" s="10" t="str">
        <f t="shared" si="0"/>
        <v/>
      </c>
      <c r="I11" s="57" t="str">
        <f t="shared" ref="I11:I81" si="3">IF(D11="","",H11*D11)</f>
        <v/>
      </c>
      <c r="K11" s="38"/>
    </row>
    <row r="12" spans="1:11" s="27" customFormat="1" ht="15.6" x14ac:dyDescent="0.3">
      <c r="A12" s="59" t="s">
        <v>13</v>
      </c>
      <c r="B12" s="60" t="s">
        <v>14</v>
      </c>
      <c r="C12" s="61" t="s">
        <v>3</v>
      </c>
      <c r="D12" s="62" t="s">
        <v>3</v>
      </c>
      <c r="E12" s="41" t="str">
        <f>IF(D12="","",_xlfn.XLOOKUP(A12,[5]ריכוז!$A:$A,[5]ריכוז!$D:$D,"אין כזה"))</f>
        <v/>
      </c>
      <c r="F12" s="10" t="str">
        <f t="shared" si="1"/>
        <v/>
      </c>
      <c r="G12" s="10" t="str">
        <f t="shared" si="2"/>
        <v/>
      </c>
      <c r="H12" s="10" t="str">
        <f t="shared" si="0"/>
        <v/>
      </c>
      <c r="I12" s="57" t="str">
        <f t="shared" si="3"/>
        <v/>
      </c>
      <c r="K12" s="38"/>
    </row>
    <row r="13" spans="1:11" ht="43.2" x14ac:dyDescent="0.3">
      <c r="A13" s="63" t="s">
        <v>15</v>
      </c>
      <c r="B13" s="55" t="s">
        <v>16</v>
      </c>
      <c r="C13" s="56" t="s">
        <v>17</v>
      </c>
      <c r="D13" s="57">
        <v>0</v>
      </c>
      <c r="E13" s="41">
        <f>IF(D13="","",_xlfn.XLOOKUP(A13,[5]ריכוז!$A:$A,[5]ריכוז!$D:$D,"אין כזה"))</f>
        <v>1770</v>
      </c>
      <c r="F13" s="10">
        <f t="shared" si="1"/>
        <v>265.5</v>
      </c>
      <c r="G13" s="10">
        <f t="shared" si="2"/>
        <v>88.5</v>
      </c>
      <c r="H13" s="10">
        <f t="shared" si="0"/>
        <v>1579.7249999999999</v>
      </c>
      <c r="I13" s="57">
        <f t="shared" si="3"/>
        <v>0</v>
      </c>
      <c r="K13" s="38"/>
    </row>
    <row r="14" spans="1:11" x14ac:dyDescent="0.3">
      <c r="A14" s="54"/>
      <c r="B14" s="55"/>
      <c r="C14" s="56"/>
      <c r="D14" s="57"/>
      <c r="E14" s="41" t="str">
        <f>IF(D14="","",_xlfn.XLOOKUP(A14,[5]ריכוז!$A:$A,[5]ריכוז!$D:$D,"אין כזה"))</f>
        <v/>
      </c>
      <c r="F14" s="10" t="str">
        <f t="shared" si="1"/>
        <v/>
      </c>
      <c r="G14" s="10" t="str">
        <f t="shared" si="2"/>
        <v/>
      </c>
      <c r="H14" s="10" t="str">
        <f t="shared" si="0"/>
        <v/>
      </c>
      <c r="I14" s="57" t="str">
        <f t="shared" si="3"/>
        <v/>
      </c>
      <c r="K14" s="38"/>
    </row>
    <row r="15" spans="1:11" s="27" customFormat="1" ht="15.6" x14ac:dyDescent="0.3">
      <c r="A15" s="59" t="s">
        <v>18</v>
      </c>
      <c r="B15" s="60" t="s">
        <v>19</v>
      </c>
      <c r="C15" s="61" t="s">
        <v>3</v>
      </c>
      <c r="D15" s="62" t="s">
        <v>3</v>
      </c>
      <c r="E15" s="41" t="str">
        <f>IF(D15="","",_xlfn.XLOOKUP(A15,[5]ריכוז!$A:$A,[5]ריכוז!$D:$D,"אין כזה"))</f>
        <v/>
      </c>
      <c r="F15" s="10" t="str">
        <f t="shared" si="1"/>
        <v/>
      </c>
      <c r="G15" s="10" t="str">
        <f t="shared" si="2"/>
        <v/>
      </c>
      <c r="H15" s="10" t="str">
        <f t="shared" si="0"/>
        <v/>
      </c>
      <c r="I15" s="57" t="str">
        <f t="shared" si="3"/>
        <v/>
      </c>
      <c r="K15" s="38"/>
    </row>
    <row r="16" spans="1:11" s="27" customFormat="1" ht="15.6" x14ac:dyDescent="0.3">
      <c r="A16" s="59" t="s">
        <v>20</v>
      </c>
      <c r="B16" s="60" t="s">
        <v>21</v>
      </c>
      <c r="C16" s="61" t="s">
        <v>3</v>
      </c>
      <c r="D16" s="62" t="s">
        <v>3</v>
      </c>
      <c r="E16" s="41" t="str">
        <f>IF(D16="","",_xlfn.XLOOKUP(A16,[5]ריכוז!$A:$A,[5]ריכוז!$D:$D,"אין כזה"))</f>
        <v/>
      </c>
      <c r="F16" s="10" t="str">
        <f t="shared" si="1"/>
        <v/>
      </c>
      <c r="G16" s="10" t="str">
        <f t="shared" si="2"/>
        <v/>
      </c>
      <c r="H16" s="10" t="str">
        <f t="shared" si="0"/>
        <v/>
      </c>
      <c r="I16" s="57" t="str">
        <f t="shared" si="3"/>
        <v/>
      </c>
      <c r="K16" s="38"/>
    </row>
    <row r="17" spans="1:11" ht="28.8" x14ac:dyDescent="0.3">
      <c r="A17" s="63" t="s">
        <v>22</v>
      </c>
      <c r="B17" s="55" t="s">
        <v>23</v>
      </c>
      <c r="C17" s="56" t="s">
        <v>24</v>
      </c>
      <c r="D17" s="57">
        <v>1.722</v>
      </c>
      <c r="E17" s="41">
        <f>IF(D17="","",_xlfn.XLOOKUP(A17,[5]ריכוז!$A:$A,[5]ריכוז!$D:$D,"אין כזה"))</f>
        <v>1760</v>
      </c>
      <c r="F17" s="10">
        <f t="shared" si="1"/>
        <v>264</v>
      </c>
      <c r="G17" s="10">
        <f t="shared" si="2"/>
        <v>88</v>
      </c>
      <c r="H17" s="10">
        <f t="shared" si="0"/>
        <v>1570.8</v>
      </c>
      <c r="I17" s="57">
        <f t="shared" si="3"/>
        <v>2704.9175999999998</v>
      </c>
      <c r="K17" s="38"/>
    </row>
    <row r="18" spans="1:11" ht="44.4" customHeight="1" x14ac:dyDescent="0.3">
      <c r="A18" s="63" t="s">
        <v>25</v>
      </c>
      <c r="B18" s="55" t="s">
        <v>26</v>
      </c>
      <c r="C18" s="56" t="s">
        <v>24</v>
      </c>
      <c r="D18" s="57">
        <f>6.732+3.24</f>
        <v>9.9720000000000013</v>
      </c>
      <c r="E18" s="41">
        <f>IF(D18="","",_xlfn.XLOOKUP(A18,[5]ריכוז!$A:$A,[5]ריכוז!$D:$D,"אין כזה"))</f>
        <v>1980</v>
      </c>
      <c r="F18" s="10">
        <f t="shared" si="1"/>
        <v>297</v>
      </c>
      <c r="G18" s="10">
        <f t="shared" si="2"/>
        <v>99</v>
      </c>
      <c r="H18" s="10">
        <f t="shared" si="0"/>
        <v>1767.1499999999999</v>
      </c>
      <c r="I18" s="57">
        <f t="shared" si="3"/>
        <v>17622.019800000002</v>
      </c>
      <c r="K18" s="38"/>
    </row>
    <row r="19" spans="1:11" ht="28.8" x14ac:dyDescent="0.3">
      <c r="A19" s="63" t="s">
        <v>27</v>
      </c>
      <c r="B19" s="55" t="s">
        <v>28</v>
      </c>
      <c r="C19" s="56" t="s">
        <v>24</v>
      </c>
      <c r="D19" s="57">
        <v>0</v>
      </c>
      <c r="E19" s="41">
        <f>IF(D19="","",_xlfn.XLOOKUP(A19,[5]ריכוז!$A:$A,[5]ריכוז!$D:$D,"אין כזה"))</f>
        <v>2210</v>
      </c>
      <c r="F19" s="10">
        <f t="shared" si="1"/>
        <v>331.5</v>
      </c>
      <c r="G19" s="10">
        <f t="shared" si="2"/>
        <v>110.5</v>
      </c>
      <c r="H19" s="10">
        <f t="shared" si="0"/>
        <v>1972.425</v>
      </c>
      <c r="I19" s="57">
        <f t="shared" si="3"/>
        <v>0</v>
      </c>
      <c r="K19" s="38"/>
    </row>
    <row r="20" spans="1:11" ht="28.8" x14ac:dyDescent="0.3">
      <c r="A20" s="63" t="s">
        <v>29</v>
      </c>
      <c r="B20" s="55" t="s">
        <v>30</v>
      </c>
      <c r="C20" s="56" t="s">
        <v>17</v>
      </c>
      <c r="D20" s="138">
        <f>3.24*E18</f>
        <v>6415.2000000000007</v>
      </c>
      <c r="E20" s="42">
        <f>IF(D20="","",_xlfn.XLOOKUP(A20,[5]ריכוז!$A:$A,[5]ריכוז!$D:$D,"אין כזה"))</f>
        <v>0.15</v>
      </c>
      <c r="F20" s="10">
        <f t="shared" si="1"/>
        <v>2.2499999999999999E-2</v>
      </c>
      <c r="G20" s="10">
        <f t="shared" si="2"/>
        <v>7.4999999999999997E-3</v>
      </c>
      <c r="H20" s="10">
        <f t="shared" si="0"/>
        <v>0.13387499999999999</v>
      </c>
      <c r="I20" s="57">
        <f t="shared" si="3"/>
        <v>858.83490000000006</v>
      </c>
      <c r="K20" s="38"/>
    </row>
    <row r="21" spans="1:11" x14ac:dyDescent="0.3">
      <c r="A21" s="63" t="s">
        <v>31</v>
      </c>
      <c r="B21" s="55" t="s">
        <v>32</v>
      </c>
      <c r="C21" s="56" t="s">
        <v>2</v>
      </c>
      <c r="D21" s="57">
        <v>0</v>
      </c>
      <c r="E21" s="41">
        <f>IF(D21="","",_xlfn.XLOOKUP(A21,[5]ריכוז!$A:$A,[5]ריכוז!$D:$D,"אין כזה"))</f>
        <v>140</v>
      </c>
      <c r="F21" s="10">
        <f t="shared" si="1"/>
        <v>21</v>
      </c>
      <c r="G21" s="10">
        <f t="shared" si="2"/>
        <v>7</v>
      </c>
      <c r="H21" s="10">
        <f t="shared" si="0"/>
        <v>124.95</v>
      </c>
      <c r="I21" s="57">
        <f t="shared" si="3"/>
        <v>0</v>
      </c>
      <c r="K21" s="38"/>
    </row>
    <row r="22" spans="1:11" x14ac:dyDescent="0.3">
      <c r="A22" s="63" t="s">
        <v>33</v>
      </c>
      <c r="B22" s="55" t="s">
        <v>34</v>
      </c>
      <c r="C22" s="56" t="s">
        <v>2</v>
      </c>
      <c r="D22" s="57">
        <v>0</v>
      </c>
      <c r="E22" s="41">
        <f>IF(D22="","",_xlfn.XLOOKUP(A22,[5]ריכוז!$A:$A,[5]ריכוז!$D:$D,"אין כזה"))</f>
        <v>240</v>
      </c>
      <c r="F22" s="10">
        <f t="shared" si="1"/>
        <v>36</v>
      </c>
      <c r="G22" s="10">
        <f t="shared" si="2"/>
        <v>12</v>
      </c>
      <c r="H22" s="10">
        <f t="shared" si="0"/>
        <v>214.2</v>
      </c>
      <c r="I22" s="57">
        <f t="shared" si="3"/>
        <v>0</v>
      </c>
      <c r="K22" s="38"/>
    </row>
    <row r="23" spans="1:11" x14ac:dyDescent="0.3">
      <c r="A23" s="63" t="s">
        <v>35</v>
      </c>
      <c r="B23" s="55" t="s">
        <v>36</v>
      </c>
      <c r="C23" s="56" t="s">
        <v>2</v>
      </c>
      <c r="D23" s="57">
        <v>0</v>
      </c>
      <c r="E23" s="41">
        <f>IF(D23="","",_xlfn.XLOOKUP(A23,[5]ריכוז!$A:$A,[5]ריכוז!$D:$D,"אין כזה"))</f>
        <v>310</v>
      </c>
      <c r="F23" s="10">
        <f t="shared" si="1"/>
        <v>46.5</v>
      </c>
      <c r="G23" s="10">
        <f t="shared" si="2"/>
        <v>15.5</v>
      </c>
      <c r="H23" s="10">
        <f t="shared" si="0"/>
        <v>276.67500000000001</v>
      </c>
      <c r="I23" s="57">
        <f t="shared" si="3"/>
        <v>0</v>
      </c>
      <c r="K23" s="38"/>
    </row>
    <row r="24" spans="1:11" s="27" customFormat="1" ht="15.6" x14ac:dyDescent="0.3">
      <c r="A24" s="59" t="s">
        <v>37</v>
      </c>
      <c r="B24" s="60" t="s">
        <v>38</v>
      </c>
      <c r="C24" s="61" t="s">
        <v>3</v>
      </c>
      <c r="D24" s="62" t="s">
        <v>3</v>
      </c>
      <c r="E24" s="41" t="str">
        <f>IF(D24="","",_xlfn.XLOOKUP(A24,[5]ריכוז!$A:$A,[5]ריכוז!$D:$D,"אין כזה"))</f>
        <v/>
      </c>
      <c r="F24" s="10" t="str">
        <f t="shared" si="1"/>
        <v/>
      </c>
      <c r="G24" s="10" t="str">
        <f t="shared" si="2"/>
        <v/>
      </c>
      <c r="H24" s="10" t="str">
        <f t="shared" si="0"/>
        <v/>
      </c>
      <c r="I24" s="57" t="str">
        <f t="shared" si="3"/>
        <v/>
      </c>
      <c r="K24" s="38"/>
    </row>
    <row r="25" spans="1:11" ht="28.8" x14ac:dyDescent="0.3">
      <c r="A25" s="63" t="s">
        <v>39</v>
      </c>
      <c r="B25" s="55" t="s">
        <v>40</v>
      </c>
      <c r="C25" s="56" t="s">
        <v>24</v>
      </c>
      <c r="D25" s="57">
        <v>0</v>
      </c>
      <c r="E25" s="41">
        <f>IF(D25="","",_xlfn.XLOOKUP(A25,[5]ריכוז!$A:$A,[5]ריכוז!$D:$D,"אין כזה"))</f>
        <v>2220</v>
      </c>
      <c r="F25" s="10">
        <f t="shared" si="1"/>
        <v>333</v>
      </c>
      <c r="G25" s="10">
        <f t="shared" si="2"/>
        <v>111</v>
      </c>
      <c r="H25" s="10">
        <f t="shared" si="0"/>
        <v>1981.35</v>
      </c>
      <c r="I25" s="57">
        <f t="shared" si="3"/>
        <v>0</v>
      </c>
      <c r="K25" s="38"/>
    </row>
    <row r="26" spans="1:11" ht="28.8" x14ac:dyDescent="0.3">
      <c r="A26" s="63" t="s">
        <v>188</v>
      </c>
      <c r="B26" s="55" t="s">
        <v>40</v>
      </c>
      <c r="C26" s="56" t="s">
        <v>24</v>
      </c>
      <c r="D26" s="57">
        <v>0</v>
      </c>
      <c r="E26" s="41">
        <f>IF(D26="","",_xlfn.XLOOKUP(A26,[5]ריכוז!$A:$A,[5]ריכוז!$D:$D,"אין כזה"))</f>
        <v>2790</v>
      </c>
      <c r="F26" s="10">
        <f t="shared" si="1"/>
        <v>418.5</v>
      </c>
      <c r="G26" s="10">
        <f t="shared" si="2"/>
        <v>139.5</v>
      </c>
      <c r="H26" s="10">
        <f t="shared" si="0"/>
        <v>2490.0749999999998</v>
      </c>
      <c r="I26" s="57">
        <f t="shared" si="3"/>
        <v>0</v>
      </c>
      <c r="K26" s="38"/>
    </row>
    <row r="27" spans="1:11" ht="28.8" x14ac:dyDescent="0.3">
      <c r="A27" s="63" t="s">
        <v>41</v>
      </c>
      <c r="B27" s="55" t="s">
        <v>42</v>
      </c>
      <c r="C27" s="56" t="s">
        <v>24</v>
      </c>
      <c r="D27" s="57">
        <v>0</v>
      </c>
      <c r="E27" s="41">
        <f>IF(D27="","",_xlfn.XLOOKUP(A27,[5]ריכוז!$A:$A,[5]ריכוז!$D:$D,"אין כזה"))</f>
        <v>2700</v>
      </c>
      <c r="F27" s="10">
        <f t="shared" si="1"/>
        <v>405</v>
      </c>
      <c r="G27" s="10">
        <f t="shared" si="2"/>
        <v>135</v>
      </c>
      <c r="H27" s="10">
        <f t="shared" si="0"/>
        <v>2409.75</v>
      </c>
      <c r="I27" s="57">
        <f t="shared" si="3"/>
        <v>0</v>
      </c>
      <c r="K27" s="38"/>
    </row>
    <row r="28" spans="1:11" s="27" customFormat="1" ht="15.6" x14ac:dyDescent="0.3">
      <c r="A28" s="59" t="s">
        <v>43</v>
      </c>
      <c r="B28" s="60" t="s">
        <v>44</v>
      </c>
      <c r="C28" s="61" t="s">
        <v>3</v>
      </c>
      <c r="D28" s="62" t="s">
        <v>3</v>
      </c>
      <c r="E28" s="41" t="str">
        <f>IF(D28="","",_xlfn.XLOOKUP(A28,[5]ריכוז!$A:$A,[5]ריכוז!$D:$D,"אין כזה"))</f>
        <v/>
      </c>
      <c r="F28" s="10" t="str">
        <f t="shared" si="1"/>
        <v/>
      </c>
      <c r="G28" s="10" t="str">
        <f t="shared" si="2"/>
        <v/>
      </c>
      <c r="H28" s="10" t="str">
        <f t="shared" si="0"/>
        <v/>
      </c>
      <c r="I28" s="57" t="str">
        <f t="shared" si="3"/>
        <v/>
      </c>
      <c r="K28" s="38"/>
    </row>
    <row r="29" spans="1:11" ht="28.8" x14ac:dyDescent="0.3">
      <c r="A29" s="63" t="s">
        <v>45</v>
      </c>
      <c r="B29" s="55" t="s">
        <v>46</v>
      </c>
      <c r="C29" s="56" t="s">
        <v>2</v>
      </c>
      <c r="D29" s="57">
        <v>0</v>
      </c>
      <c r="E29" s="41">
        <f>IF(D29="","",_xlfn.XLOOKUP(A29,[5]ריכוז!$A:$A,[5]ריכוז!$D:$D,"אין כזה"))</f>
        <v>1310</v>
      </c>
      <c r="F29" s="10">
        <f t="shared" si="1"/>
        <v>196.5</v>
      </c>
      <c r="G29" s="10">
        <f t="shared" si="2"/>
        <v>65.5</v>
      </c>
      <c r="H29" s="10">
        <f t="shared" si="0"/>
        <v>1169.175</v>
      </c>
      <c r="I29" s="57">
        <f t="shared" si="3"/>
        <v>0</v>
      </c>
      <c r="K29" s="38"/>
    </row>
    <row r="30" spans="1:11" ht="28.8" x14ac:dyDescent="0.3">
      <c r="A30" s="63" t="s">
        <v>47</v>
      </c>
      <c r="B30" s="55" t="s">
        <v>48</v>
      </c>
      <c r="C30" s="56" t="s">
        <v>2</v>
      </c>
      <c r="D30" s="57">
        <v>0</v>
      </c>
      <c r="E30" s="41">
        <f>IF(D30="","",_xlfn.XLOOKUP(A30,[5]ריכוז!$A:$A,[5]ריכוז!$D:$D,"אין כזה"))</f>
        <v>2090</v>
      </c>
      <c r="F30" s="10">
        <f t="shared" si="1"/>
        <v>313.5</v>
      </c>
      <c r="G30" s="10">
        <f t="shared" si="2"/>
        <v>104.5</v>
      </c>
      <c r="H30" s="10">
        <f t="shared" si="0"/>
        <v>1865.325</v>
      </c>
      <c r="I30" s="57">
        <f t="shared" si="3"/>
        <v>0</v>
      </c>
      <c r="K30" s="38"/>
    </row>
    <row r="31" spans="1:11" s="27" customFormat="1" ht="15.6" x14ac:dyDescent="0.3">
      <c r="A31" s="59" t="s">
        <v>50</v>
      </c>
      <c r="B31" s="60" t="s">
        <v>51</v>
      </c>
      <c r="C31" s="61" t="s">
        <v>3</v>
      </c>
      <c r="D31" s="62" t="s">
        <v>3</v>
      </c>
      <c r="E31" s="41" t="str">
        <f>IF(D31="","",_xlfn.XLOOKUP(A31,[5]ריכוז!$A:$A,[5]ריכוז!$D:$D,"אין כזה"))</f>
        <v/>
      </c>
      <c r="F31" s="10" t="str">
        <f t="shared" si="1"/>
        <v/>
      </c>
      <c r="G31" s="10" t="str">
        <f t="shared" si="2"/>
        <v/>
      </c>
      <c r="H31" s="10" t="str">
        <f t="shared" si="0"/>
        <v/>
      </c>
      <c r="I31" s="57" t="str">
        <f t="shared" si="3"/>
        <v/>
      </c>
      <c r="K31" s="38"/>
    </row>
    <row r="32" spans="1:11" ht="28.8" x14ac:dyDescent="0.3">
      <c r="A32" s="63" t="s">
        <v>52</v>
      </c>
      <c r="B32" s="55" t="s">
        <v>53</v>
      </c>
      <c r="C32" s="56" t="s">
        <v>24</v>
      </c>
      <c r="D32" s="57">
        <v>0</v>
      </c>
      <c r="E32" s="41">
        <f>IF(D32="","",_xlfn.XLOOKUP(A32,[5]ריכוז!$A:$A,[5]ריכוז!$D:$D,"אין כזה"))</f>
        <v>1760</v>
      </c>
      <c r="F32" s="10">
        <f t="shared" si="1"/>
        <v>264</v>
      </c>
      <c r="G32" s="10">
        <f t="shared" si="2"/>
        <v>88</v>
      </c>
      <c r="H32" s="10">
        <f t="shared" si="0"/>
        <v>1570.8</v>
      </c>
      <c r="I32" s="57">
        <f t="shared" si="3"/>
        <v>0</v>
      </c>
      <c r="K32" s="38"/>
    </row>
    <row r="33" spans="1:11" ht="28.8" x14ac:dyDescent="0.3">
      <c r="A33" s="63" t="s">
        <v>54</v>
      </c>
      <c r="B33" s="55" t="s">
        <v>55</v>
      </c>
      <c r="C33" s="56" t="s">
        <v>24</v>
      </c>
      <c r="D33" s="138">
        <v>7.54</v>
      </c>
      <c r="E33" s="41">
        <f>IF(D33="","",_xlfn.XLOOKUP(A33,[5]ריכוז!$A:$A,[5]ריכוז!$D:$D,"אין כזה"))</f>
        <v>1850</v>
      </c>
      <c r="F33" s="10">
        <f t="shared" si="1"/>
        <v>277.5</v>
      </c>
      <c r="G33" s="10">
        <f t="shared" si="2"/>
        <v>92.5</v>
      </c>
      <c r="H33" s="10">
        <f t="shared" si="0"/>
        <v>1651.125</v>
      </c>
      <c r="I33" s="57">
        <f t="shared" si="3"/>
        <v>12449.4825</v>
      </c>
      <c r="K33" s="38"/>
    </row>
    <row r="34" spans="1:11" ht="28.8" x14ac:dyDescent="0.3">
      <c r="A34" s="63" t="s">
        <v>56</v>
      </c>
      <c r="B34" s="55" t="s">
        <v>57</v>
      </c>
      <c r="C34" s="56" t="s">
        <v>24</v>
      </c>
      <c r="D34" s="57">
        <v>0</v>
      </c>
      <c r="E34" s="41">
        <f>IF(D34="","",_xlfn.XLOOKUP(A34,[5]ריכוז!$A:$A,[5]ריכוז!$D:$D,"אין כזה"))</f>
        <v>1680</v>
      </c>
      <c r="F34" s="10">
        <f t="shared" si="1"/>
        <v>252</v>
      </c>
      <c r="G34" s="10">
        <f t="shared" si="2"/>
        <v>84</v>
      </c>
      <c r="H34" s="10">
        <f t="shared" si="0"/>
        <v>1499.3999999999999</v>
      </c>
      <c r="I34" s="57">
        <f t="shared" si="3"/>
        <v>0</v>
      </c>
      <c r="K34" s="38"/>
    </row>
    <row r="35" spans="1:11" s="27" customFormat="1" ht="15.6" x14ac:dyDescent="0.3">
      <c r="A35" s="59" t="s">
        <v>58</v>
      </c>
      <c r="B35" s="60" t="s">
        <v>59</v>
      </c>
      <c r="C35" s="61" t="s">
        <v>3</v>
      </c>
      <c r="D35" s="62" t="s">
        <v>3</v>
      </c>
      <c r="E35" s="41" t="str">
        <f>IF(D35="","",_xlfn.XLOOKUP(A35,[5]ריכוז!$A:$A,[5]ריכוז!$D:$D,"אין כזה"))</f>
        <v/>
      </c>
      <c r="F35" s="10" t="str">
        <f t="shared" si="1"/>
        <v/>
      </c>
      <c r="G35" s="10" t="str">
        <f t="shared" si="2"/>
        <v/>
      </c>
      <c r="H35" s="10" t="str">
        <f t="shared" si="0"/>
        <v/>
      </c>
      <c r="I35" s="57" t="str">
        <f t="shared" si="3"/>
        <v/>
      </c>
      <c r="K35" s="38"/>
    </row>
    <row r="36" spans="1:11" s="27" customFormat="1" ht="28.8" x14ac:dyDescent="0.3">
      <c r="A36" s="63" t="s">
        <v>171</v>
      </c>
      <c r="B36" s="55" t="s">
        <v>172</v>
      </c>
      <c r="C36" s="56" t="s">
        <v>24</v>
      </c>
      <c r="D36" s="57">
        <v>0</v>
      </c>
      <c r="E36" s="41">
        <f>IF(D36="","",_xlfn.XLOOKUP(A36,[5]ריכוז!$A:$A,[5]ריכוז!$D:$D,"אין כזה"))</f>
        <v>2850</v>
      </c>
      <c r="F36" s="10">
        <f t="shared" si="1"/>
        <v>427.5</v>
      </c>
      <c r="G36" s="10">
        <f t="shared" si="2"/>
        <v>142.5</v>
      </c>
      <c r="H36" s="10">
        <f t="shared" si="0"/>
        <v>2543.625</v>
      </c>
      <c r="I36" s="57">
        <f t="shared" si="3"/>
        <v>0</v>
      </c>
      <c r="K36" s="38"/>
    </row>
    <row r="37" spans="1:11" ht="28.8" x14ac:dyDescent="0.3">
      <c r="A37" s="63" t="s">
        <v>60</v>
      </c>
      <c r="B37" s="55" t="s">
        <v>61</v>
      </c>
      <c r="C37" s="56" t="s">
        <v>24</v>
      </c>
      <c r="D37" s="57">
        <v>0</v>
      </c>
      <c r="E37" s="41">
        <f>IF(D37="","",_xlfn.XLOOKUP(A37,[5]ריכוז!$A:$A,[5]ריכוז!$D:$D,"אין כזה"))</f>
        <v>2300</v>
      </c>
      <c r="F37" s="10">
        <f t="shared" si="1"/>
        <v>345</v>
      </c>
      <c r="G37" s="10">
        <f t="shared" si="2"/>
        <v>115</v>
      </c>
      <c r="H37" s="10">
        <f t="shared" si="0"/>
        <v>2052.75</v>
      </c>
      <c r="I37" s="57">
        <f t="shared" si="3"/>
        <v>0</v>
      </c>
      <c r="K37" s="38"/>
    </row>
    <row r="38" spans="1:11" ht="28.8" x14ac:dyDescent="0.3">
      <c r="A38" s="63" t="s">
        <v>62</v>
      </c>
      <c r="B38" s="55" t="s">
        <v>63</v>
      </c>
      <c r="C38" s="56" t="s">
        <v>24</v>
      </c>
      <c r="D38" s="57">
        <v>0</v>
      </c>
      <c r="E38" s="41">
        <f>IF(D38="","",_xlfn.XLOOKUP(A38,[5]ריכוז!$A:$A,[5]ריכוז!$D:$D,"אין כזה"))</f>
        <v>3250</v>
      </c>
      <c r="F38" s="10">
        <f t="shared" si="1"/>
        <v>487.5</v>
      </c>
      <c r="G38" s="10">
        <f t="shared" si="2"/>
        <v>162.5</v>
      </c>
      <c r="H38" s="10">
        <f t="shared" si="0"/>
        <v>2900.625</v>
      </c>
      <c r="I38" s="57">
        <f t="shared" si="3"/>
        <v>0</v>
      </c>
      <c r="K38" s="38"/>
    </row>
    <row r="39" spans="1:11" s="27" customFormat="1" ht="15.6" x14ac:dyDescent="0.3">
      <c r="A39" s="59" t="s">
        <v>64</v>
      </c>
      <c r="B39" s="60" t="s">
        <v>65</v>
      </c>
      <c r="C39" s="61" t="s">
        <v>3</v>
      </c>
      <c r="D39" s="62" t="s">
        <v>3</v>
      </c>
      <c r="E39" s="41" t="str">
        <f>IF(D39="","",_xlfn.XLOOKUP(A39,[5]ריכוז!$A:$A,[5]ריכוז!$D:$D,"אין כזה"))</f>
        <v/>
      </c>
      <c r="F39" s="10" t="str">
        <f t="shared" si="1"/>
        <v/>
      </c>
      <c r="G39" s="10" t="str">
        <f t="shared" si="2"/>
        <v/>
      </c>
      <c r="H39" s="10" t="str">
        <f t="shared" si="0"/>
        <v/>
      </c>
      <c r="I39" s="57" t="str">
        <f t="shared" si="3"/>
        <v/>
      </c>
      <c r="K39" s="38"/>
    </row>
    <row r="40" spans="1:11" x14ac:dyDescent="0.3">
      <c r="A40" s="63" t="s">
        <v>66</v>
      </c>
      <c r="B40" s="55" t="s">
        <v>67</v>
      </c>
      <c r="C40" s="56" t="s">
        <v>24</v>
      </c>
      <c r="D40" s="57">
        <v>0</v>
      </c>
      <c r="E40" s="41">
        <f>IF(D40="","",_xlfn.XLOOKUP(A40,[5]ריכוז!$A:$A,[5]ריכוז!$D:$D,"אין כזה"))</f>
        <v>88</v>
      </c>
      <c r="F40" s="10">
        <f t="shared" si="1"/>
        <v>13.2</v>
      </c>
      <c r="G40" s="10">
        <f t="shared" si="2"/>
        <v>4.4000000000000004</v>
      </c>
      <c r="H40" s="10">
        <f t="shared" si="0"/>
        <v>78.540000000000006</v>
      </c>
      <c r="I40" s="57">
        <f t="shared" si="3"/>
        <v>0</v>
      </c>
      <c r="K40" s="38"/>
    </row>
    <row r="41" spans="1:11" s="27" customFormat="1" ht="15.6" x14ac:dyDescent="0.3">
      <c r="A41" s="59" t="s">
        <v>68</v>
      </c>
      <c r="B41" s="60" t="s">
        <v>69</v>
      </c>
      <c r="C41" s="61" t="s">
        <v>3</v>
      </c>
      <c r="D41" s="62" t="s">
        <v>3</v>
      </c>
      <c r="E41" s="41" t="str">
        <f>IF(D41="","",_xlfn.XLOOKUP(A41,[5]ריכוז!$A:$A,[5]ריכוז!$D:$D,"אין כזה"))</f>
        <v/>
      </c>
      <c r="F41" s="10" t="str">
        <f t="shared" si="1"/>
        <v/>
      </c>
      <c r="G41" s="10" t="str">
        <f t="shared" si="2"/>
        <v/>
      </c>
      <c r="H41" s="10" t="str">
        <f t="shared" si="0"/>
        <v/>
      </c>
      <c r="I41" s="57" t="str">
        <f t="shared" si="3"/>
        <v/>
      </c>
      <c r="K41" s="38"/>
    </row>
    <row r="42" spans="1:11" ht="28.8" x14ac:dyDescent="0.3">
      <c r="A42" s="63" t="s">
        <v>70</v>
      </c>
      <c r="B42" s="55" t="s">
        <v>71</v>
      </c>
      <c r="C42" s="56" t="s">
        <v>24</v>
      </c>
      <c r="D42" s="138">
        <v>0</v>
      </c>
      <c r="E42" s="41">
        <f>IF(D42="","",_xlfn.XLOOKUP(A42,[5]ריכוז!$A:$A,[5]ריכוז!$D:$D,"אין כזה"))</f>
        <v>717</v>
      </c>
      <c r="F42" s="10">
        <f t="shared" si="1"/>
        <v>107.55</v>
      </c>
      <c r="G42" s="10">
        <f t="shared" si="2"/>
        <v>35.85</v>
      </c>
      <c r="H42" s="10">
        <f t="shared" si="0"/>
        <v>639.92250000000001</v>
      </c>
      <c r="I42" s="57">
        <f t="shared" si="3"/>
        <v>0</v>
      </c>
      <c r="K42" s="38"/>
    </row>
    <row r="43" spans="1:11" ht="28.8" x14ac:dyDescent="0.3">
      <c r="A43" s="63" t="s">
        <v>72</v>
      </c>
      <c r="B43" s="55" t="s">
        <v>73</v>
      </c>
      <c r="C43" s="56" t="s">
        <v>24</v>
      </c>
      <c r="D43" s="138">
        <v>0</v>
      </c>
      <c r="E43" s="41">
        <f>IF(D43="","",_xlfn.XLOOKUP(A43,[5]ריכוז!$A:$A,[5]ריכוז!$D:$D,"אין כזה"))</f>
        <v>582</v>
      </c>
      <c r="F43" s="10">
        <f t="shared" si="1"/>
        <v>87.3</v>
      </c>
      <c r="G43" s="10">
        <f t="shared" si="2"/>
        <v>29.1</v>
      </c>
      <c r="H43" s="10">
        <f t="shared" si="0"/>
        <v>519.43500000000006</v>
      </c>
      <c r="I43" s="57">
        <f t="shared" si="3"/>
        <v>0</v>
      </c>
      <c r="K43" s="38"/>
    </row>
    <row r="44" spans="1:11" ht="28.2" x14ac:dyDescent="0.3">
      <c r="A44" s="9" t="s">
        <v>218</v>
      </c>
      <c r="B44" s="2" t="s">
        <v>219</v>
      </c>
      <c r="C44" s="56" t="s">
        <v>24</v>
      </c>
      <c r="D44" s="138">
        <f>D18+D17</f>
        <v>11.694000000000001</v>
      </c>
      <c r="E44" s="41">
        <v>800</v>
      </c>
      <c r="F44" s="10">
        <f t="shared" si="1"/>
        <v>120</v>
      </c>
      <c r="G44" s="10">
        <f t="shared" si="2"/>
        <v>40</v>
      </c>
      <c r="H44" s="10">
        <f t="shared" si="0"/>
        <v>714</v>
      </c>
      <c r="I44" s="57">
        <f t="shared" si="3"/>
        <v>8349.5160000000014</v>
      </c>
      <c r="K44" s="38"/>
    </row>
    <row r="45" spans="1:11" ht="28.8" x14ac:dyDescent="0.3">
      <c r="A45" s="63" t="s">
        <v>173</v>
      </c>
      <c r="B45" s="55" t="s">
        <v>174</v>
      </c>
      <c r="C45" s="56" t="s">
        <v>24</v>
      </c>
      <c r="D45" s="138">
        <f>D33</f>
        <v>7.54</v>
      </c>
      <c r="E45" s="41">
        <f>IF(D45="","",_xlfn.XLOOKUP(A45,[5]ריכוז!$A:$A,[5]ריכוז!$D:$D,"אין כזה"))</f>
        <v>1440</v>
      </c>
      <c r="F45" s="10">
        <f t="shared" si="1"/>
        <v>216</v>
      </c>
      <c r="G45" s="10">
        <f t="shared" si="2"/>
        <v>72</v>
      </c>
      <c r="H45" s="10">
        <f t="shared" si="0"/>
        <v>1285.2</v>
      </c>
      <c r="I45" s="57">
        <f t="shared" si="3"/>
        <v>9690.4080000000013</v>
      </c>
      <c r="K45" s="38"/>
    </row>
    <row r="46" spans="1:11" x14ac:dyDescent="0.3">
      <c r="A46" s="63" t="s">
        <v>74</v>
      </c>
      <c r="B46" s="55" t="s">
        <v>75</v>
      </c>
      <c r="C46" s="56" t="s">
        <v>2</v>
      </c>
      <c r="D46" s="57">
        <v>0</v>
      </c>
      <c r="E46" s="41">
        <f>IF(D46="","",_xlfn.XLOOKUP(A46,[5]ריכוז!$A:$A,[5]ריכוז!$D:$D,"אין כזה"))</f>
        <v>620</v>
      </c>
      <c r="F46" s="10">
        <f t="shared" si="1"/>
        <v>93</v>
      </c>
      <c r="G46" s="10">
        <f t="shared" si="2"/>
        <v>31</v>
      </c>
      <c r="H46" s="10">
        <f t="shared" si="0"/>
        <v>553.35</v>
      </c>
      <c r="I46" s="57">
        <f t="shared" si="3"/>
        <v>0</v>
      </c>
      <c r="K46" s="38"/>
    </row>
    <row r="47" spans="1:11" x14ac:dyDescent="0.3">
      <c r="A47" s="63" t="s">
        <v>76</v>
      </c>
      <c r="B47" s="55" t="s">
        <v>77</v>
      </c>
      <c r="C47" s="56" t="s">
        <v>2</v>
      </c>
      <c r="D47" s="57">
        <v>0</v>
      </c>
      <c r="E47" s="41">
        <f>IF(D47="","",_xlfn.XLOOKUP(A47,[5]ריכוז!$A:$A,[5]ריכוז!$D:$D,"אין כזה"))</f>
        <v>750</v>
      </c>
      <c r="F47" s="10">
        <f t="shared" si="1"/>
        <v>112.5</v>
      </c>
      <c r="G47" s="10">
        <f t="shared" si="2"/>
        <v>37.5</v>
      </c>
      <c r="H47" s="10">
        <f t="shared" si="0"/>
        <v>669.375</v>
      </c>
      <c r="I47" s="57">
        <f t="shared" si="3"/>
        <v>0</v>
      </c>
      <c r="K47" s="38"/>
    </row>
    <row r="48" spans="1:11" x14ac:dyDescent="0.3">
      <c r="A48" s="63" t="s">
        <v>78</v>
      </c>
      <c r="B48" s="55" t="s">
        <v>79</v>
      </c>
      <c r="C48" s="56" t="s">
        <v>2</v>
      </c>
      <c r="D48" s="57">
        <v>0</v>
      </c>
      <c r="E48" s="41">
        <f>IF(D48="","",_xlfn.XLOOKUP(A48,[5]ריכוז!$A:$A,[5]ריכוז!$D:$D,"אין כזה"))</f>
        <v>1020</v>
      </c>
      <c r="F48" s="10">
        <f t="shared" si="1"/>
        <v>153</v>
      </c>
      <c r="G48" s="10">
        <f t="shared" si="2"/>
        <v>51</v>
      </c>
      <c r="H48" s="10">
        <f t="shared" si="0"/>
        <v>910.35</v>
      </c>
      <c r="I48" s="57">
        <f t="shared" si="3"/>
        <v>0</v>
      </c>
      <c r="K48" s="38"/>
    </row>
    <row r="49" spans="1:11" x14ac:dyDescent="0.3">
      <c r="A49" s="63" t="s">
        <v>80</v>
      </c>
      <c r="B49" s="55" t="s">
        <v>81</v>
      </c>
      <c r="C49" s="56" t="s">
        <v>2</v>
      </c>
      <c r="D49" s="57">
        <v>2</v>
      </c>
      <c r="E49" s="41">
        <f>IF(D49="","",_xlfn.XLOOKUP(A49,[5]ריכוז!$A:$A,[5]ריכוז!$D:$D,"אין כזה"))</f>
        <v>1370</v>
      </c>
      <c r="F49" s="10">
        <f t="shared" si="1"/>
        <v>205.5</v>
      </c>
      <c r="G49" s="10">
        <f t="shared" si="2"/>
        <v>68.5</v>
      </c>
      <c r="H49" s="10">
        <f t="shared" si="0"/>
        <v>1222.7249999999999</v>
      </c>
      <c r="I49" s="57">
        <f t="shared" si="3"/>
        <v>2445.4499999999998</v>
      </c>
      <c r="K49" s="38"/>
    </row>
    <row r="50" spans="1:11" x14ac:dyDescent="0.3">
      <c r="A50" s="63" t="s">
        <v>82</v>
      </c>
      <c r="B50" s="55" t="s">
        <v>83</v>
      </c>
      <c r="C50" s="56" t="s">
        <v>2</v>
      </c>
      <c r="D50" s="57">
        <v>1</v>
      </c>
      <c r="E50" s="41">
        <f>IF(D50="","",_xlfn.XLOOKUP(A50,[5]ריכוז!$A:$A,[5]ריכוז!$D:$D,"אין כזה"))</f>
        <v>1650</v>
      </c>
      <c r="F50" s="10">
        <f t="shared" si="1"/>
        <v>247.5</v>
      </c>
      <c r="G50" s="10">
        <f t="shared" si="2"/>
        <v>82.5</v>
      </c>
      <c r="H50" s="10">
        <f t="shared" si="0"/>
        <v>1472.625</v>
      </c>
      <c r="I50" s="57">
        <f t="shared" si="3"/>
        <v>1472.625</v>
      </c>
      <c r="K50" s="38"/>
    </row>
    <row r="51" spans="1:11" x14ac:dyDescent="0.3">
      <c r="A51" s="63" t="s">
        <v>84</v>
      </c>
      <c r="B51" s="55" t="s">
        <v>85</v>
      </c>
      <c r="C51" s="56" t="s">
        <v>2</v>
      </c>
      <c r="D51" s="57">
        <v>1</v>
      </c>
      <c r="E51" s="41">
        <f>IF(D51="","",_xlfn.XLOOKUP(A51,[5]ריכוז!$A:$A,[5]ריכוז!$D:$D,"אין כזה"))</f>
        <v>1820</v>
      </c>
      <c r="F51" s="10">
        <f t="shared" si="1"/>
        <v>273</v>
      </c>
      <c r="G51" s="10">
        <f t="shared" si="2"/>
        <v>91</v>
      </c>
      <c r="H51" s="10">
        <f t="shared" si="0"/>
        <v>1624.35</v>
      </c>
      <c r="I51" s="57">
        <f t="shared" si="3"/>
        <v>1624.35</v>
      </c>
      <c r="K51" s="38"/>
    </row>
    <row r="52" spans="1:11" x14ac:dyDescent="0.3">
      <c r="A52" s="63" t="s">
        <v>86</v>
      </c>
      <c r="B52" s="55" t="s">
        <v>87</v>
      </c>
      <c r="C52" s="56" t="s">
        <v>2</v>
      </c>
      <c r="D52" s="57">
        <v>0</v>
      </c>
      <c r="E52" s="41">
        <f>IF(D52="","",_xlfn.XLOOKUP(A52,[5]ריכוז!$A:$A,[5]ריכוז!$D:$D,"אין כזה"))</f>
        <v>130</v>
      </c>
      <c r="F52" s="10">
        <f t="shared" si="1"/>
        <v>19.5</v>
      </c>
      <c r="G52" s="10">
        <f t="shared" si="2"/>
        <v>6.5</v>
      </c>
      <c r="H52" s="10">
        <f t="shared" si="0"/>
        <v>116.02499999999999</v>
      </c>
      <c r="I52" s="57">
        <f t="shared" si="3"/>
        <v>0</v>
      </c>
      <c r="K52" s="38"/>
    </row>
    <row r="53" spans="1:11" x14ac:dyDescent="0.3">
      <c r="A53" s="63" t="s">
        <v>175</v>
      </c>
      <c r="B53" s="55" t="s">
        <v>176</v>
      </c>
      <c r="C53" s="56" t="s">
        <v>24</v>
      </c>
      <c r="D53" s="57">
        <v>0</v>
      </c>
      <c r="E53" s="41">
        <f>IF(D53="","",_xlfn.XLOOKUP(A53,[5]ריכוז!$A:$A,[5]ריכוז!$D:$D,"אין כזה"))</f>
        <v>60</v>
      </c>
      <c r="F53" s="10">
        <f t="shared" si="1"/>
        <v>9</v>
      </c>
      <c r="G53" s="10">
        <f t="shared" si="2"/>
        <v>3</v>
      </c>
      <c r="H53" s="10">
        <f t="shared" si="0"/>
        <v>53.55</v>
      </c>
      <c r="I53" s="57">
        <f t="shared" si="3"/>
        <v>0</v>
      </c>
      <c r="K53" s="38"/>
    </row>
    <row r="54" spans="1:11" x14ac:dyDescent="0.3">
      <c r="A54" s="63" t="s">
        <v>88</v>
      </c>
      <c r="B54" s="55" t="s">
        <v>89</v>
      </c>
      <c r="C54" s="56" t="s">
        <v>2</v>
      </c>
      <c r="D54" s="57">
        <v>0</v>
      </c>
      <c r="E54" s="41">
        <f>IF(D54="","",_xlfn.XLOOKUP(A54,[5]ריכוז!$A:$A,[5]ריכוז!$D:$D,"אין כזה"))</f>
        <v>109</v>
      </c>
      <c r="F54" s="10">
        <f t="shared" si="1"/>
        <v>16.349999999999998</v>
      </c>
      <c r="G54" s="10">
        <f t="shared" si="2"/>
        <v>5.45</v>
      </c>
      <c r="H54" s="10">
        <f t="shared" si="0"/>
        <v>97.282499999999999</v>
      </c>
      <c r="I54" s="57">
        <f t="shared" si="3"/>
        <v>0</v>
      </c>
      <c r="K54" s="38"/>
    </row>
    <row r="55" spans="1:11" x14ac:dyDescent="0.3">
      <c r="A55" s="63" t="s">
        <v>90</v>
      </c>
      <c r="B55" s="55" t="s">
        <v>91</v>
      </c>
      <c r="C55" s="56" t="s">
        <v>2</v>
      </c>
      <c r="D55" s="57">
        <v>0</v>
      </c>
      <c r="E55" s="41">
        <f>IF(D55="","",_xlfn.XLOOKUP(A55,[5]ריכוז!$A:$A,[5]ריכוז!$D:$D,"אין כזה"))</f>
        <v>121</v>
      </c>
      <c r="F55" s="10">
        <f t="shared" si="1"/>
        <v>18.149999999999999</v>
      </c>
      <c r="G55" s="10">
        <f t="shared" si="2"/>
        <v>6.0500000000000007</v>
      </c>
      <c r="H55" s="10">
        <f t="shared" si="0"/>
        <v>107.99250000000001</v>
      </c>
      <c r="I55" s="57">
        <f t="shared" si="3"/>
        <v>0</v>
      </c>
      <c r="K55" s="38"/>
    </row>
    <row r="56" spans="1:11" ht="14.4" customHeight="1" x14ac:dyDescent="0.3">
      <c r="A56" s="63" t="s">
        <v>195</v>
      </c>
      <c r="B56" s="55" t="s">
        <v>182</v>
      </c>
      <c r="C56" s="56" t="s">
        <v>2</v>
      </c>
      <c r="D56" s="57">
        <v>0</v>
      </c>
      <c r="E56" s="41">
        <f>IF(D56="","",_xlfn.XLOOKUP(A56,[5]ריכוז!$A:$A,[5]ריכוז!$D:$D,"אין כזה"))</f>
        <v>133</v>
      </c>
      <c r="F56" s="10">
        <f t="shared" si="1"/>
        <v>19.95</v>
      </c>
      <c r="G56" s="10">
        <f t="shared" si="2"/>
        <v>6.65</v>
      </c>
      <c r="H56" s="10">
        <f t="shared" si="0"/>
        <v>118.7025</v>
      </c>
      <c r="I56" s="57">
        <f t="shared" si="3"/>
        <v>0</v>
      </c>
      <c r="K56" s="38"/>
    </row>
    <row r="57" spans="1:11" ht="14.4" customHeight="1" x14ac:dyDescent="0.3">
      <c r="A57" s="63" t="s">
        <v>196</v>
      </c>
      <c r="B57" s="55" t="s">
        <v>183</v>
      </c>
      <c r="C57" s="56" t="s">
        <v>2</v>
      </c>
      <c r="D57" s="57">
        <v>0</v>
      </c>
      <c r="E57" s="41">
        <f>IF(D57="","",_xlfn.XLOOKUP(A57,[5]ריכוז!$A:$A,[5]ריכוז!$D:$D,"אין כזה"))</f>
        <v>145</v>
      </c>
      <c r="F57" s="10">
        <f t="shared" si="1"/>
        <v>21.75</v>
      </c>
      <c r="G57" s="10">
        <f t="shared" si="2"/>
        <v>7.25</v>
      </c>
      <c r="H57" s="10">
        <f t="shared" si="0"/>
        <v>129.41249999999999</v>
      </c>
      <c r="I57" s="57">
        <f t="shared" si="3"/>
        <v>0</v>
      </c>
      <c r="K57" s="38"/>
    </row>
    <row r="58" spans="1:11" ht="14.4" customHeight="1" x14ac:dyDescent="0.3">
      <c r="A58" s="63" t="s">
        <v>197</v>
      </c>
      <c r="B58" s="55" t="s">
        <v>184</v>
      </c>
      <c r="C58" s="56" t="s">
        <v>2</v>
      </c>
      <c r="D58" s="57">
        <v>0</v>
      </c>
      <c r="E58" s="41">
        <f>IF(D58="","",_xlfn.XLOOKUP(A58,[5]ריכוז!$A:$A,[5]ריכוז!$D:$D,"אין כזה"))</f>
        <v>157</v>
      </c>
      <c r="F58" s="10">
        <f t="shared" si="1"/>
        <v>23.55</v>
      </c>
      <c r="G58" s="10">
        <f t="shared" si="2"/>
        <v>7.8500000000000005</v>
      </c>
      <c r="H58" s="10">
        <f t="shared" si="0"/>
        <v>140.1225</v>
      </c>
      <c r="I58" s="57">
        <f t="shared" si="3"/>
        <v>0</v>
      </c>
      <c r="K58" s="38"/>
    </row>
    <row r="59" spans="1:11" ht="14.4" customHeight="1" x14ac:dyDescent="0.3">
      <c r="A59" s="63" t="s">
        <v>198</v>
      </c>
      <c r="B59" s="55" t="s">
        <v>185</v>
      </c>
      <c r="C59" s="56" t="s">
        <v>2</v>
      </c>
      <c r="D59" s="57">
        <v>0</v>
      </c>
      <c r="E59" s="41">
        <f>IF(D59="","",_xlfn.XLOOKUP(A59,[5]ריכוז!$A:$A,[5]ריכוז!$D:$D,"אין כזה"))</f>
        <v>169</v>
      </c>
      <c r="F59" s="10">
        <f t="shared" si="1"/>
        <v>25.349999999999998</v>
      </c>
      <c r="G59" s="10">
        <f t="shared" si="2"/>
        <v>8.4500000000000011</v>
      </c>
      <c r="H59" s="10">
        <f t="shared" si="0"/>
        <v>150.83250000000001</v>
      </c>
      <c r="I59" s="57">
        <f t="shared" si="3"/>
        <v>0</v>
      </c>
      <c r="K59" s="38"/>
    </row>
    <row r="60" spans="1:11" ht="14.4" customHeight="1" x14ac:dyDescent="0.3">
      <c r="A60" s="63" t="s">
        <v>199</v>
      </c>
      <c r="B60" s="55" t="s">
        <v>186</v>
      </c>
      <c r="C60" s="56" t="s">
        <v>2</v>
      </c>
      <c r="D60" s="57">
        <v>0</v>
      </c>
      <c r="E60" s="41">
        <f>IF(D60="","",_xlfn.XLOOKUP(A60,[5]ריכוז!$A:$A,[5]ריכוז!$D:$D,"אין כזה"))</f>
        <v>181</v>
      </c>
      <c r="F60" s="10">
        <f t="shared" si="1"/>
        <v>27.15</v>
      </c>
      <c r="G60" s="10">
        <f t="shared" si="2"/>
        <v>9.0500000000000007</v>
      </c>
      <c r="H60" s="10">
        <f t="shared" si="0"/>
        <v>161.54250000000002</v>
      </c>
      <c r="I60" s="57">
        <f t="shared" si="3"/>
        <v>0</v>
      </c>
      <c r="K60" s="38"/>
    </row>
    <row r="61" spans="1:11" ht="14.4" customHeight="1" x14ac:dyDescent="0.3">
      <c r="A61" s="63" t="s">
        <v>200</v>
      </c>
      <c r="B61" s="55" t="s">
        <v>187</v>
      </c>
      <c r="C61" s="56" t="s">
        <v>2</v>
      </c>
      <c r="D61" s="57">
        <v>0</v>
      </c>
      <c r="E61" s="41">
        <f>IF(D61="","",_xlfn.XLOOKUP(A61,[5]ריכוז!$A:$A,[5]ריכוז!$D:$D,"אין כזה"))</f>
        <v>193</v>
      </c>
      <c r="F61" s="10">
        <f t="shared" si="1"/>
        <v>28.95</v>
      </c>
      <c r="G61" s="10">
        <f t="shared" si="2"/>
        <v>9.65</v>
      </c>
      <c r="H61" s="10">
        <f t="shared" si="0"/>
        <v>172.2525</v>
      </c>
      <c r="I61" s="57">
        <f t="shared" si="3"/>
        <v>0</v>
      </c>
      <c r="K61" s="38"/>
    </row>
    <row r="62" spans="1:11" s="27" customFormat="1" ht="15.6" x14ac:dyDescent="0.3">
      <c r="A62" s="59" t="s">
        <v>92</v>
      </c>
      <c r="B62" s="60" t="s">
        <v>93</v>
      </c>
      <c r="C62" s="61" t="s">
        <v>3</v>
      </c>
      <c r="D62" s="62" t="s">
        <v>3</v>
      </c>
      <c r="E62" s="41" t="str">
        <f>IF(D62="","",_xlfn.XLOOKUP(A62,[5]ריכוז!$A:$A,[5]ריכוז!$D:$D,"אין כזה"))</f>
        <v/>
      </c>
      <c r="F62" s="10" t="str">
        <f t="shared" si="1"/>
        <v/>
      </c>
      <c r="G62" s="10" t="str">
        <f t="shared" si="2"/>
        <v/>
      </c>
      <c r="H62" s="10" t="str">
        <f t="shared" si="0"/>
        <v/>
      </c>
      <c r="I62" s="57" t="str">
        <f t="shared" si="3"/>
        <v/>
      </c>
      <c r="K62" s="38"/>
    </row>
    <row r="63" spans="1:11" ht="15" thickBot="1" x14ac:dyDescent="0.35">
      <c r="A63" s="54" t="s">
        <v>94</v>
      </c>
      <c r="B63" s="55" t="s">
        <v>95</v>
      </c>
      <c r="C63" s="56" t="s">
        <v>24</v>
      </c>
      <c r="D63" s="141">
        <v>9.3000000000000007</v>
      </c>
      <c r="E63" s="41">
        <f>IF(D63="","",_xlfn.XLOOKUP(A63,[5]ריכוז!$A:$A,[5]ריכוז!$D:$D,"אין כזה"))</f>
        <v>53</v>
      </c>
      <c r="F63" s="10">
        <f t="shared" si="1"/>
        <v>7.9499999999999993</v>
      </c>
      <c r="G63" s="10">
        <f t="shared" si="2"/>
        <v>2.6500000000000004</v>
      </c>
      <c r="H63" s="10">
        <f t="shared" si="0"/>
        <v>47.302500000000002</v>
      </c>
      <c r="I63" s="57">
        <f t="shared" si="3"/>
        <v>439.91325000000006</v>
      </c>
      <c r="K63" s="38"/>
    </row>
    <row r="64" spans="1:11" ht="43.2" x14ac:dyDescent="0.3">
      <c r="A64" s="54" t="s">
        <v>96</v>
      </c>
      <c r="B64" s="55" t="s">
        <v>97</v>
      </c>
      <c r="C64" s="56" t="s">
        <v>24</v>
      </c>
      <c r="D64" s="57">
        <v>0</v>
      </c>
      <c r="E64" s="41">
        <f>IF(D64="","",_xlfn.XLOOKUP(A64,[5]ריכוז!$A:$A,[5]ריכוז!$D:$D,"אין כזה"))</f>
        <v>880</v>
      </c>
      <c r="F64" s="10">
        <f t="shared" si="1"/>
        <v>132</v>
      </c>
      <c r="G64" s="10">
        <f t="shared" si="2"/>
        <v>44</v>
      </c>
      <c r="H64" s="10">
        <f t="shared" si="0"/>
        <v>785.4</v>
      </c>
      <c r="I64" s="57">
        <f t="shared" si="3"/>
        <v>0</v>
      </c>
      <c r="K64" s="38"/>
    </row>
    <row r="65" spans="1:11" ht="43.2" x14ac:dyDescent="0.3">
      <c r="A65" s="54" t="s">
        <v>215</v>
      </c>
      <c r="B65" s="55" t="s">
        <v>98</v>
      </c>
      <c r="C65" s="56" t="s">
        <v>24</v>
      </c>
      <c r="D65" s="57">
        <v>9.3000000000000007</v>
      </c>
      <c r="E65" s="41">
        <f>IF(D65="","",_xlfn.XLOOKUP(A65,[5]ריכוז!$A:$A,[5]ריכוז!$D:$D,"אין כזה"))</f>
        <v>650</v>
      </c>
      <c r="F65" s="10">
        <f t="shared" si="1"/>
        <v>97.5</v>
      </c>
      <c r="G65" s="10">
        <f t="shared" si="2"/>
        <v>32.5</v>
      </c>
      <c r="H65" s="10">
        <f t="shared" si="0"/>
        <v>580.125</v>
      </c>
      <c r="I65" s="57">
        <f t="shared" si="3"/>
        <v>5395.1625000000004</v>
      </c>
      <c r="K65" s="38"/>
    </row>
    <row r="66" spans="1:11" s="27" customFormat="1" ht="15.6" x14ac:dyDescent="0.3">
      <c r="A66" s="59" t="s">
        <v>99</v>
      </c>
      <c r="B66" s="60" t="s">
        <v>100</v>
      </c>
      <c r="C66" s="61" t="s">
        <v>3</v>
      </c>
      <c r="D66" s="62" t="s">
        <v>3</v>
      </c>
      <c r="E66" s="41" t="str">
        <f>IF(D66="","",_xlfn.XLOOKUP(A66,[5]ריכוז!$A:$A,[5]ריכוז!$D:$D,"אין כזה"))</f>
        <v/>
      </c>
      <c r="F66" s="10" t="str">
        <f t="shared" si="1"/>
        <v/>
      </c>
      <c r="G66" s="10" t="str">
        <f t="shared" si="2"/>
        <v/>
      </c>
      <c r="H66" s="10" t="str">
        <f t="shared" si="0"/>
        <v/>
      </c>
      <c r="I66" s="57" t="str">
        <f t="shared" si="3"/>
        <v/>
      </c>
      <c r="K66" s="38"/>
    </row>
    <row r="67" spans="1:11" x14ac:dyDescent="0.3">
      <c r="A67" s="63" t="s">
        <v>101</v>
      </c>
      <c r="B67" s="55" t="s">
        <v>102</v>
      </c>
      <c r="C67" s="56" t="s">
        <v>24</v>
      </c>
      <c r="D67" s="57">
        <v>0</v>
      </c>
      <c r="E67" s="41">
        <f>IF(D67="","",_xlfn.XLOOKUP(A67,[5]ריכוז!$A:$A,[5]ריכוז!$D:$D,"אין כזה"))</f>
        <v>265</v>
      </c>
      <c r="F67" s="10">
        <f t="shared" si="1"/>
        <v>39.75</v>
      </c>
      <c r="G67" s="10">
        <f t="shared" si="2"/>
        <v>13.25</v>
      </c>
      <c r="H67" s="10">
        <f t="shared" si="0"/>
        <v>236.51249999999999</v>
      </c>
      <c r="I67" s="57">
        <f t="shared" si="3"/>
        <v>0</v>
      </c>
      <c r="K67" s="38"/>
    </row>
    <row r="68" spans="1:11" x14ac:dyDescent="0.3">
      <c r="A68" s="64" t="s">
        <v>103</v>
      </c>
      <c r="B68" s="65" t="s">
        <v>104</v>
      </c>
      <c r="C68" s="56" t="s">
        <v>24</v>
      </c>
      <c r="D68" s="57">
        <f>-D70</f>
        <v>16.64</v>
      </c>
      <c r="E68" s="41">
        <f>IF(D68="","",_xlfn.XLOOKUP(A68,[5]ריכוז!$A:$A,[5]ריכוז!$D:$D,"אין כזה"))</f>
        <v>375</v>
      </c>
      <c r="F68" s="10">
        <f t="shared" si="1"/>
        <v>56.25</v>
      </c>
      <c r="G68" s="10">
        <f t="shared" si="2"/>
        <v>18.75</v>
      </c>
      <c r="H68" s="10">
        <f t="shared" si="0"/>
        <v>334.6875</v>
      </c>
      <c r="I68" s="57">
        <f t="shared" si="3"/>
        <v>5569.2</v>
      </c>
      <c r="K68" s="38"/>
    </row>
    <row r="69" spans="1:11" x14ac:dyDescent="0.3">
      <c r="A69" s="64" t="s">
        <v>105</v>
      </c>
      <c r="B69" s="65" t="s">
        <v>106</v>
      </c>
      <c r="C69" s="56" t="s">
        <v>24</v>
      </c>
      <c r="D69" s="57">
        <f>-D19</f>
        <v>0</v>
      </c>
      <c r="E69" s="41">
        <f>IF(D69="","",_xlfn.XLOOKUP(A69,[5]ריכוז!$A:$A,[5]ריכוז!$D:$D,"אין כזה"))</f>
        <v>317</v>
      </c>
      <c r="F69" s="10">
        <f t="shared" si="1"/>
        <v>47.55</v>
      </c>
      <c r="G69" s="10">
        <f t="shared" si="2"/>
        <v>15.850000000000001</v>
      </c>
      <c r="H69" s="10">
        <f t="shared" si="0"/>
        <v>282.92250000000001</v>
      </c>
      <c r="I69" s="57">
        <f t="shared" si="3"/>
        <v>0</v>
      </c>
      <c r="K69" s="38"/>
    </row>
    <row r="70" spans="1:11" x14ac:dyDescent="0.3">
      <c r="A70" s="64" t="s">
        <v>107</v>
      </c>
      <c r="B70" s="65" t="s">
        <v>108</v>
      </c>
      <c r="C70" s="56" t="s">
        <v>24</v>
      </c>
      <c r="D70" s="57">
        <v>-16.64</v>
      </c>
      <c r="E70" s="41">
        <f>IF(D70="","",_xlfn.XLOOKUP(A70,[5]ריכוז!$A:$A,[5]ריכוז!$D:$D,"אין כזה"))</f>
        <v>172</v>
      </c>
      <c r="F70" s="10">
        <f t="shared" si="1"/>
        <v>25.8</v>
      </c>
      <c r="G70" s="10">
        <f t="shared" si="2"/>
        <v>8.6</v>
      </c>
      <c r="H70" s="10">
        <f t="shared" si="0"/>
        <v>153.51</v>
      </c>
      <c r="I70" s="57">
        <f t="shared" si="3"/>
        <v>-2554.4063999999998</v>
      </c>
      <c r="K70" s="38"/>
    </row>
    <row r="71" spans="1:11" x14ac:dyDescent="0.3">
      <c r="A71" s="63" t="s">
        <v>109</v>
      </c>
      <c r="B71" s="55" t="s">
        <v>110</v>
      </c>
      <c r="C71" s="56" t="s">
        <v>24</v>
      </c>
      <c r="D71" s="57">
        <f>-D67</f>
        <v>0</v>
      </c>
      <c r="E71" s="41">
        <f>IF(D71="","",_xlfn.XLOOKUP(A71,[5]ריכוז!$A:$A,[5]ריכוז!$D:$D,"אין כזה"))</f>
        <v>94</v>
      </c>
      <c r="F71" s="10">
        <f t="shared" si="1"/>
        <v>14.1</v>
      </c>
      <c r="G71" s="10">
        <f t="shared" si="2"/>
        <v>4.7</v>
      </c>
      <c r="H71" s="10">
        <f t="shared" si="0"/>
        <v>83.894999999999996</v>
      </c>
      <c r="I71" s="57">
        <f t="shared" si="3"/>
        <v>0</v>
      </c>
      <c r="K71" s="38"/>
    </row>
    <row r="72" spans="1:11" x14ac:dyDescent="0.3">
      <c r="A72" s="63" t="s">
        <v>111</v>
      </c>
      <c r="B72" s="55" t="s">
        <v>112</v>
      </c>
      <c r="C72" s="56" t="s">
        <v>24</v>
      </c>
      <c r="D72" s="57">
        <v>0</v>
      </c>
      <c r="E72" s="41">
        <f>IF(D72="","",_xlfn.XLOOKUP(A72,[5]ריכוז!$A:$A,[5]ריכוז!$D:$D,"אין כזה"))</f>
        <v>157</v>
      </c>
      <c r="F72" s="10">
        <f t="shared" si="1"/>
        <v>23.55</v>
      </c>
      <c r="G72" s="10">
        <f t="shared" si="2"/>
        <v>7.8500000000000005</v>
      </c>
      <c r="H72" s="10">
        <f t="shared" si="0"/>
        <v>140.1225</v>
      </c>
      <c r="I72" s="57">
        <f t="shared" si="3"/>
        <v>0</v>
      </c>
      <c r="K72" s="38"/>
    </row>
    <row r="73" spans="1:11" s="27" customFormat="1" ht="15.6" x14ac:dyDescent="0.3">
      <c r="A73" s="59" t="s">
        <v>113</v>
      </c>
      <c r="B73" s="60" t="s">
        <v>114</v>
      </c>
      <c r="C73" s="61" t="s">
        <v>3</v>
      </c>
      <c r="D73" s="62" t="s">
        <v>3</v>
      </c>
      <c r="E73" s="41" t="str">
        <f>IF(D73="","",_xlfn.XLOOKUP(A73,[5]ריכוז!$A:$A,[5]ריכוז!$D:$D,"אין כזה"))</f>
        <v/>
      </c>
      <c r="F73" s="10" t="str">
        <f t="shared" si="1"/>
        <v/>
      </c>
      <c r="G73" s="10" t="str">
        <f t="shared" si="2"/>
        <v/>
      </c>
      <c r="H73" s="10" t="str">
        <f t="shared" si="0"/>
        <v/>
      </c>
      <c r="I73" s="57" t="str">
        <f t="shared" si="3"/>
        <v/>
      </c>
      <c r="K73" s="38"/>
    </row>
    <row r="74" spans="1:11" s="27" customFormat="1" ht="15.6" x14ac:dyDescent="0.3">
      <c r="A74" s="59" t="s">
        <v>115</v>
      </c>
      <c r="B74" s="60" t="s">
        <v>116</v>
      </c>
      <c r="C74" s="61" t="s">
        <v>3</v>
      </c>
      <c r="D74" s="62" t="s">
        <v>3</v>
      </c>
      <c r="E74" s="41" t="str">
        <f>IF(D74="","",_xlfn.XLOOKUP(A74,[5]ריכוז!$A:$A,[5]ריכוז!$D:$D,"אין כזה"))</f>
        <v/>
      </c>
      <c r="F74" s="10" t="str">
        <f t="shared" si="1"/>
        <v/>
      </c>
      <c r="G74" s="10" t="str">
        <f t="shared" si="2"/>
        <v/>
      </c>
      <c r="H74" s="10" t="str">
        <f t="shared" si="0"/>
        <v/>
      </c>
      <c r="I74" s="57" t="str">
        <f t="shared" si="3"/>
        <v/>
      </c>
      <c r="K74" s="38"/>
    </row>
    <row r="75" spans="1:11" ht="28.8" x14ac:dyDescent="0.3">
      <c r="A75" s="63" t="s">
        <v>117</v>
      </c>
      <c r="B75" s="55" t="s">
        <v>118</v>
      </c>
      <c r="C75" s="56" t="s">
        <v>17</v>
      </c>
      <c r="D75" s="57">
        <v>0</v>
      </c>
      <c r="E75" s="41">
        <f>IF(D75="","",_xlfn.XLOOKUP(A75,[5]ריכוז!$A:$A,[5]ריכוז!$D:$D,"אין כזה"))</f>
        <v>3500</v>
      </c>
      <c r="F75" s="10">
        <f t="shared" si="1"/>
        <v>525</v>
      </c>
      <c r="G75" s="10">
        <f t="shared" si="2"/>
        <v>175</v>
      </c>
      <c r="H75" s="10">
        <f t="shared" si="0"/>
        <v>3123.75</v>
      </c>
      <c r="I75" s="57">
        <f t="shared" si="3"/>
        <v>0</v>
      </c>
      <c r="K75" s="38"/>
    </row>
    <row r="76" spans="1:11" ht="43.2" x14ac:dyDescent="0.3">
      <c r="A76" s="63" t="s">
        <v>119</v>
      </c>
      <c r="B76" s="55" t="s">
        <v>120</v>
      </c>
      <c r="C76" s="56" t="s">
        <v>4</v>
      </c>
      <c r="D76" s="57">
        <v>0</v>
      </c>
      <c r="E76" s="41">
        <f>IF(D76="","",_xlfn.XLOOKUP(A76,[5]ריכוז!$A:$A,[5]ריכוז!$D:$D,"אין כזה"))</f>
        <v>172</v>
      </c>
      <c r="F76" s="10">
        <f t="shared" si="1"/>
        <v>25.8</v>
      </c>
      <c r="G76" s="10">
        <f t="shared" si="2"/>
        <v>8.6</v>
      </c>
      <c r="H76" s="10">
        <f t="shared" si="0"/>
        <v>153.51</v>
      </c>
      <c r="I76" s="57">
        <f t="shared" si="3"/>
        <v>0</v>
      </c>
      <c r="K76" s="38"/>
    </row>
    <row r="77" spans="1:11" x14ac:dyDescent="0.3">
      <c r="A77" s="63" t="s">
        <v>177</v>
      </c>
      <c r="B77" s="55" t="s">
        <v>178</v>
      </c>
      <c r="C77" s="56" t="s">
        <v>24</v>
      </c>
      <c r="D77" s="57">
        <f>SUM(D17:D19,D25:D27,D29:D30,D32:D34,D36:D38)*0</f>
        <v>0</v>
      </c>
      <c r="E77" s="41">
        <f>IF(D77="","",_xlfn.XLOOKUP(A77,[5]ריכוז!$A:$A,[5]ריכוז!$D:$D,"אין כזה"))</f>
        <v>48</v>
      </c>
      <c r="F77" s="10">
        <f t="shared" si="1"/>
        <v>7.1999999999999993</v>
      </c>
      <c r="G77" s="10">
        <f t="shared" si="2"/>
        <v>2.4000000000000004</v>
      </c>
      <c r="H77" s="10">
        <f t="shared" si="0"/>
        <v>42.84</v>
      </c>
      <c r="I77" s="57">
        <f t="shared" si="3"/>
        <v>0</v>
      </c>
      <c r="K77" s="38"/>
    </row>
    <row r="78" spans="1:11" s="27" customFormat="1" ht="15.6" x14ac:dyDescent="0.3">
      <c r="A78" s="59" t="s">
        <v>121</v>
      </c>
      <c r="B78" s="60" t="s">
        <v>122</v>
      </c>
      <c r="C78" s="61" t="s">
        <v>3</v>
      </c>
      <c r="D78" s="62" t="s">
        <v>3</v>
      </c>
      <c r="E78" s="41" t="str">
        <f>IF(D78="","",_xlfn.XLOOKUP(A78,[5]ריכוז!$A:$A,[5]ריכוז!$D:$D,"אין כזה"))</f>
        <v/>
      </c>
      <c r="F78" s="10" t="str">
        <f t="shared" si="1"/>
        <v/>
      </c>
      <c r="G78" s="10" t="str">
        <f t="shared" si="2"/>
        <v/>
      </c>
      <c r="H78" s="10" t="str">
        <f t="shared" ref="H78:H92" si="4">IF(E78="","",E78*1.05*0.85)</f>
        <v/>
      </c>
      <c r="I78" s="57" t="str">
        <f t="shared" si="3"/>
        <v/>
      </c>
      <c r="K78" s="38"/>
    </row>
    <row r="79" spans="1:11" s="27" customFormat="1" ht="15.6" x14ac:dyDescent="0.3">
      <c r="A79" s="59" t="s">
        <v>123</v>
      </c>
      <c r="B79" s="60" t="s">
        <v>124</v>
      </c>
      <c r="C79" s="61" t="s">
        <v>3</v>
      </c>
      <c r="D79" s="62" t="s">
        <v>3</v>
      </c>
      <c r="E79" s="41" t="str">
        <f>IF(D79="","",_xlfn.XLOOKUP(A79,[5]ריכוז!$A:$A,[5]ריכוז!$D:$D,"אין כזה"))</f>
        <v/>
      </c>
      <c r="F79" s="10" t="str">
        <f t="shared" si="1"/>
        <v/>
      </c>
      <c r="G79" s="10" t="str">
        <f t="shared" si="2"/>
        <v/>
      </c>
      <c r="H79" s="10" t="str">
        <f t="shared" si="4"/>
        <v/>
      </c>
      <c r="I79" s="57" t="str">
        <f t="shared" si="3"/>
        <v/>
      </c>
      <c r="K79" s="38"/>
    </row>
    <row r="80" spans="1:11" s="27" customFormat="1" ht="15.6" x14ac:dyDescent="0.3">
      <c r="A80" s="9" t="s">
        <v>208</v>
      </c>
      <c r="B80" s="55" t="s">
        <v>209</v>
      </c>
      <c r="C80" s="56" t="s">
        <v>125</v>
      </c>
      <c r="D80" s="57">
        <v>0</v>
      </c>
      <c r="E80" s="41">
        <v>130</v>
      </c>
      <c r="F80" s="10">
        <f t="shared" si="1"/>
        <v>19.5</v>
      </c>
      <c r="G80" s="10">
        <f t="shared" si="2"/>
        <v>6.5</v>
      </c>
      <c r="H80" s="10">
        <f t="shared" si="4"/>
        <v>116.02499999999999</v>
      </c>
      <c r="I80" s="57">
        <f t="shared" si="3"/>
        <v>0</v>
      </c>
      <c r="K80" s="38"/>
    </row>
    <row r="81" spans="1:15" s="27" customFormat="1" ht="15.6" x14ac:dyDescent="0.3">
      <c r="A81" s="9" t="s">
        <v>169</v>
      </c>
      <c r="B81" s="55" t="s">
        <v>170</v>
      </c>
      <c r="C81" s="56" t="s">
        <v>125</v>
      </c>
      <c r="D81" s="57">
        <v>0</v>
      </c>
      <c r="E81" s="41">
        <f>IF(D81="","",_xlfn.XLOOKUP(A81,[5]ריכוז!$A:$A,[5]ריכוז!$D:$D,"אין כזה"))</f>
        <v>145</v>
      </c>
      <c r="F81" s="10">
        <f t="shared" si="1"/>
        <v>21.75</v>
      </c>
      <c r="G81" s="10">
        <f t="shared" si="2"/>
        <v>7.25</v>
      </c>
      <c r="H81" s="10">
        <f t="shared" si="4"/>
        <v>129.41249999999999</v>
      </c>
      <c r="I81" s="57">
        <f t="shared" si="3"/>
        <v>0</v>
      </c>
      <c r="K81" s="38"/>
    </row>
    <row r="82" spans="1:15" s="27" customFormat="1" ht="15.6" x14ac:dyDescent="0.3">
      <c r="A82" s="59" t="s">
        <v>126</v>
      </c>
      <c r="B82" s="60" t="s">
        <v>127</v>
      </c>
      <c r="C82" s="61" t="s">
        <v>3</v>
      </c>
      <c r="D82" s="62"/>
      <c r="E82" s="41" t="str">
        <f>IF(D82="","",_xlfn.XLOOKUP(A82,[5]ריכוז!$A:$A,[5]ריכוז!$D:$D,"אין כזה"))</f>
        <v/>
      </c>
      <c r="F82" s="10" t="str">
        <f t="shared" ref="F82:F92" si="5">IF(E82="","",E82*0.15)</f>
        <v/>
      </c>
      <c r="G82" s="10" t="str">
        <f t="shared" ref="G82:G92" si="6">IF(E82="","",E82*0.05)</f>
        <v/>
      </c>
      <c r="H82" s="10" t="str">
        <f t="shared" si="4"/>
        <v/>
      </c>
      <c r="I82" s="57" t="str">
        <f t="shared" ref="I82:I91" si="7">IF(D82="","",H82*D82)</f>
        <v/>
      </c>
      <c r="K82" s="38"/>
    </row>
    <row r="83" spans="1:15" ht="28.8" x14ac:dyDescent="0.3">
      <c r="A83" s="63" t="s">
        <v>128</v>
      </c>
      <c r="B83" s="55" t="s">
        <v>129</v>
      </c>
      <c r="C83" s="56" t="s">
        <v>2</v>
      </c>
      <c r="D83" s="57">
        <v>0</v>
      </c>
      <c r="E83" s="41">
        <f>IF(D83="","",_xlfn.XLOOKUP(A83,[5]ריכוז!$A:$A,[5]ריכוז!$D:$D,"אין כזה"))</f>
        <v>1460</v>
      </c>
      <c r="F83" s="10">
        <f t="shared" si="5"/>
        <v>219</v>
      </c>
      <c r="G83" s="10">
        <f t="shared" si="6"/>
        <v>73</v>
      </c>
      <c r="H83" s="10">
        <f t="shared" si="4"/>
        <v>1303.05</v>
      </c>
      <c r="I83" s="57">
        <f t="shared" si="7"/>
        <v>0</v>
      </c>
      <c r="K83" s="38"/>
    </row>
    <row r="84" spans="1:15" ht="28.8" x14ac:dyDescent="0.3">
      <c r="A84" s="63" t="s">
        <v>130</v>
      </c>
      <c r="B84" s="55" t="s">
        <v>131</v>
      </c>
      <c r="C84" s="56" t="s">
        <v>2</v>
      </c>
      <c r="D84" s="57">
        <v>0</v>
      </c>
      <c r="E84" s="41">
        <f>IF(D84="","",_xlfn.XLOOKUP(A84,[5]ריכוז!$A:$A,[5]ריכוז!$D:$D,"אין כזה"))</f>
        <v>1810</v>
      </c>
      <c r="F84" s="10">
        <f t="shared" si="5"/>
        <v>271.5</v>
      </c>
      <c r="G84" s="10">
        <f t="shared" si="6"/>
        <v>90.5</v>
      </c>
      <c r="H84" s="10">
        <f t="shared" si="4"/>
        <v>1615.425</v>
      </c>
      <c r="I84" s="57">
        <f t="shared" si="7"/>
        <v>0</v>
      </c>
      <c r="K84" s="38"/>
    </row>
    <row r="85" spans="1:15" ht="28.2" x14ac:dyDescent="0.3">
      <c r="A85" s="9" t="s">
        <v>204</v>
      </c>
      <c r="B85" s="2" t="s">
        <v>205</v>
      </c>
      <c r="C85" s="3" t="s">
        <v>2</v>
      </c>
      <c r="D85" s="57">
        <v>0</v>
      </c>
      <c r="E85" s="41">
        <v>2200</v>
      </c>
      <c r="F85" s="10">
        <f t="shared" si="5"/>
        <v>330</v>
      </c>
      <c r="G85" s="10">
        <f t="shared" si="6"/>
        <v>110</v>
      </c>
      <c r="H85" s="10">
        <f t="shared" si="4"/>
        <v>1963.5</v>
      </c>
      <c r="I85" s="57">
        <f t="shared" si="7"/>
        <v>0</v>
      </c>
      <c r="K85" s="38"/>
    </row>
    <row r="86" spans="1:15" s="27" customFormat="1" ht="15.6" x14ac:dyDescent="0.3">
      <c r="A86" s="59" t="s">
        <v>132</v>
      </c>
      <c r="B86" s="60" t="s">
        <v>133</v>
      </c>
      <c r="C86" s="61" t="s">
        <v>3</v>
      </c>
      <c r="D86" s="62" t="s">
        <v>3</v>
      </c>
      <c r="E86" s="41" t="str">
        <f>IF(D86="","",_xlfn.XLOOKUP(A86,[5]ריכוז!$A:$A,[5]ריכוז!$D:$D,"אין כזה"))</f>
        <v/>
      </c>
      <c r="F86" s="10" t="str">
        <f t="shared" si="5"/>
        <v/>
      </c>
      <c r="G86" s="10" t="str">
        <f t="shared" si="6"/>
        <v/>
      </c>
      <c r="H86" s="10" t="str">
        <f t="shared" si="4"/>
        <v/>
      </c>
      <c r="I86" s="57" t="str">
        <f t="shared" si="7"/>
        <v/>
      </c>
      <c r="K86" s="38"/>
    </row>
    <row r="87" spans="1:15" s="27" customFormat="1" ht="15.6" x14ac:dyDescent="0.3">
      <c r="A87" s="59" t="s">
        <v>134</v>
      </c>
      <c r="B87" s="60" t="s">
        <v>135</v>
      </c>
      <c r="C87" s="61" t="s">
        <v>3</v>
      </c>
      <c r="D87" s="62" t="s">
        <v>3</v>
      </c>
      <c r="E87" s="41" t="str">
        <f>IF(D87="","",_xlfn.XLOOKUP(A87,[5]ריכוז!$A:$A,[5]ריכוז!$D:$D,"אין כזה"))</f>
        <v/>
      </c>
      <c r="F87" s="10" t="str">
        <f t="shared" si="5"/>
        <v/>
      </c>
      <c r="G87" s="10" t="str">
        <f t="shared" si="6"/>
        <v/>
      </c>
      <c r="H87" s="10" t="str">
        <f t="shared" si="4"/>
        <v/>
      </c>
      <c r="I87" s="57" t="str">
        <f t="shared" si="7"/>
        <v/>
      </c>
      <c r="K87" s="38"/>
    </row>
    <row r="88" spans="1:15" ht="43.2" x14ac:dyDescent="0.3">
      <c r="A88" s="63" t="s">
        <v>136</v>
      </c>
      <c r="B88" s="55" t="s">
        <v>137</v>
      </c>
      <c r="C88" s="56" t="s">
        <v>24</v>
      </c>
      <c r="D88" s="57">
        <v>3.0569999999999999</v>
      </c>
      <c r="E88" s="41">
        <f>IF(D88="","",_xlfn.XLOOKUP(A88,[5]ריכוז!$A:$A,[5]ריכוז!$D:$D,"אין כזה"))</f>
        <v>129.78142076502732</v>
      </c>
      <c r="F88" s="10">
        <f t="shared" si="5"/>
        <v>19.467213114754099</v>
      </c>
      <c r="G88" s="10">
        <f t="shared" si="6"/>
        <v>6.4890710382513666</v>
      </c>
      <c r="H88" s="10">
        <f t="shared" si="4"/>
        <v>115.82991803278689</v>
      </c>
      <c r="I88" s="57">
        <f t="shared" si="7"/>
        <v>354.09205942622953</v>
      </c>
      <c r="K88" s="38"/>
    </row>
    <row r="89" spans="1:15" x14ac:dyDescent="0.3">
      <c r="A89" s="54" t="s">
        <v>138</v>
      </c>
      <c r="B89" s="55" t="s">
        <v>139</v>
      </c>
      <c r="C89" s="56" t="s">
        <v>2</v>
      </c>
      <c r="D89" s="57">
        <v>0</v>
      </c>
      <c r="E89" s="41">
        <f>IF(D89="","",_xlfn.XLOOKUP(A89,[5]ריכוז!$A:$A,[5]ריכוז!$D:$D,"אין כזה"))</f>
        <v>2375.3501400560222</v>
      </c>
      <c r="F89" s="10">
        <f t="shared" si="5"/>
        <v>356.30252100840329</v>
      </c>
      <c r="G89" s="10">
        <f t="shared" si="6"/>
        <v>118.76750700280111</v>
      </c>
      <c r="H89" s="10">
        <f t="shared" si="4"/>
        <v>2120</v>
      </c>
      <c r="I89" s="57">
        <f t="shared" si="7"/>
        <v>0</v>
      </c>
      <c r="K89" s="38"/>
    </row>
    <row r="90" spans="1:15" x14ac:dyDescent="0.3">
      <c r="A90" s="54" t="s">
        <v>140</v>
      </c>
      <c r="B90" s="55" t="s">
        <v>141</v>
      </c>
      <c r="C90" s="56" t="s">
        <v>2</v>
      </c>
      <c r="D90" s="57">
        <v>0</v>
      </c>
      <c r="E90" s="41">
        <f>IF(D90="","",_xlfn.XLOOKUP(A90,[5]ריכוז!$A:$A,[5]ריכוז!$D:$D,"אין כזה"))</f>
        <v>950.14005602240888</v>
      </c>
      <c r="F90" s="10">
        <f t="shared" si="5"/>
        <v>142.52100840336132</v>
      </c>
      <c r="G90" s="10">
        <f t="shared" si="6"/>
        <v>47.50700280112045</v>
      </c>
      <c r="H90" s="10">
        <f t="shared" si="4"/>
        <v>848</v>
      </c>
      <c r="I90" s="57">
        <f t="shared" si="7"/>
        <v>0</v>
      </c>
      <c r="K90" s="38"/>
    </row>
    <row r="91" spans="1:15" ht="28.8" x14ac:dyDescent="0.3">
      <c r="A91" s="54" t="s">
        <v>165</v>
      </c>
      <c r="B91" s="55" t="s">
        <v>166</v>
      </c>
      <c r="C91" s="56" t="s">
        <v>167</v>
      </c>
      <c r="D91" s="96">
        <f>SUM(I17:I20,I25:I27,I29:I30,I32:I34,I36:I38,I42:I45,I64:I65,I89:I90)/0.85/1.05</f>
        <v>63944.360000000008</v>
      </c>
      <c r="E91" s="41">
        <f>IF(D91="","",_xlfn.XLOOKUP(A91,[5]ריכוז!$A:$A,[5]ריכוז!$D:$D,"אין כזה"))</f>
        <v>0.06</v>
      </c>
      <c r="F91" s="10">
        <f t="shared" si="5"/>
        <v>8.9999999999999993E-3</v>
      </c>
      <c r="G91" s="10">
        <f t="shared" si="6"/>
        <v>3.0000000000000001E-3</v>
      </c>
      <c r="H91" s="10">
        <f t="shared" si="4"/>
        <v>5.355E-2</v>
      </c>
      <c r="I91" s="57">
        <f t="shared" si="7"/>
        <v>3424.2204780000006</v>
      </c>
      <c r="K91" s="38"/>
    </row>
    <row r="92" spans="1:15" ht="55.8" x14ac:dyDescent="0.3">
      <c r="A92" s="48" t="s">
        <v>162</v>
      </c>
      <c r="B92" s="2" t="s">
        <v>163</v>
      </c>
      <c r="C92" s="3" t="s">
        <v>164</v>
      </c>
      <c r="D92" s="3">
        <v>0</v>
      </c>
      <c r="E92" s="41">
        <f>IF(D92="","",_xlfn.XLOOKUP(A92,[5]ריכוז!$A:$A,[5]ריכוז!$D:$D,"אין כזה"))</f>
        <v>3500</v>
      </c>
      <c r="F92" s="10">
        <f t="shared" si="5"/>
        <v>525</v>
      </c>
      <c r="G92" s="10">
        <f t="shared" si="6"/>
        <v>175</v>
      </c>
      <c r="H92" s="10">
        <f t="shared" si="4"/>
        <v>3123.75</v>
      </c>
      <c r="I92" s="57">
        <f>H92*D92</f>
        <v>0</v>
      </c>
      <c r="K92" s="38"/>
      <c r="L92"/>
      <c r="M92"/>
      <c r="N92"/>
      <c r="O92"/>
    </row>
    <row r="93" spans="1:15" x14ac:dyDescent="0.3">
      <c r="A93" s="21" t="s">
        <v>3</v>
      </c>
      <c r="B93" s="22" t="s">
        <v>152</v>
      </c>
      <c r="C93" s="23"/>
      <c r="D93" s="24"/>
      <c r="E93" s="25"/>
      <c r="F93" s="24"/>
      <c r="G93" s="24"/>
      <c r="H93" s="24"/>
      <c r="I93" s="31">
        <f>SUMIF(A:A,"01.*",I:I)</f>
        <v>0</v>
      </c>
      <c r="K93"/>
      <c r="L93"/>
      <c r="M93"/>
      <c r="N93"/>
      <c r="O93"/>
    </row>
    <row r="94" spans="1:15" x14ac:dyDescent="0.3">
      <c r="A94" s="21" t="s">
        <v>3</v>
      </c>
      <c r="B94" s="22" t="s">
        <v>153</v>
      </c>
      <c r="C94" s="23"/>
      <c r="D94" s="24"/>
      <c r="E94" s="25"/>
      <c r="F94" s="24"/>
      <c r="G94" s="24"/>
      <c r="H94" s="24"/>
      <c r="I94" s="31">
        <f>SUMIF(A:A,"05.*",I:I)</f>
        <v>0</v>
      </c>
      <c r="K94"/>
      <c r="L94"/>
      <c r="M94"/>
      <c r="N94"/>
      <c r="O94"/>
    </row>
    <row r="95" spans="1:15" x14ac:dyDescent="0.3">
      <c r="A95" s="21" t="s">
        <v>3</v>
      </c>
      <c r="B95" s="22" t="s">
        <v>154</v>
      </c>
      <c r="C95" s="23"/>
      <c r="D95" s="24"/>
      <c r="E95" s="25"/>
      <c r="F95" s="24"/>
      <c r="G95" s="24"/>
      <c r="H95" s="24"/>
      <c r="I95" s="31">
        <f>SUMIF(A:A,"09.*",I:I)</f>
        <v>0</v>
      </c>
      <c r="K95"/>
      <c r="L95"/>
      <c r="M95"/>
      <c r="N95"/>
      <c r="O95"/>
    </row>
    <row r="96" spans="1:15" x14ac:dyDescent="0.3">
      <c r="A96" s="21" t="s">
        <v>3</v>
      </c>
      <c r="B96" s="22" t="s">
        <v>155</v>
      </c>
      <c r="C96" s="23"/>
      <c r="D96" s="24"/>
      <c r="E96" s="25"/>
      <c r="F96" s="24"/>
      <c r="G96" s="24"/>
      <c r="H96" s="24"/>
      <c r="I96" s="31">
        <f>SUMIF(A:A,"11.*",I:I)</f>
        <v>0</v>
      </c>
      <c r="K96"/>
      <c r="L96"/>
      <c r="M96"/>
      <c r="N96"/>
      <c r="O96"/>
    </row>
    <row r="97" spans="1:15" x14ac:dyDescent="0.3">
      <c r="A97" s="21" t="s">
        <v>3</v>
      </c>
      <c r="B97" s="22" t="s">
        <v>156</v>
      </c>
      <c r="C97" s="23"/>
      <c r="D97" s="24"/>
      <c r="E97" s="25"/>
      <c r="F97" s="24"/>
      <c r="G97" s="24"/>
      <c r="H97" s="24"/>
      <c r="I97" s="31">
        <f>SUMIF(A:A,"12.*",I:I)</f>
        <v>69491.693628000008</v>
      </c>
      <c r="K97"/>
      <c r="L97"/>
      <c r="M97"/>
      <c r="N97"/>
      <c r="O97"/>
    </row>
    <row r="98" spans="1:15" x14ac:dyDescent="0.3">
      <c r="A98" s="21" t="s">
        <v>3</v>
      </c>
      <c r="B98" s="22" t="s">
        <v>157</v>
      </c>
      <c r="C98" s="23"/>
      <c r="D98" s="24"/>
      <c r="E98" s="25"/>
      <c r="F98" s="24"/>
      <c r="G98" s="24"/>
      <c r="H98" s="24"/>
      <c r="I98" s="31">
        <f>SUMIF(A:A,"15.*",I:I)</f>
        <v>0</v>
      </c>
      <c r="K98"/>
      <c r="L98"/>
      <c r="M98"/>
      <c r="N98"/>
      <c r="O98"/>
    </row>
    <row r="99" spans="1:15" x14ac:dyDescent="0.3">
      <c r="A99" s="21"/>
      <c r="B99" s="90" t="s">
        <v>181</v>
      </c>
      <c r="C99" s="23"/>
      <c r="D99" s="24"/>
      <c r="E99" s="25"/>
      <c r="F99" s="24"/>
      <c r="G99" s="24"/>
      <c r="H99" s="24"/>
      <c r="I99" s="31">
        <f>SUMIF(A:A,"30.*",I:I)</f>
        <v>0</v>
      </c>
      <c r="K99"/>
      <c r="L99"/>
      <c r="M99"/>
      <c r="N99"/>
      <c r="O99"/>
    </row>
    <row r="100" spans="1:15" x14ac:dyDescent="0.3">
      <c r="A100" s="21" t="s">
        <v>3</v>
      </c>
      <c r="B100" s="22" t="s">
        <v>158</v>
      </c>
      <c r="C100" s="23"/>
      <c r="D100" s="24"/>
      <c r="E100" s="25"/>
      <c r="F100" s="24"/>
      <c r="G100" s="24"/>
      <c r="H100" s="24"/>
      <c r="I100" s="31">
        <f>SUMIF(A:A,"60.*",I:I)</f>
        <v>0</v>
      </c>
      <c r="K100"/>
      <c r="L100"/>
      <c r="M100"/>
      <c r="N100"/>
      <c r="O100"/>
    </row>
    <row r="101" spans="1:15" x14ac:dyDescent="0.3">
      <c r="A101" s="21" t="s">
        <v>3</v>
      </c>
      <c r="B101" s="22" t="s">
        <v>159</v>
      </c>
      <c r="C101" s="23"/>
      <c r="D101" s="24"/>
      <c r="E101" s="25"/>
      <c r="F101" s="24"/>
      <c r="G101" s="24"/>
      <c r="H101" s="24"/>
      <c r="I101" s="31">
        <f>SUMIF(A:A,"85.*",I:I)</f>
        <v>354.09205942622953</v>
      </c>
      <c r="K101"/>
      <c r="L101"/>
      <c r="M101"/>
      <c r="N101"/>
      <c r="O101"/>
    </row>
    <row r="102" spans="1:15" x14ac:dyDescent="0.3">
      <c r="A102" s="28" t="s">
        <v>3</v>
      </c>
      <c r="B102" s="29" t="s">
        <v>160</v>
      </c>
      <c r="C102" s="23"/>
      <c r="D102" s="24"/>
      <c r="E102" s="25"/>
      <c r="F102" s="30"/>
      <c r="G102" s="113"/>
      <c r="H102" s="30">
        <f>I102*0.9</f>
        <v>62861.207118683611</v>
      </c>
      <c r="I102" s="30">
        <f>SUM(I93:I101)</f>
        <v>69845.785687426236</v>
      </c>
      <c r="K102"/>
      <c r="L102"/>
      <c r="M102"/>
      <c r="N102"/>
      <c r="O102"/>
    </row>
    <row r="103" spans="1:15" x14ac:dyDescent="0.3">
      <c r="A103" s="28" t="s">
        <v>3</v>
      </c>
      <c r="B103" s="29" t="s">
        <v>161</v>
      </c>
      <c r="C103" s="23"/>
      <c r="D103" s="24"/>
      <c r="E103" s="25"/>
      <c r="F103" s="30"/>
      <c r="G103" s="30"/>
      <c r="H103" s="30"/>
      <c r="I103" s="30">
        <f t="shared" ref="I103" si="8">(I102 * (1 / 100 * 18))</f>
        <v>12572.241423736723</v>
      </c>
      <c r="K103"/>
      <c r="L103"/>
      <c r="M103"/>
      <c r="N103"/>
      <c r="O103"/>
    </row>
    <row r="104" spans="1:15" x14ac:dyDescent="0.3">
      <c r="A104" s="32" t="s">
        <v>3</v>
      </c>
      <c r="B104" s="33" t="s">
        <v>160</v>
      </c>
      <c r="C104" s="34"/>
      <c r="D104" s="35"/>
      <c r="E104" s="36"/>
      <c r="F104" s="37"/>
      <c r="G104" s="37"/>
      <c r="H104" s="37"/>
      <c r="I104" s="37">
        <f t="shared" ref="I104" si="9">I102 + I103</f>
        <v>82418.027111162955</v>
      </c>
      <c r="K104"/>
      <c r="L104"/>
      <c r="M104"/>
      <c r="N104"/>
      <c r="O104"/>
    </row>
  </sheetData>
  <conditionalFormatting sqref="A7:D43 C44:D44 A45:D84">
    <cfRule type="expression" dxfId="18" priority="3">
      <formula>$K7="אין"</formula>
    </cfRule>
  </conditionalFormatting>
  <conditionalFormatting sqref="F7:K92 D85 A86:D90 A92:D92 A91:C91">
    <cfRule type="expression" dxfId="17" priority="4">
      <formula>$K7="אין"</formula>
    </cfRule>
  </conditionalFormatting>
  <conditionalFormatting sqref="D91">
    <cfRule type="expression" dxfId="0" priority="1">
      <formula>$K91="אין"</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47D47-3DC8-4074-BAF8-672F29F436D5}">
  <dimension ref="A1:N6"/>
  <sheetViews>
    <sheetView rightToLeft="1" zoomScale="70" zoomScaleNormal="70" workbookViewId="0">
      <selection activeCell="N7" sqref="N7"/>
    </sheetView>
  </sheetViews>
  <sheetFormatPr defaultRowHeight="13.8" x14ac:dyDescent="0.25"/>
  <cols>
    <col min="1" max="1" width="11.8984375" bestFit="1" customWidth="1"/>
    <col min="2" max="2" width="39.3984375" customWidth="1"/>
    <col min="4" max="4" width="11.19921875" bestFit="1" customWidth="1"/>
    <col min="5" max="5" width="10.296875" bestFit="1" customWidth="1"/>
    <col min="6" max="6" width="10.59765625" bestFit="1" customWidth="1"/>
    <col min="7" max="7" width="11.8984375" bestFit="1" customWidth="1"/>
    <col min="8" max="8" width="9.5" bestFit="1" customWidth="1"/>
    <col min="14" max="14" width="13" bestFit="1" customWidth="1"/>
  </cols>
  <sheetData>
    <row r="1" spans="1:14" ht="14.4" thickBot="1" x14ac:dyDescent="0.3">
      <c r="A1" s="137" t="s">
        <v>211</v>
      </c>
      <c r="B1" s="137"/>
      <c r="C1" s="137"/>
      <c r="D1" s="137"/>
      <c r="E1" s="137"/>
      <c r="F1" s="137"/>
      <c r="G1" s="137"/>
      <c r="H1" s="137"/>
      <c r="I1" s="137"/>
      <c r="J1" s="137"/>
      <c r="K1" s="137"/>
      <c r="L1" s="108"/>
    </row>
    <row r="2" spans="1:14" ht="55.2" customHeight="1" x14ac:dyDescent="0.25">
      <c r="A2" s="109" t="s">
        <v>0</v>
      </c>
      <c r="B2" s="110" t="s">
        <v>1</v>
      </c>
      <c r="C2" s="110" t="s">
        <v>2</v>
      </c>
      <c r="D2" s="110" t="s">
        <v>142</v>
      </c>
      <c r="E2" s="110" t="s">
        <v>143</v>
      </c>
      <c r="F2" s="110" t="s">
        <v>144</v>
      </c>
      <c r="G2" s="110" t="s">
        <v>145</v>
      </c>
      <c r="H2" s="110" t="s">
        <v>212</v>
      </c>
      <c r="I2" s="110" t="s">
        <v>213</v>
      </c>
      <c r="J2" s="110"/>
      <c r="K2" s="110"/>
      <c r="L2" s="110"/>
      <c r="M2" s="110" t="s">
        <v>210</v>
      </c>
      <c r="N2" s="110" t="s">
        <v>151</v>
      </c>
    </row>
    <row r="3" spans="1:14" ht="100.8" customHeight="1" x14ac:dyDescent="0.3">
      <c r="A3" s="63" t="s">
        <v>138</v>
      </c>
      <c r="B3" s="55" t="s">
        <v>139</v>
      </c>
      <c r="C3" s="56" t="s">
        <v>2</v>
      </c>
      <c r="D3" s="58">
        <f>2000*1.06/0.85/1.05</f>
        <v>2375.3501400560222</v>
      </c>
      <c r="E3" s="10">
        <f t="shared" ref="E3:E4" si="0">IF(D3="","",D3*0.15)</f>
        <v>356.30252100840329</v>
      </c>
      <c r="F3" s="10">
        <f t="shared" ref="F3:F4" si="1">IF(D3="","",D3*0.05)</f>
        <v>118.76750700280111</v>
      </c>
      <c r="G3" s="10">
        <f t="shared" ref="G3:G4" si="2">IF(D3="","",D3*1.05*0.85)</f>
        <v>2120</v>
      </c>
      <c r="H3" s="111">
        <v>1</v>
      </c>
      <c r="I3" s="111">
        <v>1</v>
      </c>
      <c r="J3" s="111"/>
      <c r="K3" s="111"/>
      <c r="L3" s="111"/>
      <c r="M3" s="111">
        <f t="shared" ref="M3:M4" si="3">SUM(H3:L3)</f>
        <v>2</v>
      </c>
      <c r="N3" s="10">
        <f t="shared" ref="N3:N4" si="4">M3*G3</f>
        <v>4240</v>
      </c>
    </row>
    <row r="4" spans="1:14" ht="100.8" customHeight="1" x14ac:dyDescent="0.3">
      <c r="A4" s="63" t="s">
        <v>140</v>
      </c>
      <c r="B4" s="55" t="s">
        <v>141</v>
      </c>
      <c r="C4" s="56" t="s">
        <v>2</v>
      </c>
      <c r="D4" s="58">
        <f>800*1.06/0.85/1.05</f>
        <v>950.14005602240888</v>
      </c>
      <c r="E4" s="10">
        <f t="shared" si="0"/>
        <v>142.52100840336132</v>
      </c>
      <c r="F4" s="10">
        <f t="shared" si="1"/>
        <v>47.50700280112045</v>
      </c>
      <c r="G4" s="10">
        <f t="shared" si="2"/>
        <v>848</v>
      </c>
      <c r="H4" s="111">
        <v>3</v>
      </c>
      <c r="I4" s="111">
        <v>3</v>
      </c>
      <c r="J4" s="111"/>
      <c r="K4" s="111"/>
      <c r="L4" s="111"/>
      <c r="M4" s="111">
        <f t="shared" si="3"/>
        <v>6</v>
      </c>
      <c r="N4" s="10">
        <f t="shared" si="4"/>
        <v>5088</v>
      </c>
    </row>
    <row r="6" spans="1:14" x14ac:dyDescent="0.25">
      <c r="N6" s="93">
        <f>SUM(N3:N5)</f>
        <v>9328</v>
      </c>
    </row>
  </sheetData>
  <mergeCells count="1">
    <mergeCell ref="A1:K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79ac6c4-9af3-4903-80c8-1c7bb9dc0523">
      <Terms xmlns="http://schemas.microsoft.com/office/infopath/2007/PartnerControls"/>
    </lcf76f155ced4ddcb4097134ff3c332f>
    <TaxCatchAll xmlns="4b790c91-db19-4f87-97c6-a47d1af4f80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6729E6BCBA05249B91C84AEC90679D2" ma:contentTypeVersion="12" ma:contentTypeDescription="Create a new document." ma:contentTypeScope="" ma:versionID="1c1271cdbc947063eef3503557215af4">
  <xsd:schema xmlns:xsd="http://www.w3.org/2001/XMLSchema" xmlns:xs="http://www.w3.org/2001/XMLSchema" xmlns:p="http://schemas.microsoft.com/office/2006/metadata/properties" xmlns:ns2="b79ac6c4-9af3-4903-80c8-1c7bb9dc0523" xmlns:ns3="4b790c91-db19-4f87-97c6-a47d1af4f80d" targetNamespace="http://schemas.microsoft.com/office/2006/metadata/properties" ma:root="true" ma:fieldsID="ca9ac2f050afd20c5fb1c2dc7e323ee2" ns2:_="" ns3:_="">
    <xsd:import namespace="b79ac6c4-9af3-4903-80c8-1c7bb9dc0523"/>
    <xsd:import namespace="4b790c91-db19-4f87-97c6-a47d1af4f8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9ac6c4-9af3-4903-80c8-1c7bb9dc05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a0faf19-31c5-45ee-bcc1-19114bc7628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790c91-db19-4f87-97c6-a47d1af4f80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105e453-a8c9-4720-9947-d930e748c73a}" ma:internalName="TaxCatchAll" ma:showField="CatchAllData" ma:web="4b790c91-db19-4f87-97c6-a47d1af4f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2F2485-27E9-41B9-A913-7CD2134FAF35}">
  <ds:schemaRefs>
    <ds:schemaRef ds:uri="http://schemas.microsoft.com/office/2006/metadata/properties"/>
    <ds:schemaRef ds:uri="http://schemas.microsoft.com/office/infopath/2007/PartnerControls"/>
    <ds:schemaRef ds:uri="b79ac6c4-9af3-4903-80c8-1c7bb9dc0523"/>
    <ds:schemaRef ds:uri="4b790c91-db19-4f87-97c6-a47d1af4f80d"/>
  </ds:schemaRefs>
</ds:datastoreItem>
</file>

<file path=customXml/itemProps2.xml><?xml version="1.0" encoding="utf-8"?>
<ds:datastoreItem xmlns:ds="http://schemas.openxmlformats.org/officeDocument/2006/customXml" ds:itemID="{DF523DBC-4822-4E19-9C95-6B4C42390D14}">
  <ds:schemaRefs>
    <ds:schemaRef ds:uri="http://schemas.microsoft.com/sharepoint/v3/contenttype/forms"/>
  </ds:schemaRefs>
</ds:datastoreItem>
</file>

<file path=customXml/itemProps3.xml><?xml version="1.0" encoding="utf-8"?>
<ds:datastoreItem xmlns:ds="http://schemas.openxmlformats.org/officeDocument/2006/customXml" ds:itemID="{B80482EC-F23E-4A77-8A13-6BC637F3ED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9ac6c4-9af3-4903-80c8-1c7bb9dc0523"/>
    <ds:schemaRef ds:uri="4b790c91-db19-4f87-97c6-a47d1af4f8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16</vt:i4>
      </vt:variant>
    </vt:vector>
  </HeadingPairs>
  <TitlesOfParts>
    <vt:vector size="16" baseType="lpstr">
      <vt:lpstr>ריכוז</vt:lpstr>
      <vt:lpstr>1</vt:lpstr>
      <vt:lpstr>2</vt:lpstr>
      <vt:lpstr>3</vt:lpstr>
      <vt:lpstr>4</vt:lpstr>
      <vt:lpstr>5</vt:lpstr>
      <vt:lpstr>6</vt:lpstr>
      <vt:lpstr>7</vt:lpstr>
      <vt:lpstr>8</vt:lpstr>
      <vt:lpstr>9</vt:lpstr>
      <vt:lpstr>10</vt:lpstr>
      <vt:lpstr>11</vt:lpstr>
      <vt:lpstr>12</vt:lpstr>
      <vt:lpstr>13</vt:lpstr>
      <vt:lpstr>14</vt:lpstr>
      <vt:lpstr>השלמה לחשבון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Ohad</dc:creator>
  <cp:lastModifiedBy>Ohad</cp:lastModifiedBy>
  <dcterms:created xsi:type="dcterms:W3CDTF">2026-04-28T08:51:14Z</dcterms:created>
  <dcterms:modified xsi:type="dcterms:W3CDTF">2026-08-10T15:22:22Z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0x010100C6729E6BCBA05249B91C84AEC90679D2</vt:lpwstr>
  </property>
  <property fmtid="{D5CDD505-2E9C-101B-9397-08002B2CF9AE}" pid="3" name="MediaServiceImageTags">
    <vt:lpwstr/>
  </property>
</Properties>
</file>