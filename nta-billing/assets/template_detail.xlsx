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user\Downloads\"/>
    </mc:Choice>
  </mc:AlternateContent>
  <xr:revisionPtr revIDLastSave="0" documentId="8_{A13B852F-939C-40E4-A4AC-2D8830B39DEE}" xr6:coauthVersionLast="47" xr6:coauthVersionMax="47" xr10:uidLastSave="{00000000-0000-0000-0000-000000000000}"/>
  <bookViews>
    <workbookView xWindow="-108" yWindow="-108" windowWidth="23256" windowHeight="12456" activeTab="1" xr2:uid="{F2290B73-2BE5-40EC-B634-755CC6E26067}"/>
  </bookViews>
  <sheets>
    <sheet name="גיליון1" sheetId="1" r:id="rId1"/>
    <sheet name="גיליון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94" i="1" l="1"/>
  <c r="I93" i="1"/>
  <c r="H92" i="1"/>
  <c r="I92" i="1" s="1"/>
  <c r="G92" i="1"/>
  <c r="F92" i="1"/>
  <c r="H91" i="1"/>
  <c r="G91" i="1"/>
  <c r="F91" i="1"/>
  <c r="H90" i="1"/>
  <c r="I90" i="1" s="1"/>
  <c r="G90" i="1"/>
  <c r="F90" i="1"/>
  <c r="H89" i="1"/>
  <c r="I89" i="1" s="1"/>
  <c r="G89" i="1"/>
  <c r="F89" i="1"/>
  <c r="H88" i="1"/>
  <c r="G88" i="1"/>
  <c r="F88" i="1"/>
  <c r="D88" i="1"/>
  <c r="I88" i="1" s="1"/>
  <c r="I101" i="1" s="1"/>
  <c r="H85" i="1"/>
  <c r="G85" i="1"/>
  <c r="F85" i="1"/>
  <c r="D85" i="1"/>
  <c r="I85" i="1" s="1"/>
  <c r="H84" i="1"/>
  <c r="G84" i="1"/>
  <c r="F84" i="1"/>
  <c r="D84" i="1"/>
  <c r="I84" i="1" s="1"/>
  <c r="H83" i="1"/>
  <c r="G83" i="1"/>
  <c r="F83" i="1"/>
  <c r="D83" i="1"/>
  <c r="I83" i="1" s="1"/>
  <c r="H81" i="1"/>
  <c r="G81" i="1"/>
  <c r="F81" i="1"/>
  <c r="D81" i="1"/>
  <c r="I81" i="1" s="1"/>
  <c r="H80" i="1"/>
  <c r="I80" i="1" s="1"/>
  <c r="G80" i="1"/>
  <c r="F80" i="1"/>
  <c r="H77" i="1"/>
  <c r="G77" i="1"/>
  <c r="F77" i="1"/>
  <c r="D77" i="1"/>
  <c r="I77" i="1" s="1"/>
  <c r="I99" i="1" s="1"/>
  <c r="H76" i="1"/>
  <c r="I76" i="1" s="1"/>
  <c r="G76" i="1"/>
  <c r="F76" i="1"/>
  <c r="H75" i="1"/>
  <c r="I75" i="1" s="1"/>
  <c r="I98" i="1" s="1"/>
  <c r="G75" i="1"/>
  <c r="F75" i="1"/>
  <c r="H72" i="1"/>
  <c r="I72" i="1" s="1"/>
  <c r="G72" i="1"/>
  <c r="F72" i="1"/>
  <c r="H71" i="1"/>
  <c r="I71" i="1" s="1"/>
  <c r="G71" i="1"/>
  <c r="F71" i="1"/>
  <c r="H70" i="1"/>
  <c r="G70" i="1"/>
  <c r="F70" i="1"/>
  <c r="H69" i="1"/>
  <c r="G69" i="1"/>
  <c r="F69" i="1"/>
  <c r="D69" i="1"/>
  <c r="I69" i="1" s="1"/>
  <c r="H68" i="1"/>
  <c r="G68" i="1"/>
  <c r="F68" i="1"/>
  <c r="H67" i="1"/>
  <c r="I67" i="1" s="1"/>
  <c r="G67" i="1"/>
  <c r="F67" i="1"/>
  <c r="H65" i="1"/>
  <c r="G65" i="1"/>
  <c r="F65" i="1"/>
  <c r="H64" i="1"/>
  <c r="I64" i="1" s="1"/>
  <c r="G64" i="1"/>
  <c r="F64" i="1"/>
  <c r="H63" i="1"/>
  <c r="G63" i="1"/>
  <c r="F63" i="1"/>
  <c r="D63" i="1"/>
  <c r="H61" i="1"/>
  <c r="G61" i="1"/>
  <c r="F61" i="1"/>
  <c r="D61" i="1"/>
  <c r="I61" i="1" s="1"/>
  <c r="H60" i="1"/>
  <c r="G60" i="1"/>
  <c r="F60" i="1"/>
  <c r="D60" i="1"/>
  <c r="I60" i="1" s="1"/>
  <c r="H59" i="1"/>
  <c r="G59" i="1"/>
  <c r="F59" i="1"/>
  <c r="D59" i="1"/>
  <c r="I59" i="1" s="1"/>
  <c r="H58" i="1"/>
  <c r="G58" i="1"/>
  <c r="F58" i="1"/>
  <c r="D58" i="1"/>
  <c r="I58" i="1" s="1"/>
  <c r="H57" i="1"/>
  <c r="G57" i="1"/>
  <c r="F57" i="1"/>
  <c r="D57" i="1"/>
  <c r="I57" i="1" s="1"/>
  <c r="H56" i="1"/>
  <c r="G56" i="1"/>
  <c r="F56" i="1"/>
  <c r="D56" i="1"/>
  <c r="I56" i="1" s="1"/>
  <c r="H55" i="1"/>
  <c r="G55" i="1"/>
  <c r="F55" i="1"/>
  <c r="D55" i="1"/>
  <c r="I55" i="1" s="1"/>
  <c r="H54" i="1"/>
  <c r="G54" i="1"/>
  <c r="F54" i="1"/>
  <c r="D54" i="1"/>
  <c r="I54" i="1" s="1"/>
  <c r="H53" i="1"/>
  <c r="G53" i="1"/>
  <c r="F53" i="1"/>
  <c r="D53" i="1"/>
  <c r="I53" i="1" s="1"/>
  <c r="H52" i="1"/>
  <c r="I52" i="1" s="1"/>
  <c r="G52" i="1"/>
  <c r="F52" i="1"/>
  <c r="H51" i="1"/>
  <c r="G51" i="1"/>
  <c r="F51" i="1"/>
  <c r="D51" i="1"/>
  <c r="I51" i="1" s="1"/>
  <c r="H50" i="1"/>
  <c r="G50" i="1"/>
  <c r="F50" i="1"/>
  <c r="D50" i="1"/>
  <c r="I50" i="1" s="1"/>
  <c r="H49" i="1"/>
  <c r="G49" i="1"/>
  <c r="F49" i="1"/>
  <c r="D49" i="1"/>
  <c r="I49" i="1" s="1"/>
  <c r="H48" i="1"/>
  <c r="G48" i="1"/>
  <c r="F48" i="1"/>
  <c r="D48" i="1"/>
  <c r="I48" i="1" s="1"/>
  <c r="H47" i="1"/>
  <c r="G47" i="1"/>
  <c r="F47" i="1"/>
  <c r="D47" i="1"/>
  <c r="I47" i="1" s="1"/>
  <c r="H46" i="1"/>
  <c r="G46" i="1"/>
  <c r="F46" i="1"/>
  <c r="D46" i="1"/>
  <c r="I46" i="1" s="1"/>
  <c r="H45" i="1"/>
  <c r="G45" i="1"/>
  <c r="F45" i="1"/>
  <c r="D45" i="1"/>
  <c r="I45" i="1" s="1"/>
  <c r="H44" i="1"/>
  <c r="G44" i="1"/>
  <c r="F44" i="1"/>
  <c r="D44" i="1"/>
  <c r="I44" i="1" s="1"/>
  <c r="H43" i="1"/>
  <c r="G43" i="1"/>
  <c r="F43" i="1"/>
  <c r="D43" i="1"/>
  <c r="I43" i="1" s="1"/>
  <c r="H42" i="1"/>
  <c r="G42" i="1"/>
  <c r="F42" i="1"/>
  <c r="D42" i="1"/>
  <c r="I42" i="1" s="1"/>
  <c r="H40" i="1"/>
  <c r="G40" i="1"/>
  <c r="F40" i="1"/>
  <c r="H38" i="1"/>
  <c r="I38" i="1" s="1"/>
  <c r="G38" i="1"/>
  <c r="F38" i="1"/>
  <c r="H37" i="1"/>
  <c r="I37" i="1" s="1"/>
  <c r="G37" i="1"/>
  <c r="F37" i="1"/>
  <c r="H36" i="1"/>
  <c r="G36" i="1"/>
  <c r="F36" i="1"/>
  <c r="D36" i="1"/>
  <c r="H34" i="1"/>
  <c r="I34" i="1" s="1"/>
  <c r="G34" i="1"/>
  <c r="F34" i="1"/>
  <c r="H33" i="1"/>
  <c r="I33" i="1" s="1"/>
  <c r="G33" i="1"/>
  <c r="F33" i="1"/>
  <c r="D33" i="1"/>
  <c r="H32" i="1"/>
  <c r="I32" i="1" s="1"/>
  <c r="G32" i="1"/>
  <c r="F32" i="1"/>
  <c r="H30" i="1"/>
  <c r="I30" i="1" s="1"/>
  <c r="G30" i="1"/>
  <c r="F30" i="1"/>
  <c r="H29" i="1"/>
  <c r="I29" i="1" s="1"/>
  <c r="G29" i="1"/>
  <c r="F29" i="1"/>
  <c r="H27" i="1"/>
  <c r="G27" i="1"/>
  <c r="F27" i="1"/>
  <c r="D27" i="1"/>
  <c r="I27" i="1" s="1"/>
  <c r="H26" i="1"/>
  <c r="I26" i="1" s="1"/>
  <c r="G26" i="1"/>
  <c r="F26" i="1"/>
  <c r="H25" i="1"/>
  <c r="I25" i="1" s="1"/>
  <c r="G25" i="1"/>
  <c r="F25" i="1"/>
  <c r="H23" i="1"/>
  <c r="G23" i="1"/>
  <c r="F23" i="1"/>
  <c r="D23" i="1"/>
  <c r="I23" i="1" s="1"/>
  <c r="H22" i="1"/>
  <c r="G22" i="1"/>
  <c r="F22" i="1"/>
  <c r="D22" i="1"/>
  <c r="I22" i="1" s="1"/>
  <c r="H21" i="1"/>
  <c r="G21" i="1"/>
  <c r="F21" i="1"/>
  <c r="D21" i="1"/>
  <c r="I21" i="1" s="1"/>
  <c r="H20" i="1"/>
  <c r="G20" i="1"/>
  <c r="F20" i="1"/>
  <c r="D20" i="1"/>
  <c r="I20" i="1" s="1"/>
  <c r="H19" i="1"/>
  <c r="I19" i="1" s="1"/>
  <c r="G19" i="1"/>
  <c r="F19" i="1"/>
  <c r="H18" i="1"/>
  <c r="G18" i="1"/>
  <c r="F18" i="1"/>
  <c r="D18" i="1"/>
  <c r="I18" i="1" s="1"/>
  <c r="H17" i="1"/>
  <c r="I17" i="1" s="1"/>
  <c r="G17" i="1"/>
  <c r="F17" i="1"/>
  <c r="H13" i="1"/>
  <c r="G13" i="1"/>
  <c r="F13" i="1"/>
  <c r="D13" i="1"/>
  <c r="I13" i="1" s="1"/>
  <c r="I96" i="1" s="1"/>
  <c r="H10" i="1"/>
  <c r="G10" i="1"/>
  <c r="F10" i="1"/>
  <c r="D10" i="1"/>
  <c r="I10" i="1" s="1"/>
  <c r="I95" i="1" s="1"/>
  <c r="H7" i="1"/>
  <c r="G7" i="1"/>
  <c r="F7" i="1"/>
  <c r="D7" i="1"/>
  <c r="I7" i="1" s="1"/>
  <c r="I100" i="1" s="1"/>
  <c r="B8" i="2"/>
  <c r="D69" i="2"/>
  <c r="D70" i="2"/>
  <c r="D68" i="2"/>
  <c r="D67" i="2"/>
  <c r="D66" i="2"/>
  <c r="D65" i="2"/>
  <c r="D64" i="2"/>
  <c r="D63" i="2"/>
  <c r="B102" i="2"/>
  <c r="D85" i="2"/>
  <c r="D84" i="2"/>
  <c r="D53" i="2"/>
  <c r="D54" i="2"/>
  <c r="D55" i="2"/>
  <c r="D56" i="2"/>
  <c r="D57" i="2"/>
  <c r="D52" i="2"/>
  <c r="B89" i="2"/>
  <c r="B38" i="2"/>
  <c r="B31" i="2"/>
  <c r="D113" i="2" s="1"/>
  <c r="B24" i="2"/>
  <c r="B17" i="2"/>
  <c r="B3" i="2"/>
  <c r="D86" i="2"/>
  <c r="D65" i="1" l="1"/>
  <c r="I65" i="1" s="1"/>
  <c r="I63" i="1"/>
  <c r="D70" i="1"/>
  <c r="D40" i="1"/>
  <c r="I40" i="1" s="1"/>
  <c r="I36" i="1"/>
  <c r="D91" i="1"/>
  <c r="I91" i="1" s="1"/>
  <c r="B81" i="2"/>
  <c r="B60" i="2"/>
  <c r="B49" i="2"/>
  <c r="B109" i="2" s="1"/>
  <c r="D112" i="2" s="1"/>
  <c r="B95" i="2"/>
  <c r="I70" i="1" l="1"/>
  <c r="D68" i="1"/>
  <c r="I68" i="1" s="1"/>
  <c r="I97" i="1" s="1"/>
  <c r="I102" i="1" s="1"/>
  <c r="B118" i="2"/>
  <c r="I103" i="1" l="1"/>
  <c r="I104" i="1" s="1"/>
</calcChain>
</file>

<file path=xl/sharedStrings.xml><?xml version="1.0" encoding="utf-8"?>
<sst xmlns="http://schemas.openxmlformats.org/spreadsheetml/2006/main" count="566" uniqueCount="319">
  <si>
    <t>סעיף</t>
  </si>
  <si>
    <t>תאור</t>
  </si>
  <si>
    <t>יח'</t>
  </si>
  <si>
    <t>כמות</t>
  </si>
  <si>
    <t>מחיר</t>
  </si>
  <si>
    <t>הנחת קבלן 15%</t>
  </si>
  <si>
    <t>תוספת דירה מאוכלסת 5%</t>
  </si>
  <si>
    <t>סה"כ מחיר יחידה</t>
  </si>
  <si>
    <t>סה"כ אחרי הנחה</t>
  </si>
  <si>
    <t>09</t>
  </si>
  <si>
    <t>עבודות טיח</t>
  </si>
  <si>
    <t>09.011</t>
  </si>
  <si>
    <t>טיח פנים</t>
  </si>
  <si>
    <t>09.011.9030</t>
  </si>
  <si>
    <t>תיקוני טיח פנים קיים על שטחים מישוריים ברצועות רוחב מעל 15 ס"מ ועד 30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t>
  </si>
  <si>
    <t>מ'</t>
  </si>
  <si>
    <t>11</t>
  </si>
  <si>
    <t>עבודות צביעה</t>
  </si>
  <si>
    <t>11.011</t>
  </si>
  <si>
    <t>צבע וסיוד פנים, על טיח, בטון, בלוקים וגבס</t>
  </si>
  <si>
    <t>11.011.9660</t>
  </si>
  <si>
    <t>חידוש צבע פנים על קירות בדירת חדר מרוהטת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</si>
  <si>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קומפ</t>
  </si>
  <si>
    <t>12</t>
  </si>
  <si>
    <t>עבודות אלומיניום</t>
  </si>
  <si>
    <t>12.011</t>
  </si>
  <si>
    <t>12.011.0210</t>
  </si>
  <si>
    <t>חלון נגרר אגף על אגף של 2 אגפים ב-2 מסלולים מאולגן/צבוע כדוגמת קליל קלאסי 7000 או ש"ע, זכוכית שקופה בידודית 5+6+6 מ"מ, בשטח מעל 1.0 מ"ר ועד 2.0 מ"ר</t>
  </si>
  <si>
    <t>מ"ר</t>
  </si>
  <si>
    <t>12.011.0270</t>
  </si>
  <si>
    <t>12.012.0100</t>
  </si>
  <si>
    <t>חלון נגרר אגף על אגף של 3 אגפים ב-3 מסלולים מאולגן/צבוע כדוגמת קליל קלאסי 9000 או ש"ע, זכוכית שקופה בידודית 5+6+6 מ"מ, בשטח מעל 1.0 מ"ר ועד 2.0 מ"ר</t>
  </si>
  <si>
    <t>12.011.1001</t>
  </si>
  <si>
    <t>תוספת עבור חלק קבוע בחלון נגרר אגף על אגף של 2 אגפים. התוספת הינה 15% למחיר מ"ר של החלון</t>
  </si>
  <si>
    <t>12.011.9000</t>
  </si>
  <si>
    <t>פירוק חלונות אלומיניום ומשקופיהם בשטח של עד 2 מ"ר</t>
  </si>
  <si>
    <t>12.011.9016</t>
  </si>
  <si>
    <t>פירוק חלונות אלומיניום ומשקופיהם בשטח של מעל 2 מ"ר ועד 3 מ"ר</t>
  </si>
  <si>
    <t>12.011.9017</t>
  </si>
  <si>
    <t>פירוק חלונות אלומיניום ומשקופיהם בשטח של מעל 3 מ"ר ועד 5 מ"ר</t>
  </si>
  <si>
    <t>12.014</t>
  </si>
  <si>
    <t>12.014.0400</t>
  </si>
  <si>
    <t>12.014.0410</t>
  </si>
  <si>
    <t>12.014.0660</t>
  </si>
  <si>
    <t>12.016</t>
  </si>
  <si>
    <t>חלון אלומיניום קיפ וחלון קבוע</t>
  </si>
  <si>
    <t>12.016.0600</t>
  </si>
  <si>
    <t>12.016.0610</t>
  </si>
  <si>
    <t>12.052</t>
  </si>
  <si>
    <t>12.052.0020</t>
  </si>
  <si>
    <t>12.052.0070</t>
  </si>
  <si>
    <t>דלת נגררת אגף על אגף של 3 אגפים ב-3 מסלולים מאולגנת/צבועה כדוגמת קליל קלאסי 9000 או ש"ע, זכוכית מחוסמת בעובי 6 מ"מ, בשטח מעל 6.0 מ"ר ועד 8.0 מ"ר</t>
  </si>
  <si>
    <t>12.052.0080</t>
  </si>
  <si>
    <t>12.053</t>
  </si>
  <si>
    <t>דלתות אלומיניום ציריות</t>
  </si>
  <si>
    <t>12.053.0210</t>
  </si>
  <si>
    <t>12.053.0450</t>
  </si>
  <si>
    <t>12.061</t>
  </si>
  <si>
    <t>ויטרינות כניסה מאלומיניום בשטחים ציבוריים</t>
  </si>
  <si>
    <t>12.061.9000</t>
  </si>
  <si>
    <t>פירוק ויטרינה מאלומיניום, לרבות המשקוף</t>
  </si>
  <si>
    <t>12.065</t>
  </si>
  <si>
    <t>12.065.1613</t>
  </si>
  <si>
    <t>12.065.1615</t>
  </si>
  <si>
    <t>תריס גלילה עם רפפות מפח אלומיניום עם פוליאוריטן מוקצף לרבות ארגז תריס מונובלוק 40, בשטח מעל 3.0 מ"ר ועד 6.0 מ"ר</t>
  </si>
  <si>
    <t>12.065.2000</t>
  </si>
  <si>
    <t>מנוע חשמלי לתריס במשקל עד 20 ק"ג, לא כולל נק' החשמל</t>
  </si>
  <si>
    <t>12.065.2010</t>
  </si>
  <si>
    <t>מנוע חשמלי לתריס במשקל מעל 20 ק"ג ועד 30 ק"ג, לא כולל נק' החשמל</t>
  </si>
  <si>
    <t>12.065.2020</t>
  </si>
  <si>
    <t>מנוע חשמלי לתריס במשקל מעל 30 ק"ג ועד 50 ק"ג, לא כולל נק' החשמל</t>
  </si>
  <si>
    <t>12.065.2030</t>
  </si>
  <si>
    <t>מנוע חשמלי לתריס במשקל מעל 50 ק"ג ועד 70 ק"ג, לא כולל נק' החשמל</t>
  </si>
  <si>
    <t>12.065.2040</t>
  </si>
  <si>
    <t>מנוע חשמלי לתריס במשקל מעל 70 ק"ג ועד 90 ק"ג, לא כולל נק' החשמל</t>
  </si>
  <si>
    <t>12.065.2050</t>
  </si>
  <si>
    <t>מנוע חשמלי לתריס במשקל מעל 90 ק"ג ועד 120 ק"ג, לא כולל נק' החשמל</t>
  </si>
  <si>
    <t>12.065.9000</t>
  </si>
  <si>
    <t>פירוק תריסי אלומיניום ומשקופיהם בשטח של עד 2 מ"ר</t>
  </si>
  <si>
    <t>12.065.9100</t>
  </si>
  <si>
    <t>פירוק ארגז תריס קיים במידות 35/100 ס"מ</t>
  </si>
  <si>
    <t>12.065.9110</t>
  </si>
  <si>
    <t>פירוק ארגז תריס קיים במידות 35/150 ס"מ</t>
  </si>
  <si>
    <t>12.067</t>
  </si>
  <si>
    <t>רשתות גלילה ורשתות יתושים</t>
  </si>
  <si>
    <t>12.067.9000</t>
  </si>
  <si>
    <t>12.067.0200</t>
  </si>
  <si>
    <t>12.067.0201</t>
  </si>
  <si>
    <t>12.068</t>
  </si>
  <si>
    <t>12.068.1320</t>
  </si>
  <si>
    <t>12.068.1216</t>
  </si>
  <si>
    <t>זכוכית שקופה בידודית מחוסמת משני הצדדים 6+10+8 מ"מ</t>
  </si>
  <si>
    <t>12.068.1172</t>
  </si>
  <si>
    <t>12.068.1004</t>
  </si>
  <si>
    <t>זכוכית שטוחה מחוסמת בעובי 6 מ"מ</t>
  </si>
  <si>
    <t>12.068.0902</t>
  </si>
  <si>
    <t>זכוכית שטוחה שקופה בעובי 5 מ"מ</t>
  </si>
  <si>
    <t>12.068.1002</t>
  </si>
  <si>
    <t>זכוכית שטוחה מחוסמת בעובי 5 מ"מ</t>
  </si>
  <si>
    <t>15</t>
  </si>
  <si>
    <t>מתקני מיזוג אוויר</t>
  </si>
  <si>
    <t>15.041</t>
  </si>
  <si>
    <t>מזגנים מפוצלים ויחידות מיני מרכזיות</t>
  </si>
  <si>
    <t>15.041.1210</t>
  </si>
  <si>
    <t>15.041.4010</t>
  </si>
  <si>
    <t>60</t>
  </si>
  <si>
    <t>מחירי שעות עבודה ושכירת ציוד</t>
  </si>
  <si>
    <t>60.020</t>
  </si>
  <si>
    <t>ש"ע</t>
  </si>
  <si>
    <t>60.030</t>
  </si>
  <si>
    <t>60.030.0605</t>
  </si>
  <si>
    <t>60.030.0634</t>
  </si>
  <si>
    <t>85</t>
  </si>
  <si>
    <t>חומרי איטום ובידוד תרמי</t>
  </si>
  <si>
    <t>85.095</t>
  </si>
  <si>
    <t>חומרים לבידוד תרמי ואקוסטי</t>
  </si>
  <si>
    <t>85.095.0950</t>
  </si>
  <si>
    <t>12.99.0001</t>
  </si>
  <si>
    <t>תוספת ידיות מיוחדות ומנגנון נעילה מיוחד לויטרינות</t>
  </si>
  <si>
    <t>12.99.0002</t>
  </si>
  <si>
    <t>תוספת ידיות מיוחדות ומנגנון נעילה מיוחד לחלונות</t>
  </si>
  <si>
    <t>12.093.0022</t>
  </si>
  <si>
    <t>%</t>
  </si>
  <si>
    <t>סה"כ עלות</t>
  </si>
  <si>
    <t>מע"מ בשיעור 18%</t>
  </si>
  <si>
    <t>פירוט כמויות</t>
  </si>
  <si>
    <t>הזמנה מס'</t>
  </si>
  <si>
    <t>כתובת</t>
  </si>
  <si>
    <t>תיאור המדידה</t>
  </si>
  <si>
    <t>יח' מידה</t>
  </si>
  <si>
    <t>שטח חלונות הזזה</t>
  </si>
  <si>
    <t>מכיל את הסעיפים:</t>
  </si>
  <si>
    <t>אורך כפול רוחב החלון</t>
  </si>
  <si>
    <t>מס' סעיף</t>
  </si>
  <si>
    <t>תיאור סעיף</t>
  </si>
  <si>
    <t>חלון אגף על אגף</t>
  </si>
  <si>
    <t>תוספת עבור חלק קבוע</t>
  </si>
  <si>
    <t>תריס גלילה</t>
  </si>
  <si>
    <t>תוספת עבור צבע מטאלי</t>
  </si>
  <si>
    <t>מטר אורך היקף חלונות וויטרינות</t>
  </si>
  <si>
    <t>מטר</t>
  </si>
  <si>
    <t>פעמיים אורך החלון + פעמיים רוחב החלון
אם מדובר בויטרינה - רוחב החלון נמדד רק פעם אחת</t>
  </si>
  <si>
    <t>תיקוני טיח פנים על שטחים מישוריים</t>
  </si>
  <si>
    <t>מס' חדרים</t>
  </si>
  <si>
    <t>קומפ'</t>
  </si>
  <si>
    <t>מס' החדרים שבהם הוחלפו חלונות או ויטרינות
סלון+מטבח נמדדים כחדר וחצי</t>
  </si>
  <si>
    <t>חידוש צבע פנים לחדר כולל תיקונים</t>
  </si>
  <si>
    <t>מס' החלונות שפורקו</t>
  </si>
  <si>
    <t>מס' חלונות</t>
  </si>
  <si>
    <t>פירוק חלונות אלומיניום ומשקופיהם</t>
  </si>
  <si>
    <t>אורך כפול רוחב הויטרינה</t>
  </si>
  <si>
    <t>שטח ויטרינות</t>
  </si>
  <si>
    <t>הפחתת זכוכית שטוחה מחוסמת בעובי 6 מ"מ</t>
  </si>
  <si>
    <t>כמות המנועים שהוחלפו
פירוט הכמות נמצא בכתב הכמויות כדי לא להעמיס על המסמך</t>
  </si>
  <si>
    <t>מנועים חשמליים</t>
  </si>
  <si>
    <t>פירוק ארגז תריס קיים 35/100</t>
  </si>
  <si>
    <t>פירוק ארגז תריס קיים 35/150</t>
  </si>
  <si>
    <t>שטח רשתות</t>
  </si>
  <si>
    <t>פירוק רשתות</t>
  </si>
  <si>
    <t>התקנת רשתות</t>
  </si>
  <si>
    <t>הובלה והנפת ציוד</t>
  </si>
  <si>
    <t>משאית מנוף 55-70 טון</t>
  </si>
  <si>
    <t>החומר נמדד במ"ר כפרורטה ליחידת גליל במידות 6.05*1.22
החישוב הוא (כאשר r=רוחב החלון)
r*(0.3+0.2*2)+0.2*2*0.1
שתי פאות צדדיות + 2 פאות עליונות + פאת חזית</t>
  </si>
  <si>
    <t>חומר בידוד טקסאונד</t>
  </si>
  <si>
    <t>חומר בלבד: טקסאונד SY50</t>
  </si>
  <si>
    <t>בחלון - שטח חצי הפתח שקיבל רשת 
בויטרינה - שטח 2/3 מהפתח</t>
  </si>
  <si>
    <t>שטח חלונות + שטח ויטרינות שהוחלפו</t>
  </si>
  <si>
    <t>שטח חלונות + ויטרינות</t>
  </si>
  <si>
    <t>30.050.9010</t>
  </si>
  <si>
    <t>12.065.9020</t>
  </si>
  <si>
    <t xml:space="preserve">פירוק צלונים/וילונות ונציאניים </t>
  </si>
  <si>
    <t>פירוק תריסי אלומיניום</t>
  </si>
  <si>
    <t>2 ש"ע לויטרינה + 1 ש"ע לחלון</t>
  </si>
  <si>
    <t>שעות עבודה פועל לטקסאונד</t>
  </si>
  <si>
    <t>60.010.0010</t>
  </si>
  <si>
    <t>פועל בנין מקצועי</t>
  </si>
  <si>
    <t>ידיות סיבוביות לחלונות</t>
  </si>
  <si>
    <t>60.020.0090</t>
  </si>
  <si>
    <t>12.053.0200</t>
  </si>
  <si>
    <t>12.065.1671</t>
  </si>
  <si>
    <t>12.065.1681</t>
  </si>
  <si>
    <t>פירוק תריסי אלומיניום ומשקופיהם בשטח של מעל 2 מ"ר</t>
  </si>
  <si>
    <t>60.020.0067</t>
  </si>
  <si>
    <t>י"ע</t>
  </si>
  <si>
    <t>וילונות - 30</t>
  </si>
  <si>
    <t>ההובלה וההנפה שבוצעה לדירה בחירת מנוף לפי:</t>
  </si>
  <si>
    <t>משאית מנוף 23-30 טון</t>
  </si>
  <si>
    <t>לדירות עד קומה 3</t>
  </si>
  <si>
    <t>לדירות מ3 עד 7</t>
  </si>
  <si>
    <t>משאית מנוף 95-100 טון</t>
  </si>
  <si>
    <t>לדירות מ8 עד 15</t>
  </si>
  <si>
    <t>60.030.0644</t>
  </si>
  <si>
    <t>פירוק ארגז תריס קיים 35/200</t>
  </si>
  <si>
    <t>פירוק ארגז תריס קיים 35/250</t>
  </si>
  <si>
    <t>פירוק ארגז תריס קיים 35/300</t>
  </si>
  <si>
    <t>פירוק ארגז תריס קיים 35/350</t>
  </si>
  <si>
    <t>פירוק ארגז תריס קיים 35/400</t>
  </si>
  <si>
    <t>פירוק ארגז תריס קיים 35/450</t>
  </si>
  <si>
    <t>תוספת לגוון IRON</t>
  </si>
  <si>
    <t>תוספת עבור צבע מטאלי Fine Iron</t>
  </si>
  <si>
    <t>מחשב את הסעיפים הבאים:</t>
  </si>
  <si>
    <t>חלון נגרר אגף על אגף של 2 א...</t>
  </si>
  <si>
    <t>חלון נגרר אגף על אגף של 3 א...</t>
  </si>
  <si>
    <t>תוספת עבור חלק קבוע בחלון נ...</t>
  </si>
  <si>
    <t>חלון ציר-צד מאולגן/צבוע כדו...</t>
  </si>
  <si>
    <t>חלון דו-צירי סב נטוי (דריי ...</t>
  </si>
  <si>
    <t>חלון קבוע כדוגמת קליל קלאסי...</t>
  </si>
  <si>
    <t>דלת נגררת אגף על אגף של 3 א...</t>
  </si>
  <si>
    <t>דלת ציר אגף אחד מאולגנת/צבו...</t>
  </si>
  <si>
    <t>דלת ציר שני אגפים מאולגנת/צ...</t>
  </si>
  <si>
    <t>תריס גלילה עם רפפות מפח אלו...</t>
  </si>
  <si>
    <t>תריס גלילה "תריס אור" עם רפ...</t>
  </si>
  <si>
    <t>רשת יתושים קטנה מפיברגלס, ע...</t>
  </si>
  <si>
    <t>12.065.0001</t>
  </si>
  <si>
    <t>12.065.0002</t>
  </si>
  <si>
    <t>12.065.0003</t>
  </si>
  <si>
    <t>12.065.0004</t>
  </si>
  <si>
    <t>12.065.0005</t>
  </si>
  <si>
    <t>12.065.0006</t>
  </si>
  <si>
    <t>פירוק ארגז תריס</t>
  </si>
  <si>
    <t>כמות ארגזי תריס שפורקו</t>
  </si>
  <si>
    <t>12.014.0650</t>
  </si>
  <si>
    <t>12.067.0210</t>
  </si>
  <si>
    <t>60.010.0020</t>
  </si>
  <si>
    <t>פועל בנין פשוט</t>
  </si>
  <si>
    <t>דירה עם מעל 5 פריטים - כמות 2</t>
  </si>
  <si>
    <t>12.065.1710</t>
  </si>
  <si>
    <t>רחמנפר</t>
  </si>
  <si>
    <t>נתוני מדידה גולמיים (קלט מריכוז כמויות)</t>
  </si>
  <si>
    <t>שדה</t>
  </si>
  <si>
    <t>ערך</t>
  </si>
  <si>
    <t>היקף כולל</t>
  </si>
  <si>
    <t>שטח ויטרינה</t>
  </si>
  <si>
    <t>שטח קיפ+קבוע</t>
  </si>
  <si>
    <t>חשמלאי מוסמך</t>
  </si>
  <si>
    <t>שטח רשת כולל</t>
  </si>
  <si>
    <t>מס' חלונות עד 2 מ"ר</t>
  </si>
  <si>
    <t>מס' חלונות מעל 2 מ"ר ועד 3 מ"ר</t>
  </si>
  <si>
    <t>מספר חלונות מעל 3 מ"ר ועד 5 מ"ר</t>
  </si>
  <si>
    <t>רוחב 0-100</t>
  </si>
  <si>
    <t>רוחב 101-150</t>
  </si>
  <si>
    <t>רוחב 151-200</t>
  </si>
  <si>
    <t>רוחב 201-250</t>
  </si>
  <si>
    <t>רוחב 251-300</t>
  </si>
  <si>
    <t>חלון אלומיניום נגרר אגף על אגף (הזזה) של 2 ו-3 אגפים</t>
  </si>
  <si>
    <t>רוחב 301-350</t>
  </si>
  <si>
    <t>רוחב 351-400</t>
  </si>
  <si>
    <t>חלון נגרר אגף על אגף של 2 אגפים ב-2 מסלולים מאולגן/צבוע כדוגמת קליל קלאסי 9000 או ש"ע, זכוכית שקופה בידודית 5+6+6 מ"מ, בשטח מעל 2.0 מ"ר ועד 3.0 מ"ר</t>
  </si>
  <si>
    <t>רוחב 401-450</t>
  </si>
  <si>
    <t>קומה 0-3</t>
  </si>
  <si>
    <t>קומה 4-7</t>
  </si>
  <si>
    <t>קומה 7 ומעלה</t>
  </si>
  <si>
    <t>שטח תריסים לחלונות (אור)</t>
  </si>
  <si>
    <t>שטח תריסים לדלתות (אור)</t>
  </si>
  <si>
    <t>חלון אלומיניום ציר צד וחלון דו-צירי סב-נטוי</t>
  </si>
  <si>
    <t>כמות מנוע עד 20</t>
  </si>
  <si>
    <t>חלון ציר-צד מאולגן/צבוע כדוגמת קליל קלאסי</t>
  </si>
  <si>
    <t>כמות מנוע 20–30</t>
  </si>
  <si>
    <t>כמות מנוע 30–50</t>
  </si>
  <si>
    <t>חלון דו-צירי סב נטוי (דריי קיפ), מאולגן/צבוע</t>
  </si>
  <si>
    <t>כמות מנוע 50–70</t>
  </si>
  <si>
    <t>כמות מנוע 70–90</t>
  </si>
  <si>
    <t>חלון קבוע כדוגמת קליל קלאסי 4500 או ש"ע, בשטח מעל 0.6 מ"ר ועד 1.0 מ"ר</t>
  </si>
  <si>
    <t>כמות מנוע 90–120+</t>
  </si>
  <si>
    <t>חלון קבוע כדוגמת קליל קלאסי 4500 או ש"ע, בשטח מעל 1.0 מ"ר ועד 2.0 מ"ר</t>
  </si>
  <si>
    <t>כמות טיפול בארגז</t>
  </si>
  <si>
    <t>דלתות אלומיניום נגררות אגף על אגף (הזזה) של 3 אגפים</t>
  </si>
  <si>
    <t>סה"כ טקסאונד</t>
  </si>
  <si>
    <t>דלת נגררת אגף על אגף של 3 אגפים ב-3 מסלולים, קליל 7000, זכוכית מחוסמת 6 מ"מ, 6.0-8.0 מ"ר</t>
  </si>
  <si>
    <t>שטח הזזה</t>
  </si>
  <si>
    <t>דלת נגררת אגף על אגף של 3 אגפים ב-3 מסלולים, קליל 9000, זכוכית מחוסמת 6 מ"מ, 6.0-8.0 מ"ר</t>
  </si>
  <si>
    <t>שטח הזזה+קבוע</t>
  </si>
  <si>
    <t>דלת נגררת אגף על אגף של 3 אגפים ב-3 מסלולים, קליל 9000, זכוכית מחוסמת 8 מ"מ, 8.0-10.0 מ"ר</t>
  </si>
  <si>
    <t>שטח קיפ</t>
  </si>
  <si>
    <t>שטח חלון ציר</t>
  </si>
  <si>
    <t>דלת ציר אגף אחד, קליל 4500, זכוכית מחוסמת 6 מ"מ, עד 2.0 מ"ר</t>
  </si>
  <si>
    <t>שטח תריסים לחלונות</t>
  </si>
  <si>
    <t>דלת ציר אגף אחד, קליל 4500, זכוכית מחוסמת 6 מ"מ, 2.0-3.0 מ"ר</t>
  </si>
  <si>
    <t>שטח תריסים לדלתות</t>
  </si>
  <si>
    <t>דלת ציר שני אגפים, קליל קלאסי 4500, זכוכית מחוסמת 6 מ"מ, 3.0-4.0 מ"ר</t>
  </si>
  <si>
    <t>שטח דלת ציר</t>
  </si>
  <si>
    <t>תריסי רפפה ותריסי גלילה מאלומיניום ומנועים</t>
  </si>
  <si>
    <t>תריס גלילה רגיל, ארגז מונובלוק 40, 1.0-3.0 מ"ר</t>
  </si>
  <si>
    <t>תריס גלילה רגיל, ארגז מונובלוק 40, 3.0-6.0 מ"ר</t>
  </si>
  <si>
    <t>תריס גלילה "תריס אור", ארגז מונובלוק 40, 1.0-3.0 מ"ר</t>
  </si>
  <si>
    <t>תריס גלילה "תריס אור" (משוך), ארגז מונובלוק 40, 3.0-6.0 מ"ר</t>
  </si>
  <si>
    <t>מנוע חשמלי לתריס במשקל עד 20 ק"ג</t>
  </si>
  <si>
    <t>מנוע חשמלי לתריס במשקל מעל 20 ק"ג ועד 30 ק"ג</t>
  </si>
  <si>
    <t>מנוע חשמלי לתריס במשקל מעל 30 ק"ג ועד 50 ק"ג</t>
  </si>
  <si>
    <t>מנוע חשמלי לתריס במשקל מעל 50 ק"ג ועד 70 ק"ג</t>
  </si>
  <si>
    <t>מנוע חשמלי לתריס במשקל מעל 70 ק"ג ועד 90 ק"ג</t>
  </si>
  <si>
    <t>מנוע חשמלי לתריס במשקל מעל 90 ק"ג ועד 120 ק"ג</t>
  </si>
  <si>
    <t>פירוק רשתות יתושים, לרבות מסגרת</t>
  </si>
  <si>
    <t>רשת יתושים קטנה מפיברגלס, 0.6-1.0 מ"ר</t>
  </si>
  <si>
    <t>רשת יתושים קטנה מפיברגלס, 1.0-2.0 מ"ר</t>
  </si>
  <si>
    <t>זכוכית לזיגוג דלתות וחלונות, ציפויים ותוספות</t>
  </si>
  <si>
    <t>זכוכית בטחון 5+5 מ"מ עם 0.76 P.V.B</t>
  </si>
  <si>
    <t>זכוכית שקופה בידודית 5+6+6 מ"מ</t>
  </si>
  <si>
    <t>מזגן מפוצל אינוורטר (התקנה סטנדרטית) 12,000 BTU</t>
  </si>
  <si>
    <t>צנרת גז וחשמל למזגן</t>
  </si>
  <si>
    <t>פירוק צלונים/וילונות ונציאניים מסוגים שונים לשימוש חוזר</t>
  </si>
  <si>
    <t>ש"ע פועלי בנין - מחירי קבלן משנה</t>
  </si>
  <si>
    <t>ש"ע לשכירת ציוד מכני הנדסי, רכב משא ומיכליות</t>
  </si>
  <si>
    <t>משאית מנוף 23-30 טון, אורך זרוע 15-20 מ' (קומה 0-3)</t>
  </si>
  <si>
    <t>משאית מנוף 55-70 טון, אורך זרוע 30-35 מ' (קומה 4-7)</t>
  </si>
  <si>
    <t>משאית מנוף 95-100 טון, אורך זרוע 35-40 מ' (קומה 7+)</t>
  </si>
  <si>
    <t>חומר בלבד: "דבטק" טקסאונד SY50</t>
  </si>
  <si>
    <t>תוספת עבור צבע מטאלי Fine Iron (6% למחירי החלונות)</t>
  </si>
  <si>
    <t>צוות לעב' אלומיניום - קריאה מיוחדת (הזמנות ארגזי תריס בלבד)</t>
  </si>
  <si>
    <r>
      <rPr>
        <sz val="11"/>
        <rFont val="Calibri"/>
        <family val="2"/>
        <charset val="1"/>
      </rPr>
      <t xml:space="preserve">01 - </t>
    </r>
    <r>
      <rPr>
        <sz val="11"/>
        <rFont val="FreeSans"/>
        <family val="2"/>
      </rPr>
      <t>עבודות עפר</t>
    </r>
  </si>
  <si>
    <r>
      <rPr>
        <sz val="11"/>
        <rFont val="Calibri"/>
        <family val="2"/>
        <charset val="1"/>
      </rPr>
      <t xml:space="preserve">05 - </t>
    </r>
    <r>
      <rPr>
        <sz val="11"/>
        <rFont val="FreeSans"/>
        <family val="2"/>
      </rPr>
      <t>עבודות איטום</t>
    </r>
  </si>
  <si>
    <r>
      <rPr>
        <sz val="11"/>
        <rFont val="Calibri"/>
        <family val="2"/>
        <charset val="1"/>
      </rPr>
      <t xml:space="preserve">09 - </t>
    </r>
    <r>
      <rPr>
        <sz val="11"/>
        <rFont val="FreeSans"/>
        <family val="2"/>
      </rPr>
      <t>עבודות טיח</t>
    </r>
  </si>
  <si>
    <r>
      <rPr>
        <sz val="11"/>
        <rFont val="Calibri"/>
        <family val="2"/>
        <charset val="1"/>
      </rPr>
      <t xml:space="preserve">11 - </t>
    </r>
    <r>
      <rPr>
        <sz val="11"/>
        <rFont val="FreeSans"/>
        <family val="2"/>
      </rPr>
      <t>עבודות צביעה</t>
    </r>
  </si>
  <si>
    <r>
      <rPr>
        <sz val="11"/>
        <rFont val="Calibri"/>
        <family val="2"/>
        <charset val="1"/>
      </rPr>
      <t xml:space="preserve">12 - </t>
    </r>
    <r>
      <rPr>
        <sz val="11"/>
        <rFont val="FreeSans"/>
        <family val="2"/>
      </rPr>
      <t>עבודות אלומיניום</t>
    </r>
  </si>
  <si>
    <r>
      <rPr>
        <sz val="11"/>
        <rFont val="Calibri"/>
        <family val="2"/>
        <charset val="1"/>
      </rPr>
      <t xml:space="preserve">15 - </t>
    </r>
    <r>
      <rPr>
        <sz val="11"/>
        <rFont val="FreeSans"/>
        <family val="2"/>
      </rPr>
      <t>מתקני מיזוג אוויר</t>
    </r>
  </si>
  <si>
    <r>
      <rPr>
        <sz val="11"/>
        <rFont val="Calibri"/>
        <family val="2"/>
        <charset val="1"/>
      </rPr>
      <t xml:space="preserve">60 - </t>
    </r>
    <r>
      <rPr>
        <sz val="11"/>
        <rFont val="FreeSans"/>
        <family val="2"/>
      </rPr>
      <t>מחירי שעות עבודה ושכירת ציוד</t>
    </r>
  </si>
  <si>
    <r>
      <rPr>
        <sz val="11"/>
        <rFont val="Calibri"/>
        <family val="2"/>
        <charset val="1"/>
      </rPr>
      <t xml:space="preserve">85 - </t>
    </r>
    <r>
      <rPr>
        <sz val="11"/>
        <rFont val="FreeSans"/>
        <family val="2"/>
      </rPr>
      <t>חומרי איטום ובידוד תרמי</t>
    </r>
  </si>
  <si>
    <t>סה"כ עלות כולל מע"מ</t>
  </si>
  <si>
    <t>משה רינת 4, קומה 7 דירה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</si>
</sst>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5" formatCode="_ &quot;₪ &quot;* #,##0_ ;_ &quot;₪ &quot;* \-#,##0_ ;_ &quot;₪ &quot;* \-??_ ;_ @_ "/>
    <numFmt numFmtId="166" formatCode="_ &quot;₪ &quot;* #,##0.00_ ;_ &quot;₪ &quot;* \-#,##0.00_ ;_ &quot;₪ &quot;* \-??_ ;_ @_ "/>
  </numFmts>
  <fonts count="14">
    <font>
      <sz val="11"/>
      <color theme="1"/>
      <name val="Arial"/>
      <family val="2"/>
      <charset val="177"/>
      <scheme val="minor"/>
    </font>
    <font>
      <sz val="11"/>
      <color theme="1"/>
      <name val="Arial"/>
      <family val="2"/>
      <charset val="177"/>
      <scheme val="minor"/>
    </font>
    <font>
      <sz val="11"/>
      <name val="Calibri"/>
      <family val="2"/>
    </font>
    <font>
      <sz val="16"/>
      <color theme="1"/>
      <name val="Arial"/>
      <family val="2"/>
      <charset val="177"/>
      <scheme val="minor"/>
    </font>
    <font>
      <b/>
      <sz val="11"/>
      <color theme="1"/>
      <name val="Arial"/>
      <family val="2"/>
      <scheme val="minor"/>
    </font>
    <font>
      <sz val="8"/>
      <name val="Arial"/>
      <family val="2"/>
      <charset val="177"/>
      <scheme val="minor"/>
    </font>
    <font>
      <b/>
      <sz val="11"/>
      <name val="FreeSans"/>
      <family val="2"/>
      <charset val="1"/>
    </font>
    <font>
      <sz val="11"/>
      <color theme="1"/>
      <name val="FreeSans"/>
      <family val="2"/>
      <charset val="1"/>
    </font>
    <font>
      <sz val="11"/>
      <color rgb="FF0000FF"/>
      <name val="Cambria"/>
      <family val="1"/>
    </font>
    <font>
      <sz val="11"/>
      <name val="FreeSans"/>
      <family val="2"/>
      <charset val="1"/>
    </font>
    <font>
      <sz val="11"/>
      <name val="Calibri"/>
      <family val="2"/>
      <charset val="1"/>
    </font>
    <font>
      <sz val="11"/>
      <color theme="1"/>
      <name val="Arial"/>
      <family val="2"/>
      <charset val="177"/>
    </font>
    <font>
      <sz val="11"/>
      <name val="FreeSans"/>
      <family val="2"/>
    </font>
    <font>
      <b/>
      <sz val="11"/>
      <name val="Calibri"/>
      <family val="2"/>
      <charset val="1"/>
    </font>
  </fonts>
  <fills count="3">
    <fill>
      <patternFill patternType="none"/>
    </fill>
    <fill>
      <patternFill patternType="gray125"/>
    </fill>
    <fill>
      <patternFill patternType="solid">
        <fgColor rgb="FFC8C8C8"/>
        <bgColor rgb="FFCCCCFF"/>
      </patternFill>
    </fill>
  </fills>
  <borders count="14">
    <border>
      <left/>
      <right/>
      <top/>
      <bottom/>
      <diagonal/>
    </border>
    <border>
      <left style="thin">
        <color auto="1"/>
      </left>
      <right style="thin">
        <color auto="1"/>
      </right>
      <top/>
      <bottom/>
      <diagonal/>
    </border>
    <border>
      <left style="thin">
        <color auto="1"/>
      </left>
      <right style="thin">
        <color auto="1"/>
      </right>
      <top style="double">
        <color rgb="FF008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6">
    <xf numFmtId="0" fontId="0" fillId="0" borderId="0"/>
    <xf numFmtId="0" fontId="2" fillId="0" borderId="0"/>
    <xf numFmtId="9"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cellStyleXfs>
  <cellXfs count="62">
    <xf numFmtId="0" fontId="0" fillId="0" borderId="0" xfId="0"/>
    <xf numFmtId="0" fontId="2" fillId="0" borderId="3" xfId="1" applyBorder="1" applyAlignment="1">
      <alignment horizontal="left"/>
    </xf>
    <xf numFmtId="49" fontId="2" fillId="0" borderId="3" xfId="1" applyNumberFormat="1" applyBorder="1" applyAlignment="1">
      <alignment horizontal="left"/>
    </xf>
    <xf numFmtId="0" fontId="0" fillId="0" borderId="3" xfId="0" applyBorder="1" applyAlignment="1">
      <alignment wrapText="1"/>
    </xf>
    <xf numFmtId="0" fontId="0" fillId="0" borderId="3" xfId="0" applyBorder="1"/>
    <xf numFmtId="0" fontId="0" fillId="0" borderId="3" xfId="0" applyBorder="1" applyAlignment="1">
      <alignment horizontal="right" wrapText="1"/>
    </xf>
    <xf numFmtId="0" fontId="0" fillId="0" borderId="0" xfId="0" applyAlignment="1">
      <alignment horizontal="right" wrapText="1"/>
    </xf>
    <xf numFmtId="0" fontId="0" fillId="0" borderId="0" xfId="0" applyAlignment="1">
      <alignment wrapText="1"/>
    </xf>
    <xf numFmtId="0" fontId="4" fillId="0" borderId="4" xfId="0" applyFont="1" applyBorder="1"/>
    <xf numFmtId="0" fontId="4" fillId="0" borderId="5" xfId="0" applyFont="1" applyBorder="1" applyAlignment="1">
      <alignment horizontal="right" wrapText="1"/>
    </xf>
    <xf numFmtId="0" fontId="4" fillId="0" borderId="6" xfId="0" applyFont="1" applyBorder="1" applyAlignment="1">
      <alignment horizontal="right" wrapText="1"/>
    </xf>
    <xf numFmtId="0" fontId="0" fillId="0" borderId="7" xfId="0" applyBorder="1"/>
    <xf numFmtId="0" fontId="0" fillId="0" borderId="8" xfId="0" applyBorder="1" applyAlignment="1">
      <alignment wrapText="1"/>
    </xf>
    <xf numFmtId="0" fontId="0" fillId="0" borderId="9" xfId="0" applyBorder="1" applyAlignment="1">
      <alignment horizontal="right" wrapText="1"/>
    </xf>
    <xf numFmtId="0" fontId="0" fillId="0" borderId="12" xfId="0" applyBorder="1" applyAlignment="1">
      <alignment horizontal="right"/>
    </xf>
    <xf numFmtId="0" fontId="0" fillId="0" borderId="7" xfId="0" applyBorder="1" applyAlignment="1">
      <alignment horizontal="right"/>
    </xf>
    <xf numFmtId="0" fontId="0" fillId="0" borderId="0" xfId="0" applyAlignment="1">
      <alignment horizontal="right"/>
    </xf>
    <xf numFmtId="0" fontId="0" fillId="0" borderId="7" xfId="0" applyBorder="1" applyAlignment="1">
      <alignment wrapText="1"/>
    </xf>
    <xf numFmtId="49" fontId="0" fillId="0" borderId="12" xfId="0" applyNumberFormat="1" applyBorder="1" applyAlignment="1">
      <alignment horizontal="right"/>
    </xf>
    <xf numFmtId="3" fontId="0" fillId="0" borderId="3" xfId="0" applyNumberFormat="1" applyBorder="1" applyAlignment="1">
      <alignment horizontal="right" wrapText="1"/>
    </xf>
    <xf numFmtId="2" fontId="0" fillId="0" borderId="3" xfId="0" applyNumberFormat="1" applyBorder="1"/>
    <xf numFmtId="49" fontId="2" fillId="0" borderId="12" xfId="1" applyNumberFormat="1" applyBorder="1" applyAlignment="1">
      <alignment horizontal="left"/>
    </xf>
    <xf numFmtId="49" fontId="2" fillId="0" borderId="7" xfId="1" applyNumberFormat="1" applyBorder="1" applyAlignment="1">
      <alignment horizontal="left"/>
    </xf>
    <xf numFmtId="0" fontId="0" fillId="0" borderId="0" xfId="0" applyAlignment="1">
      <alignment wrapText="1" readingOrder="2"/>
    </xf>
    <xf numFmtId="49" fontId="0" fillId="0" borderId="0" xfId="0" applyNumberFormat="1" applyAlignment="1">
      <alignment horizontal="right"/>
    </xf>
    <xf numFmtId="49" fontId="0" fillId="0" borderId="3" xfId="0" applyNumberFormat="1" applyBorder="1" applyAlignment="1">
      <alignment horizontal="right"/>
    </xf>
    <xf numFmtId="0" fontId="0" fillId="0" borderId="3" xfId="0" applyBorder="1" applyAlignment="1">
      <alignment horizontal="right" wrapText="1"/>
    </xf>
    <xf numFmtId="0" fontId="0" fillId="0" borderId="13" xfId="0" applyBorder="1" applyAlignment="1">
      <alignment horizontal="right" wrapText="1"/>
    </xf>
    <xf numFmtId="0" fontId="0" fillId="0" borderId="10"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4" fillId="0" borderId="5" xfId="0" applyFont="1" applyBorder="1" applyAlignment="1">
      <alignment horizontal="right" wrapText="1"/>
    </xf>
    <xf numFmtId="0" fontId="4" fillId="0" borderId="6" xfId="0" applyFont="1" applyBorder="1" applyAlignment="1">
      <alignment horizontal="right" wrapText="1"/>
    </xf>
    <xf numFmtId="0" fontId="0" fillId="0" borderId="8" xfId="0" applyBorder="1" applyAlignment="1">
      <alignment horizontal="right" wrapText="1"/>
    </xf>
    <xf numFmtId="0" fontId="0" fillId="0" borderId="9" xfId="0" applyBorder="1" applyAlignment="1">
      <alignment horizontal="right" wrapText="1"/>
    </xf>
    <xf numFmtId="0" fontId="3" fillId="0" borderId="0" xfId="0" applyFont="1" applyAlignment="1">
      <alignment horizontal="center"/>
    </xf>
    <xf numFmtId="0" fontId="0" fillId="0" borderId="0" xfId="0" applyAlignment="1">
      <alignment horizontal="right" wrapText="1"/>
    </xf>
    <xf numFmtId="0" fontId="6" fillId="0" borderId="0" xfId="0" applyFont="1"/>
    <xf numFmtId="0" fontId="7" fillId="0" borderId="0" xfId="0" applyFont="1"/>
    <xf numFmtId="0" fontId="8" fillId="0" borderId="0" xfId="0" applyFont="1"/>
    <xf numFmtId="0" fontId="9" fillId="2" borderId="2" xfId="0" applyFont="1" applyFill="1" applyBorder="1" applyAlignment="1">
      <alignment horizontal="left"/>
    </xf>
    <xf numFmtId="0" fontId="9" fillId="2" borderId="2" xfId="0" applyFont="1" applyFill="1" applyBorder="1" applyAlignment="1">
      <alignment horizontal="right" wrapText="1"/>
    </xf>
    <xf numFmtId="0" fontId="9" fillId="2" borderId="2" xfId="0" applyFont="1" applyFill="1" applyBorder="1" applyAlignment="1">
      <alignment horizontal="right" shrinkToFit="1"/>
    </xf>
    <xf numFmtId="4" fontId="9" fillId="2" borderId="2" xfId="0" applyNumberFormat="1" applyFont="1" applyFill="1" applyBorder="1" applyAlignment="1">
      <alignment horizontal="right"/>
    </xf>
    <xf numFmtId="4" fontId="9" fillId="2" borderId="2" xfId="0" applyNumberFormat="1" applyFont="1" applyFill="1" applyBorder="1" applyAlignment="1">
      <alignment horizontal="right" wrapText="1"/>
    </xf>
    <xf numFmtId="49" fontId="10" fillId="0" borderId="3" xfId="0" applyNumberFormat="1" applyFont="1" applyBorder="1" applyAlignment="1">
      <alignment horizontal="left"/>
    </xf>
    <xf numFmtId="0" fontId="9" fillId="0" borderId="3" xfId="0" applyFont="1" applyBorder="1" applyAlignment="1">
      <alignment wrapText="1"/>
    </xf>
    <xf numFmtId="0" fontId="9" fillId="0" borderId="3" xfId="0" applyFont="1" applyBorder="1" applyAlignment="1">
      <alignment shrinkToFit="1"/>
    </xf>
    <xf numFmtId="4" fontId="10" fillId="0" borderId="3" xfId="0" applyNumberFormat="1" applyFont="1" applyBorder="1" applyAlignment="1">
      <alignment horizontal="right"/>
    </xf>
    <xf numFmtId="165" fontId="11" fillId="0" borderId="3" xfId="0" applyNumberFormat="1" applyFont="1" applyBorder="1" applyAlignment="1">
      <alignment horizontal="right"/>
    </xf>
    <xf numFmtId="166" fontId="11" fillId="0" borderId="3" xfId="0" applyNumberFormat="1" applyFont="1" applyBorder="1"/>
    <xf numFmtId="0" fontId="10" fillId="0" borderId="3" xfId="0" applyFont="1" applyBorder="1" applyAlignment="1">
      <alignment shrinkToFit="1"/>
    </xf>
    <xf numFmtId="0" fontId="10" fillId="0" borderId="1" xfId="0" applyFont="1" applyBorder="1" applyAlignment="1">
      <alignment horizontal="left"/>
    </xf>
    <xf numFmtId="0" fontId="10" fillId="0" borderId="1" xfId="0" applyFont="1" applyBorder="1" applyAlignment="1">
      <alignment wrapText="1"/>
    </xf>
    <xf numFmtId="0" fontId="10" fillId="0" borderId="1" xfId="0" applyFont="1" applyBorder="1" applyAlignment="1">
      <alignment shrinkToFit="1"/>
    </xf>
    <xf numFmtId="4" fontId="10" fillId="0" borderId="1" xfId="0" applyNumberFormat="1" applyFont="1" applyBorder="1" applyAlignment="1">
      <alignment horizontal="right"/>
    </xf>
    <xf numFmtId="0" fontId="10" fillId="0" borderId="1" xfId="0" applyFont="1" applyBorder="1" applyAlignment="1">
      <alignment horizontal="right"/>
    </xf>
    <xf numFmtId="0" fontId="10" fillId="0" borderId="1" xfId="0" applyFont="1" applyBorder="1"/>
    <xf numFmtId="0" fontId="9" fillId="0" borderId="1" xfId="0" applyFont="1" applyBorder="1" applyAlignment="1">
      <alignment wrapText="1"/>
    </xf>
    <xf numFmtId="49" fontId="13" fillId="0" borderId="1" xfId="0" applyNumberFormat="1" applyFont="1" applyBorder="1" applyAlignment="1">
      <alignment horizontal="left"/>
    </xf>
    <xf numFmtId="0" fontId="6" fillId="0" borderId="1" xfId="0" applyFont="1" applyBorder="1" applyAlignment="1">
      <alignment wrapText="1"/>
    </xf>
    <xf numFmtId="4" fontId="13" fillId="0" borderId="1" xfId="0" applyNumberFormat="1" applyFont="1" applyBorder="1" applyAlignment="1">
      <alignment horizontal="right"/>
    </xf>
  </cellXfs>
  <cellStyles count="6">
    <cellStyle name="Comma 2" xfId="4" xr:uid="{F4466788-DBD2-4E23-81E4-BDE38DABD072}"/>
    <cellStyle name="Comma 3" xfId="5" xr:uid="{3F47C8ED-B948-4B50-A122-CFC8780E51C2}"/>
    <cellStyle name="Currency 2" xfId="3" xr:uid="{BD8A0C73-426B-42B6-AB74-E6833F6DBEA3}"/>
    <cellStyle name="Normal" xfId="0" builtinId="0"/>
    <cellStyle name="Normal 2" xfId="1" xr:uid="{AA0D9B26-6073-425A-A4AE-E1631703BE9A}"/>
    <cellStyle name="Percent 2" xfId="2" xr:uid="{2EAADC34-98CA-4E24-9214-DE9E3064005F}"/>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B3FCB-5657-4335-B205-AB49C3B6729F}">
  <dimension ref="A1:L104"/>
  <sheetViews>
    <sheetView rightToLeft="1" topLeftCell="C1" zoomScale="85" zoomScaleNormal="85" workbookViewId="0">
      <selection activeCell="F111" sqref="F111"/>
    </sheetView>
  </sheetViews>
  <sheetFormatPr defaultColWidth="7.796875" defaultRowHeight="13.8"/>
  <cols>
    <col min="1" max="1" width="10.3984375" customWidth="1"/>
    <col min="2" max="2" width="56.69921875" customWidth="1"/>
    <col min="3" max="3" width="7.3984375" customWidth="1"/>
    <col min="4" max="4" width="9" customWidth="1"/>
    <col min="5" max="5" width="10" customWidth="1"/>
    <col min="6" max="6" width="9.5" bestFit="1" customWidth="1"/>
    <col min="7" max="7" width="10.8984375" customWidth="1"/>
    <col min="8" max="8" width="12.59765625" customWidth="1"/>
    <col min="9" max="9" width="12.09765625" customWidth="1"/>
    <col min="11" max="11" width="28.796875" customWidth="1"/>
    <col min="12" max="12" width="10.796875" customWidth="1"/>
  </cols>
  <sheetData>
    <row r="1" spans="1:12" ht="17.25" customHeight="1">
      <c r="C1" s="37" t="s">
        <v>227</v>
      </c>
      <c r="D1">
        <v>1776</v>
      </c>
      <c r="K1" s="37" t="s">
        <v>228</v>
      </c>
    </row>
    <row r="2" spans="1:12" ht="15" customHeight="1">
      <c r="K2" s="37" t="s">
        <v>229</v>
      </c>
      <c r="L2" s="37" t="s">
        <v>230</v>
      </c>
    </row>
    <row r="3" spans="1:12" ht="15" customHeight="1">
      <c r="K3" s="38" t="s">
        <v>143</v>
      </c>
      <c r="L3" s="39">
        <v>4</v>
      </c>
    </row>
    <row r="4" spans="1:12" ht="15" customHeight="1">
      <c r="K4" s="38" t="s">
        <v>231</v>
      </c>
      <c r="L4" s="39">
        <v>46.14</v>
      </c>
    </row>
    <row r="5" spans="1:12" ht="15" customHeight="1" thickBot="1">
      <c r="K5" s="38" t="s">
        <v>232</v>
      </c>
      <c r="L5" s="39">
        <v>13.543200000000001</v>
      </c>
    </row>
    <row r="6" spans="1:12" ht="29.25" customHeight="1" thickTop="1">
      <c r="A6" s="40" t="s">
        <v>0</v>
      </c>
      <c r="B6" s="41" t="s">
        <v>1</v>
      </c>
      <c r="C6" s="42" t="s">
        <v>2</v>
      </c>
      <c r="D6" s="43" t="s">
        <v>3</v>
      </c>
      <c r="E6" s="44" t="s">
        <v>4</v>
      </c>
      <c r="F6" s="44" t="s">
        <v>5</v>
      </c>
      <c r="G6" s="44" t="s">
        <v>6</v>
      </c>
      <c r="H6" s="44" t="s">
        <v>7</v>
      </c>
      <c r="I6" s="43" t="s">
        <v>8</v>
      </c>
      <c r="K6" s="38" t="s">
        <v>233</v>
      </c>
      <c r="L6" s="39">
        <v>3.9525000000000001</v>
      </c>
    </row>
    <row r="7" spans="1:12" ht="15" customHeight="1">
      <c r="A7" s="45" t="s">
        <v>177</v>
      </c>
      <c r="B7" s="46" t="s">
        <v>234</v>
      </c>
      <c r="C7" s="47" t="s">
        <v>108</v>
      </c>
      <c r="D7" s="48">
        <f>IF(SUM(D46,D47,D48,D49,D50,D51)&gt;0,2,0)</f>
        <v>2</v>
      </c>
      <c r="E7" s="49">
        <v>150</v>
      </c>
      <c r="F7" s="50">
        <f>IF(E7="","",E7*0.15)</f>
        <v>22.5</v>
      </c>
      <c r="G7" s="50">
        <f>IF(E7="","",E7*0.05)</f>
        <v>7.5</v>
      </c>
      <c r="H7" s="50">
        <f>IF(E7="","",E7*1.05*0.85)</f>
        <v>133.875</v>
      </c>
      <c r="I7" s="48">
        <f>IF(D7="","",H7*D7)</f>
        <v>267.75</v>
      </c>
      <c r="K7" s="38" t="s">
        <v>235</v>
      </c>
      <c r="L7" s="39">
        <v>2.4079999999999999</v>
      </c>
    </row>
    <row r="8" spans="1:12" ht="15" customHeight="1">
      <c r="A8" s="45" t="s">
        <v>9</v>
      </c>
      <c r="B8" s="46" t="s">
        <v>10</v>
      </c>
      <c r="C8" s="47"/>
      <c r="D8" s="48"/>
      <c r="E8" s="49"/>
      <c r="F8" s="50"/>
      <c r="G8" s="50"/>
      <c r="H8" s="50"/>
      <c r="I8" s="48"/>
      <c r="K8" s="38" t="s">
        <v>236</v>
      </c>
      <c r="L8" s="39">
        <v>3</v>
      </c>
    </row>
    <row r="9" spans="1:12" ht="15" customHeight="1">
      <c r="A9" s="45" t="s">
        <v>11</v>
      </c>
      <c r="B9" s="46" t="s">
        <v>12</v>
      </c>
      <c r="C9" s="47"/>
      <c r="D9" s="48"/>
      <c r="E9" s="49"/>
      <c r="F9" s="50"/>
      <c r="G9" s="50"/>
      <c r="H9" s="50"/>
      <c r="I9" s="48"/>
      <c r="K9" s="38" t="s">
        <v>237</v>
      </c>
      <c r="L9" s="39">
        <v>2</v>
      </c>
    </row>
    <row r="10" spans="1:12" ht="57" customHeight="1">
      <c r="A10" s="45" t="s">
        <v>13</v>
      </c>
      <c r="B10" s="46" t="s">
        <v>14</v>
      </c>
      <c r="C10" s="47" t="s">
        <v>15</v>
      </c>
      <c r="D10" s="48">
        <f>L4</f>
        <v>46.14</v>
      </c>
      <c r="E10" s="49">
        <v>64</v>
      </c>
      <c r="F10" s="50">
        <f>IF(E10="","",E10*0.15)</f>
        <v>9.6</v>
      </c>
      <c r="G10" s="50">
        <f>IF(E10="","",E10*0.05)</f>
        <v>3.2</v>
      </c>
      <c r="H10" s="50">
        <f>IF(E10="","",E10*1.05*0.85)</f>
        <v>57.12</v>
      </c>
      <c r="I10" s="48">
        <f>IF(D10="","",H10*D10)</f>
        <v>2635.5167999999999</v>
      </c>
      <c r="K10" s="38" t="s">
        <v>238</v>
      </c>
      <c r="L10" s="39">
        <v>0</v>
      </c>
    </row>
    <row r="11" spans="1:12" ht="15" customHeight="1">
      <c r="A11" s="45" t="s">
        <v>16</v>
      </c>
      <c r="B11" s="46" t="s">
        <v>17</v>
      </c>
      <c r="C11" s="47"/>
      <c r="D11" s="48"/>
      <c r="E11" s="49"/>
      <c r="F11" s="50"/>
      <c r="G11" s="50"/>
      <c r="H11" s="50"/>
      <c r="I11" s="48"/>
      <c r="K11" s="38" t="s">
        <v>239</v>
      </c>
      <c r="L11" s="39">
        <v>3</v>
      </c>
    </row>
    <row r="12" spans="1:12" ht="15" customHeight="1">
      <c r="A12" s="45" t="s">
        <v>18</v>
      </c>
      <c r="B12" s="46" t="s">
        <v>19</v>
      </c>
      <c r="C12" s="47"/>
      <c r="D12" s="48"/>
      <c r="E12" s="49"/>
      <c r="F12" s="50"/>
      <c r="G12" s="50"/>
      <c r="H12" s="50"/>
      <c r="I12" s="48"/>
      <c r="K12" s="38" t="s">
        <v>240</v>
      </c>
      <c r="L12" s="39">
        <v>2</v>
      </c>
    </row>
    <row r="13" spans="1:12" ht="42.75" customHeight="1">
      <c r="A13" s="45" t="s">
        <v>20</v>
      </c>
      <c r="B13" s="46" t="s">
        <v>21</v>
      </c>
      <c r="C13" s="47" t="s">
        <v>22</v>
      </c>
      <c r="D13" s="48">
        <f>L3</f>
        <v>4</v>
      </c>
      <c r="E13" s="49">
        <v>1770</v>
      </c>
      <c r="F13" s="50">
        <f>IF(E13="","",E13*0.15)</f>
        <v>265.5</v>
      </c>
      <c r="G13" s="50">
        <f>IF(E13="","",E13*0.05)</f>
        <v>88.5</v>
      </c>
      <c r="H13" s="50">
        <f>IF(E13="","",E13*1.05*0.85)</f>
        <v>1579.7249999999999</v>
      </c>
      <c r="I13" s="48">
        <f>IF(D13="","",H13*D13)</f>
        <v>6318.9</v>
      </c>
      <c r="K13" s="38" t="s">
        <v>241</v>
      </c>
      <c r="L13" s="39">
        <v>0</v>
      </c>
    </row>
    <row r="14" spans="1:12" ht="15" customHeight="1">
      <c r="K14" s="38" t="s">
        <v>242</v>
      </c>
      <c r="L14" s="39">
        <v>1</v>
      </c>
    </row>
    <row r="15" spans="1:12" ht="15" customHeight="1">
      <c r="A15" s="45" t="s">
        <v>23</v>
      </c>
      <c r="B15" s="46" t="s">
        <v>24</v>
      </c>
      <c r="C15" s="47"/>
      <c r="D15" s="48"/>
      <c r="E15" s="49"/>
      <c r="F15" s="50"/>
      <c r="G15" s="50"/>
      <c r="H15" s="50"/>
      <c r="I15" s="48"/>
      <c r="K15" s="38" t="s">
        <v>243</v>
      </c>
      <c r="L15" s="39">
        <v>0</v>
      </c>
    </row>
    <row r="16" spans="1:12" ht="15" customHeight="1">
      <c r="A16" s="45" t="s">
        <v>25</v>
      </c>
      <c r="B16" s="46" t="s">
        <v>244</v>
      </c>
      <c r="C16" s="47"/>
      <c r="D16" s="48"/>
      <c r="E16" s="49"/>
      <c r="F16" s="50"/>
      <c r="G16" s="50"/>
      <c r="H16" s="50"/>
      <c r="I16" s="48"/>
      <c r="K16" s="38" t="s">
        <v>245</v>
      </c>
      <c r="L16" s="39">
        <v>0</v>
      </c>
    </row>
    <row r="17" spans="1:12" ht="28.5" hidden="1" customHeight="1">
      <c r="A17" s="45" t="s">
        <v>26</v>
      </c>
      <c r="B17" s="46" t="s">
        <v>27</v>
      </c>
      <c r="C17" s="47" t="s">
        <v>28</v>
      </c>
      <c r="D17" s="48">
        <v>0</v>
      </c>
      <c r="E17" s="49">
        <v>1760</v>
      </c>
      <c r="F17" s="50">
        <f t="shared" ref="F17:F23" si="0">IF(E17="","",E17*0.15)</f>
        <v>264</v>
      </c>
      <c r="G17" s="50">
        <f t="shared" ref="G17:G23" si="1">IF(E17="","",E17*0.05)</f>
        <v>88</v>
      </c>
      <c r="H17" s="50">
        <f t="shared" ref="H17:H23" si="2">IF(E17="","",E17*1.05*0.85)</f>
        <v>1570.8</v>
      </c>
      <c r="I17" s="48">
        <f t="shared" ref="I17:I23" si="3">IF(D17="","",H17*D17)</f>
        <v>0</v>
      </c>
      <c r="K17" s="38" t="s">
        <v>246</v>
      </c>
      <c r="L17" s="39">
        <v>1</v>
      </c>
    </row>
    <row r="18" spans="1:12" ht="28.5" customHeight="1">
      <c r="A18" s="45" t="s">
        <v>29</v>
      </c>
      <c r="B18" s="46" t="s">
        <v>247</v>
      </c>
      <c r="C18" s="47" t="s">
        <v>28</v>
      </c>
      <c r="D18" s="48">
        <f>L32+L33</f>
        <v>4.8159999999999998</v>
      </c>
      <c r="E18" s="49">
        <v>1980</v>
      </c>
      <c r="F18" s="50">
        <f t="shared" si="0"/>
        <v>297</v>
      </c>
      <c r="G18" s="50">
        <f t="shared" si="1"/>
        <v>99</v>
      </c>
      <c r="H18" s="50">
        <f t="shared" si="2"/>
        <v>1767.1499999999999</v>
      </c>
      <c r="I18" s="48">
        <f t="shared" si="3"/>
        <v>8510.5944</v>
      </c>
      <c r="K18" s="38" t="s">
        <v>248</v>
      </c>
      <c r="L18" s="39">
        <v>0</v>
      </c>
    </row>
    <row r="19" spans="1:12" ht="28.5" hidden="1" customHeight="1">
      <c r="A19" s="45" t="s">
        <v>30</v>
      </c>
      <c r="B19" s="46" t="s">
        <v>31</v>
      </c>
      <c r="C19" s="47" t="s">
        <v>28</v>
      </c>
      <c r="D19" s="48">
        <v>0</v>
      </c>
      <c r="E19" s="49">
        <v>2210</v>
      </c>
      <c r="F19" s="50">
        <f t="shared" si="0"/>
        <v>331.5</v>
      </c>
      <c r="G19" s="50">
        <f t="shared" si="1"/>
        <v>110.5</v>
      </c>
      <c r="H19" s="50">
        <f t="shared" si="2"/>
        <v>1972.425</v>
      </c>
      <c r="I19" s="48">
        <f t="shared" si="3"/>
        <v>0</v>
      </c>
      <c r="K19" s="38" t="s">
        <v>249</v>
      </c>
      <c r="L19" s="39">
        <v>0</v>
      </c>
    </row>
    <row r="20" spans="1:12" ht="28.5" customHeight="1">
      <c r="A20" s="45" t="s">
        <v>32</v>
      </c>
      <c r="B20" s="46" t="s">
        <v>33</v>
      </c>
      <c r="C20" s="47" t="s">
        <v>22</v>
      </c>
      <c r="D20" s="48">
        <f>L33*E18+L6*E27</f>
        <v>20207.43</v>
      </c>
      <c r="E20" s="49">
        <v>0.15</v>
      </c>
      <c r="F20" s="50">
        <f t="shared" si="0"/>
        <v>2.2499999999999999E-2</v>
      </c>
      <c r="G20" s="50">
        <f t="shared" si="1"/>
        <v>7.4999999999999997E-3</v>
      </c>
      <c r="H20" s="50">
        <f t="shared" si="2"/>
        <v>0.13387499999999999</v>
      </c>
      <c r="I20" s="48">
        <f t="shared" si="3"/>
        <v>2705.2696912500001</v>
      </c>
      <c r="K20" s="38" t="s">
        <v>250</v>
      </c>
      <c r="L20" s="39">
        <v>1</v>
      </c>
    </row>
    <row r="21" spans="1:12" ht="15" customHeight="1">
      <c r="A21" s="45" t="s">
        <v>34</v>
      </c>
      <c r="B21" s="46" t="s">
        <v>35</v>
      </c>
      <c r="C21" s="47" t="s">
        <v>2</v>
      </c>
      <c r="D21" s="48">
        <f>L8</f>
        <v>3</v>
      </c>
      <c r="E21" s="49">
        <v>140</v>
      </c>
      <c r="F21" s="50">
        <f t="shared" si="0"/>
        <v>21</v>
      </c>
      <c r="G21" s="50">
        <f t="shared" si="1"/>
        <v>7</v>
      </c>
      <c r="H21" s="50">
        <f t="shared" si="2"/>
        <v>124.95</v>
      </c>
      <c r="I21" s="48">
        <f t="shared" si="3"/>
        <v>374.85</v>
      </c>
      <c r="K21" s="38" t="s">
        <v>251</v>
      </c>
      <c r="L21" s="39">
        <v>0</v>
      </c>
    </row>
    <row r="22" spans="1:12" ht="15" customHeight="1">
      <c r="A22" s="45" t="s">
        <v>36</v>
      </c>
      <c r="B22" s="46" t="s">
        <v>37</v>
      </c>
      <c r="C22" s="47" t="s">
        <v>2</v>
      </c>
      <c r="D22" s="48">
        <f>L9</f>
        <v>2</v>
      </c>
      <c r="E22" s="49">
        <v>240</v>
      </c>
      <c r="F22" s="50">
        <f t="shared" si="0"/>
        <v>36</v>
      </c>
      <c r="G22" s="50">
        <f t="shared" si="1"/>
        <v>12</v>
      </c>
      <c r="H22" s="50">
        <f t="shared" si="2"/>
        <v>214.2</v>
      </c>
      <c r="I22" s="48">
        <f t="shared" si="3"/>
        <v>428.4</v>
      </c>
      <c r="K22" s="38" t="s">
        <v>252</v>
      </c>
      <c r="L22" s="39">
        <v>10.3735</v>
      </c>
    </row>
    <row r="23" spans="1:12" ht="15" hidden="1" customHeight="1">
      <c r="A23" s="45" t="s">
        <v>38</v>
      </c>
      <c r="B23" s="46" t="s">
        <v>39</v>
      </c>
      <c r="C23" s="47" t="s">
        <v>2</v>
      </c>
      <c r="D23" s="48">
        <f>L10</f>
        <v>0</v>
      </c>
      <c r="E23" s="49">
        <v>310</v>
      </c>
      <c r="F23" s="50">
        <f t="shared" si="0"/>
        <v>46.5</v>
      </c>
      <c r="G23" s="50">
        <f t="shared" si="1"/>
        <v>15.5</v>
      </c>
      <c r="H23" s="50">
        <f t="shared" si="2"/>
        <v>276.67500000000001</v>
      </c>
      <c r="I23" s="48">
        <f t="shared" si="3"/>
        <v>0</v>
      </c>
      <c r="K23" s="38" t="s">
        <v>253</v>
      </c>
      <c r="L23" s="39">
        <v>15.325200000000001</v>
      </c>
    </row>
    <row r="24" spans="1:12" ht="15" customHeight="1">
      <c r="A24" s="45" t="s">
        <v>40</v>
      </c>
      <c r="B24" s="46" t="s">
        <v>254</v>
      </c>
      <c r="C24" s="47"/>
      <c r="D24" s="48"/>
      <c r="E24" s="49"/>
      <c r="F24" s="50"/>
      <c r="G24" s="50"/>
      <c r="H24" s="50"/>
      <c r="I24" s="48"/>
      <c r="K24" s="38" t="s">
        <v>255</v>
      </c>
      <c r="L24" s="39">
        <v>0</v>
      </c>
    </row>
    <row r="25" spans="1:12" ht="28.5" hidden="1" customHeight="1">
      <c r="A25" s="45" t="s">
        <v>41</v>
      </c>
      <c r="B25" s="46" t="s">
        <v>256</v>
      </c>
      <c r="C25" s="47" t="s">
        <v>28</v>
      </c>
      <c r="D25" s="48">
        <v>0</v>
      </c>
      <c r="E25" s="49">
        <v>2220</v>
      </c>
      <c r="F25" s="50">
        <f>IF(E25="","",E25*0.15)</f>
        <v>333</v>
      </c>
      <c r="G25" s="50">
        <f>IF(E25="","",E25*0.05)</f>
        <v>111</v>
      </c>
      <c r="H25" s="50">
        <f>IF(E25="","",E25*1.05*0.85)</f>
        <v>1981.35</v>
      </c>
      <c r="I25" s="48">
        <f>IF(D25="","",H25*D25)</f>
        <v>0</v>
      </c>
      <c r="K25" s="38" t="s">
        <v>257</v>
      </c>
      <c r="L25" s="39">
        <v>0</v>
      </c>
    </row>
    <row r="26" spans="1:12" ht="28.5" hidden="1" customHeight="1">
      <c r="A26" s="45" t="s">
        <v>221</v>
      </c>
      <c r="B26" s="46" t="s">
        <v>256</v>
      </c>
      <c r="C26" s="47" t="s">
        <v>28</v>
      </c>
      <c r="D26" s="48">
        <v>0</v>
      </c>
      <c r="E26" s="49">
        <v>2790</v>
      </c>
      <c r="F26" s="50">
        <f>IF(E26="","",E26*0.15)</f>
        <v>418.5</v>
      </c>
      <c r="G26" s="50">
        <f>IF(E26="","",E26*0.05)</f>
        <v>139.5</v>
      </c>
      <c r="H26" s="50">
        <f>IF(E26="","",E26*1.05*0.85)</f>
        <v>2490.0749999999998</v>
      </c>
      <c r="I26" s="48">
        <f>IF(D26="","",H26*D26)</f>
        <v>0</v>
      </c>
      <c r="K26" s="38" t="s">
        <v>258</v>
      </c>
      <c r="L26" s="39">
        <v>3</v>
      </c>
    </row>
    <row r="27" spans="1:12" ht="28.5" customHeight="1">
      <c r="A27" s="45" t="s">
        <v>43</v>
      </c>
      <c r="B27" s="46" t="s">
        <v>259</v>
      </c>
      <c r="C27" s="47" t="s">
        <v>28</v>
      </c>
      <c r="D27" s="48">
        <f>L34+L6</f>
        <v>3.9525000000000001</v>
      </c>
      <c r="E27" s="49">
        <v>2700</v>
      </c>
      <c r="F27" s="50">
        <f>IF(E27="","",E27*0.15)</f>
        <v>405</v>
      </c>
      <c r="G27" s="50">
        <f>IF(E27="","",E27*0.05)</f>
        <v>135</v>
      </c>
      <c r="H27" s="50">
        <f>IF(E27="","",E27*1.05*0.85)</f>
        <v>2409.75</v>
      </c>
      <c r="I27" s="48">
        <f>IF(D27="","",H27*D27)</f>
        <v>9524.5368749999998</v>
      </c>
      <c r="K27" s="38" t="s">
        <v>260</v>
      </c>
      <c r="L27" s="39">
        <v>2</v>
      </c>
    </row>
    <row r="28" spans="1:12" ht="15" hidden="1" customHeight="1">
      <c r="A28" s="45" t="s">
        <v>44</v>
      </c>
      <c r="B28" s="46" t="s">
        <v>45</v>
      </c>
      <c r="C28" s="47"/>
      <c r="D28" s="48"/>
      <c r="E28" s="49"/>
      <c r="F28" s="50"/>
      <c r="G28" s="50"/>
      <c r="H28" s="50"/>
      <c r="I28" s="48"/>
      <c r="K28" s="38" t="s">
        <v>261</v>
      </c>
      <c r="L28" s="39">
        <v>0</v>
      </c>
    </row>
    <row r="29" spans="1:12" ht="28.5" hidden="1" customHeight="1">
      <c r="A29" s="45" t="s">
        <v>46</v>
      </c>
      <c r="B29" s="46" t="s">
        <v>262</v>
      </c>
      <c r="C29" s="47" t="s">
        <v>2</v>
      </c>
      <c r="D29" s="48">
        <v>0</v>
      </c>
      <c r="E29" s="49">
        <v>1310</v>
      </c>
      <c r="F29" s="50">
        <f>IF(E29="","",E29*0.15)</f>
        <v>196.5</v>
      </c>
      <c r="G29" s="50">
        <f>IF(E29="","",E29*0.05)</f>
        <v>65.5</v>
      </c>
      <c r="H29" s="50">
        <f>IF(E29="","",E29*1.05*0.85)</f>
        <v>1169.175</v>
      </c>
      <c r="I29" s="48">
        <f>IF(D29="","",H29*D29)</f>
        <v>0</v>
      </c>
      <c r="K29" s="38" t="s">
        <v>263</v>
      </c>
      <c r="L29" s="39">
        <v>2</v>
      </c>
    </row>
    <row r="30" spans="1:12" ht="28.5" hidden="1" customHeight="1">
      <c r="A30" s="45" t="s">
        <v>47</v>
      </c>
      <c r="B30" s="46" t="s">
        <v>264</v>
      </c>
      <c r="C30" s="47" t="s">
        <v>2</v>
      </c>
      <c r="D30" s="48">
        <v>0</v>
      </c>
      <c r="E30" s="49">
        <v>2090</v>
      </c>
      <c r="F30" s="50">
        <f>IF(E30="","",E30*0.15)</f>
        <v>313.5</v>
      </c>
      <c r="G30" s="50">
        <f>IF(E30="","",E30*0.05)</f>
        <v>104.5</v>
      </c>
      <c r="H30" s="50">
        <f>IF(E30="","",E30*1.05*0.85)</f>
        <v>1865.325</v>
      </c>
      <c r="I30" s="48">
        <f>IF(D30="","",H30*D30)</f>
        <v>0</v>
      </c>
      <c r="K30" s="38" t="s">
        <v>265</v>
      </c>
      <c r="L30" s="39">
        <v>0</v>
      </c>
    </row>
    <row r="31" spans="1:12" ht="15" customHeight="1">
      <c r="A31" s="45" t="s">
        <v>48</v>
      </c>
      <c r="B31" s="46" t="s">
        <v>266</v>
      </c>
      <c r="C31" s="47"/>
      <c r="D31" s="48"/>
      <c r="E31" s="49"/>
      <c r="F31" s="50"/>
      <c r="G31" s="50"/>
      <c r="H31" s="50"/>
      <c r="I31" s="48"/>
      <c r="K31" s="38" t="s">
        <v>267</v>
      </c>
      <c r="L31" s="39">
        <v>3.387</v>
      </c>
    </row>
    <row r="32" spans="1:12" ht="28.5" hidden="1" customHeight="1">
      <c r="A32" s="45" t="s">
        <v>49</v>
      </c>
      <c r="B32" s="46" t="s">
        <v>268</v>
      </c>
      <c r="C32" s="47" t="s">
        <v>28</v>
      </c>
      <c r="D32" s="48">
        <v>0</v>
      </c>
      <c r="E32" s="49">
        <v>1760</v>
      </c>
      <c r="F32" s="50">
        <f>IF(E32="","",E32*0.15)</f>
        <v>264</v>
      </c>
      <c r="G32" s="50">
        <f>IF(E32="","",E32*0.05)</f>
        <v>88</v>
      </c>
      <c r="H32" s="50">
        <f>IF(E32="","",E32*1.05*0.85)</f>
        <v>1570.8</v>
      </c>
      <c r="I32" s="48">
        <f>IF(D32="","",H32*D32)</f>
        <v>0</v>
      </c>
      <c r="K32" s="38" t="s">
        <v>269</v>
      </c>
      <c r="L32" s="39">
        <v>0</v>
      </c>
    </row>
    <row r="33" spans="1:12" ht="28.5" customHeight="1">
      <c r="A33" s="45" t="s">
        <v>50</v>
      </c>
      <c r="B33" s="46" t="s">
        <v>270</v>
      </c>
      <c r="C33" s="47" t="s">
        <v>28</v>
      </c>
      <c r="D33" s="48">
        <f>L5</f>
        <v>13.543200000000001</v>
      </c>
      <c r="E33" s="49">
        <v>1850</v>
      </c>
      <c r="F33" s="50">
        <f>IF(E33="","",E33*0.15)</f>
        <v>277.5</v>
      </c>
      <c r="G33" s="50">
        <f>IF(E33="","",E33*0.05)</f>
        <v>92.5</v>
      </c>
      <c r="H33" s="50">
        <f>IF(E33="","",E33*1.05*0.85)</f>
        <v>1651.125</v>
      </c>
      <c r="I33" s="48">
        <f>IF(D33="","",H33*D33)</f>
        <v>22361.516100000001</v>
      </c>
      <c r="K33" s="38" t="s">
        <v>271</v>
      </c>
      <c r="L33" s="39">
        <v>4.8159999999999998</v>
      </c>
    </row>
    <row r="34" spans="1:12" ht="28.5" hidden="1" customHeight="1">
      <c r="A34" s="45" t="s">
        <v>52</v>
      </c>
      <c r="B34" s="46" t="s">
        <v>272</v>
      </c>
      <c r="C34" s="47" t="s">
        <v>28</v>
      </c>
      <c r="D34" s="48">
        <v>0</v>
      </c>
      <c r="E34" s="49">
        <v>1680</v>
      </c>
      <c r="F34" s="50">
        <f>IF(E34="","",E34*0.15)</f>
        <v>252</v>
      </c>
      <c r="G34" s="50">
        <f>IF(E34="","",E34*0.05)</f>
        <v>84</v>
      </c>
      <c r="H34" s="50">
        <f>IF(E34="","",E34*1.05*0.85)</f>
        <v>1499.3999999999999</v>
      </c>
      <c r="I34" s="48">
        <f>IF(D34="","",H34*D34)</f>
        <v>0</v>
      </c>
      <c r="K34" s="38" t="s">
        <v>273</v>
      </c>
      <c r="L34" s="39">
        <v>0</v>
      </c>
    </row>
    <row r="35" spans="1:12" ht="15" hidden="1" customHeight="1">
      <c r="A35" s="45" t="s">
        <v>53</v>
      </c>
      <c r="B35" s="46" t="s">
        <v>54</v>
      </c>
      <c r="C35" s="47"/>
      <c r="D35" s="48"/>
      <c r="E35" s="49"/>
      <c r="F35" s="50"/>
      <c r="G35" s="50"/>
      <c r="H35" s="50"/>
      <c r="I35" s="48"/>
      <c r="K35" s="38" t="s">
        <v>274</v>
      </c>
      <c r="L35" s="39">
        <v>0</v>
      </c>
    </row>
    <row r="36" spans="1:12" ht="28.5" hidden="1" customHeight="1">
      <c r="A36" s="45" t="s">
        <v>178</v>
      </c>
      <c r="B36" s="46" t="s">
        <v>275</v>
      </c>
      <c r="C36" s="47" t="s">
        <v>28</v>
      </c>
      <c r="D36" s="48">
        <f>L38</f>
        <v>0</v>
      </c>
      <c r="E36" s="49">
        <v>2850</v>
      </c>
      <c r="F36" s="50">
        <f>IF(E36="","",E36*0.15)</f>
        <v>427.5</v>
      </c>
      <c r="G36" s="50">
        <f>IF(E36="","",E36*0.05)</f>
        <v>142.5</v>
      </c>
      <c r="H36" s="50">
        <f>IF(E36="","",E36*1.05*0.85)</f>
        <v>2543.625</v>
      </c>
      <c r="I36" s="48">
        <f>IF(D36="","",H36*D36)</f>
        <v>0</v>
      </c>
      <c r="K36" s="38" t="s">
        <v>276</v>
      </c>
      <c r="L36" s="39">
        <v>0</v>
      </c>
    </row>
    <row r="37" spans="1:12" ht="28.5" hidden="1" customHeight="1">
      <c r="A37" s="45" t="s">
        <v>55</v>
      </c>
      <c r="B37" s="46" t="s">
        <v>277</v>
      </c>
      <c r="C37" s="47" t="s">
        <v>28</v>
      </c>
      <c r="D37" s="48">
        <v>0</v>
      </c>
      <c r="E37" s="49">
        <v>2300</v>
      </c>
      <c r="F37" s="50">
        <f>IF(E37="","",E37*0.15)</f>
        <v>345</v>
      </c>
      <c r="G37" s="50">
        <f>IF(E37="","",E37*0.05)</f>
        <v>115</v>
      </c>
      <c r="H37" s="50">
        <f>IF(E37="","",E37*1.05*0.85)</f>
        <v>2052.75</v>
      </c>
      <c r="I37" s="48">
        <f>IF(D37="","",H37*D37)</f>
        <v>0</v>
      </c>
      <c r="K37" s="38" t="s">
        <v>278</v>
      </c>
      <c r="L37" s="39">
        <v>0</v>
      </c>
    </row>
    <row r="38" spans="1:12" ht="28.5" hidden="1" customHeight="1">
      <c r="A38" s="45" t="s">
        <v>56</v>
      </c>
      <c r="B38" s="46" t="s">
        <v>279</v>
      </c>
      <c r="C38" s="47" t="s">
        <v>28</v>
      </c>
      <c r="D38" s="48">
        <v>0</v>
      </c>
      <c r="E38" s="49">
        <v>3250</v>
      </c>
      <c r="F38" s="50">
        <f>IF(E38="","",E38*0.15)</f>
        <v>487.5</v>
      </c>
      <c r="G38" s="50">
        <f>IF(E38="","",E38*0.05)</f>
        <v>162.5</v>
      </c>
      <c r="H38" s="50">
        <f>IF(E38="","",E38*1.05*0.85)</f>
        <v>2900.625</v>
      </c>
      <c r="I38" s="48">
        <f>IF(D38="","",H38*D38)</f>
        <v>0</v>
      </c>
      <c r="K38" s="38" t="s">
        <v>280</v>
      </c>
      <c r="L38" s="39">
        <v>0</v>
      </c>
    </row>
    <row r="39" spans="1:12" ht="15" customHeight="1">
      <c r="A39" s="45" t="s">
        <v>57</v>
      </c>
      <c r="B39" s="46" t="s">
        <v>58</v>
      </c>
      <c r="C39" s="47"/>
      <c r="D39" s="48"/>
      <c r="E39" s="49"/>
      <c r="F39" s="50"/>
      <c r="G39" s="50"/>
      <c r="H39" s="50"/>
      <c r="I39" s="48"/>
    </row>
    <row r="40" spans="1:12" ht="15" customHeight="1">
      <c r="A40" s="45" t="s">
        <v>59</v>
      </c>
      <c r="B40" s="46" t="s">
        <v>60</v>
      </c>
      <c r="C40" s="47" t="s">
        <v>28</v>
      </c>
      <c r="D40" s="48">
        <f>D32+D33+D34+D36+D37+D38</f>
        <v>13.543200000000001</v>
      </c>
      <c r="E40" s="49">
        <v>88</v>
      </c>
      <c r="F40" s="50">
        <f>IF(E40="","",E40*0.15)</f>
        <v>13.2</v>
      </c>
      <c r="G40" s="50">
        <f>IF(E40="","",E40*0.05)</f>
        <v>4.4000000000000004</v>
      </c>
      <c r="H40" s="50">
        <f>IF(E40="","",E40*1.05*0.85)</f>
        <v>78.540000000000006</v>
      </c>
      <c r="I40" s="48">
        <f>IF(D40="","",H40*D40)</f>
        <v>1063.6829280000002</v>
      </c>
    </row>
    <row r="41" spans="1:12" ht="15" customHeight="1">
      <c r="A41" s="45" t="s">
        <v>61</v>
      </c>
      <c r="B41" s="46" t="s">
        <v>281</v>
      </c>
      <c r="C41" s="47"/>
      <c r="D41" s="48"/>
      <c r="E41" s="49"/>
      <c r="F41" s="50"/>
      <c r="G41" s="50"/>
      <c r="H41" s="50"/>
      <c r="I41" s="48"/>
    </row>
    <row r="42" spans="1:12" ht="28.5" hidden="1" customHeight="1">
      <c r="A42" s="45" t="s">
        <v>62</v>
      </c>
      <c r="B42" s="46" t="s">
        <v>282</v>
      </c>
      <c r="C42" s="47" t="s">
        <v>28</v>
      </c>
      <c r="D42" s="48">
        <f>L36</f>
        <v>0</v>
      </c>
      <c r="E42" s="49">
        <v>717</v>
      </c>
      <c r="F42" s="50">
        <f t="shared" ref="F42:F61" si="4">IF(E42="","",E42*0.15)</f>
        <v>107.55</v>
      </c>
      <c r="G42" s="50">
        <f t="shared" ref="G42:G61" si="5">IF(E42="","",E42*0.05)</f>
        <v>35.85</v>
      </c>
      <c r="H42" s="50">
        <f t="shared" ref="H42:H61" si="6">IF(E42="","",E42*1.05*0.85)</f>
        <v>639.92250000000001</v>
      </c>
      <c r="I42" s="48">
        <f t="shared" ref="I42:I61" si="7">IF(D42="","",H42*D42)</f>
        <v>0</v>
      </c>
    </row>
    <row r="43" spans="1:12" ht="28.5" hidden="1" customHeight="1">
      <c r="A43" s="45" t="s">
        <v>63</v>
      </c>
      <c r="B43" s="46" t="s">
        <v>283</v>
      </c>
      <c r="C43" s="47" t="s">
        <v>28</v>
      </c>
      <c r="D43" s="48">
        <f>L37</f>
        <v>0</v>
      </c>
      <c r="E43" s="49">
        <v>582</v>
      </c>
      <c r="F43" s="50">
        <f t="shared" si="4"/>
        <v>87.3</v>
      </c>
      <c r="G43" s="50">
        <f t="shared" si="5"/>
        <v>29.1</v>
      </c>
      <c r="H43" s="50">
        <f t="shared" si="6"/>
        <v>519.43500000000006</v>
      </c>
      <c r="I43" s="48">
        <f t="shared" si="7"/>
        <v>0</v>
      </c>
    </row>
    <row r="44" spans="1:12" ht="27.75" customHeight="1">
      <c r="A44" s="45" t="s">
        <v>226</v>
      </c>
      <c r="B44" s="46" t="s">
        <v>284</v>
      </c>
      <c r="C44" s="47" t="s">
        <v>28</v>
      </c>
      <c r="D44" s="48">
        <f t="shared" ref="D44:D51" si="8">L22</f>
        <v>10.3735</v>
      </c>
      <c r="E44" s="49">
        <v>800</v>
      </c>
      <c r="F44" s="50">
        <f t="shared" si="4"/>
        <v>120</v>
      </c>
      <c r="G44" s="50">
        <f t="shared" si="5"/>
        <v>40</v>
      </c>
      <c r="H44" s="50">
        <f t="shared" si="6"/>
        <v>714</v>
      </c>
      <c r="I44" s="48">
        <f t="shared" si="7"/>
        <v>7406.6790000000001</v>
      </c>
    </row>
    <row r="45" spans="1:12" ht="28.5" customHeight="1">
      <c r="A45" s="45" t="s">
        <v>180</v>
      </c>
      <c r="B45" s="46" t="s">
        <v>285</v>
      </c>
      <c r="C45" s="47" t="s">
        <v>28</v>
      </c>
      <c r="D45" s="48">
        <f t="shared" si="8"/>
        <v>15.325200000000001</v>
      </c>
      <c r="E45" s="49">
        <v>1440</v>
      </c>
      <c r="F45" s="50">
        <f t="shared" si="4"/>
        <v>216</v>
      </c>
      <c r="G45" s="50">
        <f t="shared" si="5"/>
        <v>72</v>
      </c>
      <c r="H45" s="50">
        <f t="shared" si="6"/>
        <v>1285.2</v>
      </c>
      <c r="I45" s="48">
        <f t="shared" si="7"/>
        <v>19695.947040000003</v>
      </c>
    </row>
    <row r="46" spans="1:12" ht="15" hidden="1" customHeight="1">
      <c r="A46" s="45" t="s">
        <v>65</v>
      </c>
      <c r="B46" s="46" t="s">
        <v>286</v>
      </c>
      <c r="C46" s="47" t="s">
        <v>2</v>
      </c>
      <c r="D46" s="48">
        <f t="shared" si="8"/>
        <v>0</v>
      </c>
      <c r="E46" s="49">
        <v>620</v>
      </c>
      <c r="F46" s="50">
        <f t="shared" si="4"/>
        <v>93</v>
      </c>
      <c r="G46" s="50">
        <f t="shared" si="5"/>
        <v>31</v>
      </c>
      <c r="H46" s="50">
        <f t="shared" si="6"/>
        <v>553.35</v>
      </c>
      <c r="I46" s="48">
        <f t="shared" si="7"/>
        <v>0</v>
      </c>
    </row>
    <row r="47" spans="1:12" ht="15" hidden="1" customHeight="1">
      <c r="A47" s="45" t="s">
        <v>67</v>
      </c>
      <c r="B47" s="46" t="s">
        <v>287</v>
      </c>
      <c r="C47" s="47" t="s">
        <v>2</v>
      </c>
      <c r="D47" s="48">
        <f t="shared" si="8"/>
        <v>0</v>
      </c>
      <c r="E47" s="49">
        <v>750</v>
      </c>
      <c r="F47" s="50">
        <f t="shared" si="4"/>
        <v>112.5</v>
      </c>
      <c r="G47" s="50">
        <f t="shared" si="5"/>
        <v>37.5</v>
      </c>
      <c r="H47" s="50">
        <f t="shared" si="6"/>
        <v>669.375</v>
      </c>
      <c r="I47" s="48">
        <f t="shared" si="7"/>
        <v>0</v>
      </c>
    </row>
    <row r="48" spans="1:12" ht="15" customHeight="1">
      <c r="A48" s="45" t="s">
        <v>69</v>
      </c>
      <c r="B48" s="46" t="s">
        <v>288</v>
      </c>
      <c r="C48" s="47" t="s">
        <v>2</v>
      </c>
      <c r="D48" s="48">
        <f t="shared" si="8"/>
        <v>3</v>
      </c>
      <c r="E48" s="49">
        <v>1020</v>
      </c>
      <c r="F48" s="50">
        <f t="shared" si="4"/>
        <v>153</v>
      </c>
      <c r="G48" s="50">
        <f t="shared" si="5"/>
        <v>51</v>
      </c>
      <c r="H48" s="50">
        <f t="shared" si="6"/>
        <v>910.35</v>
      </c>
      <c r="I48" s="48">
        <f t="shared" si="7"/>
        <v>2731.05</v>
      </c>
    </row>
    <row r="49" spans="1:9" ht="15" customHeight="1">
      <c r="A49" s="45" t="s">
        <v>71</v>
      </c>
      <c r="B49" s="46" t="s">
        <v>289</v>
      </c>
      <c r="C49" s="47" t="s">
        <v>2</v>
      </c>
      <c r="D49" s="48">
        <f t="shared" si="8"/>
        <v>2</v>
      </c>
      <c r="E49" s="49">
        <v>1370</v>
      </c>
      <c r="F49" s="50">
        <f t="shared" si="4"/>
        <v>205.5</v>
      </c>
      <c r="G49" s="50">
        <f t="shared" si="5"/>
        <v>68.5</v>
      </c>
      <c r="H49" s="50">
        <f t="shared" si="6"/>
        <v>1222.7249999999999</v>
      </c>
      <c r="I49" s="48">
        <f t="shared" si="7"/>
        <v>2445.4499999999998</v>
      </c>
    </row>
    <row r="50" spans="1:9" ht="15" hidden="1" customHeight="1">
      <c r="A50" s="45" t="s">
        <v>73</v>
      </c>
      <c r="B50" s="46" t="s">
        <v>290</v>
      </c>
      <c r="C50" s="47" t="s">
        <v>2</v>
      </c>
      <c r="D50" s="48">
        <f t="shared" si="8"/>
        <v>0</v>
      </c>
      <c r="E50" s="49">
        <v>1650</v>
      </c>
      <c r="F50" s="50">
        <f t="shared" si="4"/>
        <v>247.5</v>
      </c>
      <c r="G50" s="50">
        <f t="shared" si="5"/>
        <v>82.5</v>
      </c>
      <c r="H50" s="50">
        <f t="shared" si="6"/>
        <v>1472.625</v>
      </c>
      <c r="I50" s="48">
        <f t="shared" si="7"/>
        <v>0</v>
      </c>
    </row>
    <row r="51" spans="1:9" ht="15" customHeight="1">
      <c r="A51" s="45" t="s">
        <v>75</v>
      </c>
      <c r="B51" s="46" t="s">
        <v>291</v>
      </c>
      <c r="C51" s="47" t="s">
        <v>2</v>
      </c>
      <c r="D51" s="48">
        <f t="shared" si="8"/>
        <v>2</v>
      </c>
      <c r="E51" s="49">
        <v>1820</v>
      </c>
      <c r="F51" s="50">
        <f t="shared" si="4"/>
        <v>273</v>
      </c>
      <c r="G51" s="50">
        <f t="shared" si="5"/>
        <v>91</v>
      </c>
      <c r="H51" s="50">
        <f t="shared" si="6"/>
        <v>1624.35</v>
      </c>
      <c r="I51" s="48">
        <f t="shared" si="7"/>
        <v>3248.7</v>
      </c>
    </row>
    <row r="52" spans="1:9" ht="15" hidden="1" customHeight="1">
      <c r="A52" s="45" t="s">
        <v>77</v>
      </c>
      <c r="B52" s="46" t="s">
        <v>78</v>
      </c>
      <c r="C52" s="47" t="s">
        <v>2</v>
      </c>
      <c r="D52" s="48">
        <v>0</v>
      </c>
      <c r="E52" s="49">
        <v>130</v>
      </c>
      <c r="F52" s="50">
        <f t="shared" si="4"/>
        <v>19.5</v>
      </c>
      <c r="G52" s="50">
        <f t="shared" si="5"/>
        <v>6.5</v>
      </c>
      <c r="H52" s="50">
        <f t="shared" si="6"/>
        <v>116.02499999999999</v>
      </c>
      <c r="I52" s="48">
        <f t="shared" si="7"/>
        <v>0</v>
      </c>
    </row>
    <row r="53" spans="1:9" ht="15" customHeight="1">
      <c r="A53" s="45" t="s">
        <v>169</v>
      </c>
      <c r="B53" s="46" t="s">
        <v>181</v>
      </c>
      <c r="C53" s="47" t="s">
        <v>28</v>
      </c>
      <c r="D53" s="48">
        <f>D42+D43+D44+D45</f>
        <v>25.698700000000002</v>
      </c>
      <c r="E53" s="49">
        <v>60</v>
      </c>
      <c r="F53" s="50">
        <f t="shared" si="4"/>
        <v>9</v>
      </c>
      <c r="G53" s="50">
        <f t="shared" si="5"/>
        <v>3</v>
      </c>
      <c r="H53" s="50">
        <f t="shared" si="6"/>
        <v>53.55</v>
      </c>
      <c r="I53" s="48">
        <f t="shared" si="7"/>
        <v>1376.165385</v>
      </c>
    </row>
    <row r="54" spans="1:9" ht="15" customHeight="1">
      <c r="A54" s="45" t="s">
        <v>79</v>
      </c>
      <c r="B54" s="46" t="s">
        <v>80</v>
      </c>
      <c r="C54" s="47" t="s">
        <v>2</v>
      </c>
      <c r="D54" s="48">
        <f t="shared" ref="D54:D61" si="9">L11</f>
        <v>3</v>
      </c>
      <c r="E54" s="49">
        <v>109</v>
      </c>
      <c r="F54" s="50">
        <f t="shared" si="4"/>
        <v>16.349999999999998</v>
      </c>
      <c r="G54" s="50">
        <f t="shared" si="5"/>
        <v>5.45</v>
      </c>
      <c r="H54" s="50">
        <f t="shared" si="6"/>
        <v>97.282499999999999</v>
      </c>
      <c r="I54" s="48">
        <f t="shared" si="7"/>
        <v>291.84749999999997</v>
      </c>
    </row>
    <row r="55" spans="1:9" ht="15" customHeight="1">
      <c r="A55" s="45" t="s">
        <v>81</v>
      </c>
      <c r="B55" s="46" t="s">
        <v>82</v>
      </c>
      <c r="C55" s="47" t="s">
        <v>2</v>
      </c>
      <c r="D55" s="48">
        <f t="shared" si="9"/>
        <v>2</v>
      </c>
      <c r="E55" s="49">
        <v>121</v>
      </c>
      <c r="F55" s="50">
        <f t="shared" si="4"/>
        <v>18.149999999999999</v>
      </c>
      <c r="G55" s="50">
        <f t="shared" si="5"/>
        <v>6.0500000000000007</v>
      </c>
      <c r="H55" s="50">
        <f t="shared" si="6"/>
        <v>107.99250000000001</v>
      </c>
      <c r="I55" s="48">
        <f t="shared" si="7"/>
        <v>215.98500000000001</v>
      </c>
    </row>
    <row r="56" spans="1:9" ht="14.25" hidden="1" customHeight="1">
      <c r="A56" s="45" t="s">
        <v>213</v>
      </c>
      <c r="B56" s="46" t="s">
        <v>192</v>
      </c>
      <c r="C56" s="47" t="s">
        <v>2</v>
      </c>
      <c r="D56" s="48">
        <f t="shared" si="9"/>
        <v>0</v>
      </c>
      <c r="E56" s="49">
        <v>133</v>
      </c>
      <c r="F56" s="50">
        <f t="shared" si="4"/>
        <v>19.95</v>
      </c>
      <c r="G56" s="50">
        <f t="shared" si="5"/>
        <v>6.65</v>
      </c>
      <c r="H56" s="50">
        <f t="shared" si="6"/>
        <v>118.7025</v>
      </c>
      <c r="I56" s="48">
        <f t="shared" si="7"/>
        <v>0</v>
      </c>
    </row>
    <row r="57" spans="1:9" ht="14.25" customHeight="1">
      <c r="A57" s="45" t="s">
        <v>214</v>
      </c>
      <c r="B57" s="46" t="s">
        <v>193</v>
      </c>
      <c r="C57" s="47" t="s">
        <v>2</v>
      </c>
      <c r="D57" s="48">
        <f t="shared" si="9"/>
        <v>1</v>
      </c>
      <c r="E57" s="49">
        <v>145</v>
      </c>
      <c r="F57" s="50">
        <f t="shared" si="4"/>
        <v>21.75</v>
      </c>
      <c r="G57" s="50">
        <f t="shared" si="5"/>
        <v>7.25</v>
      </c>
      <c r="H57" s="50">
        <f t="shared" si="6"/>
        <v>129.41249999999999</v>
      </c>
      <c r="I57" s="48">
        <f t="shared" si="7"/>
        <v>129.41249999999999</v>
      </c>
    </row>
    <row r="58" spans="1:9" ht="14.25" hidden="1" customHeight="1">
      <c r="A58" s="45" t="s">
        <v>215</v>
      </c>
      <c r="B58" s="46" t="s">
        <v>194</v>
      </c>
      <c r="C58" s="47" t="s">
        <v>2</v>
      </c>
      <c r="D58" s="48">
        <f t="shared" si="9"/>
        <v>0</v>
      </c>
      <c r="E58" s="49">
        <v>157</v>
      </c>
      <c r="F58" s="50">
        <f t="shared" si="4"/>
        <v>23.55</v>
      </c>
      <c r="G58" s="50">
        <f t="shared" si="5"/>
        <v>7.8500000000000005</v>
      </c>
      <c r="H58" s="50">
        <f t="shared" si="6"/>
        <v>140.1225</v>
      </c>
      <c r="I58" s="48">
        <f t="shared" si="7"/>
        <v>0</v>
      </c>
    </row>
    <row r="59" spans="1:9" ht="14.25" hidden="1" customHeight="1">
      <c r="A59" s="45" t="s">
        <v>216</v>
      </c>
      <c r="B59" s="46" t="s">
        <v>195</v>
      </c>
      <c r="C59" s="47" t="s">
        <v>2</v>
      </c>
      <c r="D59" s="48">
        <f t="shared" si="9"/>
        <v>0</v>
      </c>
      <c r="E59" s="49">
        <v>169</v>
      </c>
      <c r="F59" s="50">
        <f t="shared" si="4"/>
        <v>25.349999999999998</v>
      </c>
      <c r="G59" s="50">
        <f t="shared" si="5"/>
        <v>8.4500000000000011</v>
      </c>
      <c r="H59" s="50">
        <f t="shared" si="6"/>
        <v>150.83250000000001</v>
      </c>
      <c r="I59" s="48">
        <f t="shared" si="7"/>
        <v>0</v>
      </c>
    </row>
    <row r="60" spans="1:9" ht="14.25" customHeight="1">
      <c r="A60" s="45" t="s">
        <v>217</v>
      </c>
      <c r="B60" s="46" t="s">
        <v>196</v>
      </c>
      <c r="C60" s="47" t="s">
        <v>2</v>
      </c>
      <c r="D60" s="48">
        <f t="shared" si="9"/>
        <v>1</v>
      </c>
      <c r="E60" s="49">
        <v>181</v>
      </c>
      <c r="F60" s="50">
        <f t="shared" si="4"/>
        <v>27.15</v>
      </c>
      <c r="G60" s="50">
        <f t="shared" si="5"/>
        <v>9.0500000000000007</v>
      </c>
      <c r="H60" s="50">
        <f t="shared" si="6"/>
        <v>161.54250000000002</v>
      </c>
      <c r="I60" s="48">
        <f t="shared" si="7"/>
        <v>161.54250000000002</v>
      </c>
    </row>
    <row r="61" spans="1:9" ht="14.25" hidden="1" customHeight="1">
      <c r="A61" s="45" t="s">
        <v>218</v>
      </c>
      <c r="B61" s="46" t="s">
        <v>197</v>
      </c>
      <c r="C61" s="47" t="s">
        <v>2</v>
      </c>
      <c r="D61" s="48">
        <f t="shared" si="9"/>
        <v>0</v>
      </c>
      <c r="E61" s="49">
        <v>193</v>
      </c>
      <c r="F61" s="50">
        <f t="shared" si="4"/>
        <v>28.95</v>
      </c>
      <c r="G61" s="50">
        <f t="shared" si="5"/>
        <v>9.65</v>
      </c>
      <c r="H61" s="50">
        <f t="shared" si="6"/>
        <v>172.2525</v>
      </c>
      <c r="I61" s="48">
        <f t="shared" si="7"/>
        <v>0</v>
      </c>
    </row>
    <row r="62" spans="1:9" ht="14.25" customHeight="1">
      <c r="A62" s="45" t="s">
        <v>83</v>
      </c>
      <c r="B62" s="46" t="s">
        <v>84</v>
      </c>
      <c r="C62" s="47"/>
      <c r="D62" s="48"/>
      <c r="E62" s="49"/>
      <c r="F62" s="50"/>
      <c r="G62" s="50"/>
      <c r="H62" s="50"/>
      <c r="I62" s="48"/>
    </row>
    <row r="63" spans="1:9" ht="15" customHeight="1">
      <c r="A63" s="45" t="s">
        <v>85</v>
      </c>
      <c r="B63" s="46" t="s">
        <v>292</v>
      </c>
      <c r="C63" s="47" t="s">
        <v>28</v>
      </c>
      <c r="D63" s="48">
        <f>L7</f>
        <v>2.4079999999999999</v>
      </c>
      <c r="E63" s="49">
        <v>53</v>
      </c>
      <c r="F63" s="50">
        <f>IF(E63="","",E63*0.15)</f>
        <v>7.9499999999999993</v>
      </c>
      <c r="G63" s="50">
        <f>IF(E63="","",E63*0.05)</f>
        <v>2.6500000000000004</v>
      </c>
      <c r="H63" s="50">
        <f>IF(E63="","",E63*1.05*0.85)</f>
        <v>47.302500000000002</v>
      </c>
      <c r="I63" s="48">
        <f>IF(D63="","",H63*D63)</f>
        <v>113.90442</v>
      </c>
    </row>
    <row r="64" spans="1:9" ht="42.75" hidden="1" customHeight="1">
      <c r="A64" s="45" t="s">
        <v>86</v>
      </c>
      <c r="B64" s="46" t="s">
        <v>293</v>
      </c>
      <c r="C64" s="47" t="s">
        <v>28</v>
      </c>
      <c r="D64" s="48">
        <v>0</v>
      </c>
      <c r="E64" s="49">
        <v>880</v>
      </c>
      <c r="F64" s="50">
        <f>IF(E64="","",E64*0.15)</f>
        <v>132</v>
      </c>
      <c r="G64" s="50">
        <f>IF(E64="","",E64*0.05)</f>
        <v>44</v>
      </c>
      <c r="H64" s="50">
        <f>IF(E64="","",E64*1.05*0.85)</f>
        <v>785.4</v>
      </c>
      <c r="I64" s="48">
        <f>IF(D64="","",H64*D64)</f>
        <v>0</v>
      </c>
    </row>
    <row r="65" spans="1:9" ht="42.75" customHeight="1">
      <c r="A65" s="45" t="s">
        <v>222</v>
      </c>
      <c r="B65" s="46" t="s">
        <v>294</v>
      </c>
      <c r="C65" s="47" t="s">
        <v>28</v>
      </c>
      <c r="D65" s="48">
        <f>D63</f>
        <v>2.4079999999999999</v>
      </c>
      <c r="E65" s="49">
        <v>650</v>
      </c>
      <c r="F65" s="50">
        <f>IF(E65="","",E65*0.15)</f>
        <v>97.5</v>
      </c>
      <c r="G65" s="50">
        <f>IF(E65="","",E65*0.05)</f>
        <v>32.5</v>
      </c>
      <c r="H65" s="50">
        <f>IF(E65="","",E65*1.05*0.85)</f>
        <v>580.125</v>
      </c>
      <c r="I65" s="48">
        <f>IF(D65="","",H65*D65)</f>
        <v>1396.941</v>
      </c>
    </row>
    <row r="66" spans="1:9" ht="15" customHeight="1">
      <c r="A66" s="45" t="s">
        <v>88</v>
      </c>
      <c r="B66" s="46" t="s">
        <v>295</v>
      </c>
      <c r="C66" s="47"/>
      <c r="D66" s="48"/>
      <c r="E66" s="49"/>
      <c r="F66" s="50"/>
      <c r="G66" s="50"/>
      <c r="H66" s="50"/>
      <c r="I66" s="48"/>
    </row>
    <row r="67" spans="1:9" ht="15" hidden="1" customHeight="1">
      <c r="A67" s="45" t="s">
        <v>89</v>
      </c>
      <c r="B67" s="46" t="s">
        <v>296</v>
      </c>
      <c r="C67" s="47" t="s">
        <v>28</v>
      </c>
      <c r="D67" s="48">
        <v>0</v>
      </c>
      <c r="E67" s="49">
        <v>265</v>
      </c>
      <c r="F67" s="50">
        <f t="shared" ref="F67:F72" si="10">IF(E67="","",E67*0.15)</f>
        <v>39.75</v>
      </c>
      <c r="G67" s="50">
        <f t="shared" ref="G67:G72" si="11">IF(E67="","",E67*0.05)</f>
        <v>13.25</v>
      </c>
      <c r="H67" s="50">
        <f t="shared" ref="H67:H72" si="12">IF(E67="","",E67*1.05*0.85)</f>
        <v>236.51249999999999</v>
      </c>
      <c r="I67" s="48">
        <f t="shared" ref="I67:I72" si="13">IF(D67="","",H67*D67)</f>
        <v>0</v>
      </c>
    </row>
    <row r="68" spans="1:9" ht="15" customHeight="1">
      <c r="A68" s="45" t="s">
        <v>90</v>
      </c>
      <c r="B68" s="46" t="s">
        <v>91</v>
      </c>
      <c r="C68" s="47" t="s">
        <v>28</v>
      </c>
      <c r="D68" s="48">
        <f>-D69-D70</f>
        <v>13.543200000000001</v>
      </c>
      <c r="E68" s="49">
        <v>375</v>
      </c>
      <c r="F68" s="50">
        <f t="shared" si="10"/>
        <v>56.25</v>
      </c>
      <c r="G68" s="50">
        <f t="shared" si="11"/>
        <v>18.75</v>
      </c>
      <c r="H68" s="50">
        <f t="shared" si="12"/>
        <v>334.6875</v>
      </c>
      <c r="I68" s="48">
        <f t="shared" si="13"/>
        <v>4532.7397500000006</v>
      </c>
    </row>
    <row r="69" spans="1:9" ht="15" hidden="1" customHeight="1">
      <c r="A69" s="45" t="s">
        <v>92</v>
      </c>
      <c r="B69" s="46" t="s">
        <v>297</v>
      </c>
      <c r="C69" s="47" t="s">
        <v>28</v>
      </c>
      <c r="D69" s="48">
        <f>-D19</f>
        <v>0</v>
      </c>
      <c r="E69" s="49">
        <v>317</v>
      </c>
      <c r="F69" s="50">
        <f t="shared" si="10"/>
        <v>47.55</v>
      </c>
      <c r="G69" s="50">
        <f t="shared" si="11"/>
        <v>15.850000000000001</v>
      </c>
      <c r="H69" s="50">
        <f t="shared" si="12"/>
        <v>282.92250000000001</v>
      </c>
      <c r="I69" s="48">
        <f t="shared" si="13"/>
        <v>0</v>
      </c>
    </row>
    <row r="70" spans="1:9" ht="15" customHeight="1">
      <c r="A70" s="45" t="s">
        <v>93</v>
      </c>
      <c r="B70" s="46" t="s">
        <v>94</v>
      </c>
      <c r="C70" s="47" t="s">
        <v>28</v>
      </c>
      <c r="D70" s="48">
        <f>-(D32+D33+D34+D36+D37+D38)</f>
        <v>-13.543200000000001</v>
      </c>
      <c r="E70" s="49">
        <v>172</v>
      </c>
      <c r="F70" s="50">
        <f t="shared" si="10"/>
        <v>25.8</v>
      </c>
      <c r="G70" s="50">
        <f t="shared" si="11"/>
        <v>8.6</v>
      </c>
      <c r="H70" s="50">
        <f t="shared" si="12"/>
        <v>153.51</v>
      </c>
      <c r="I70" s="48">
        <f t="shared" si="13"/>
        <v>-2079.0166319999998</v>
      </c>
    </row>
    <row r="71" spans="1:9" ht="15" hidden="1" customHeight="1">
      <c r="A71" s="45" t="s">
        <v>95</v>
      </c>
      <c r="B71" s="46" t="s">
        <v>96</v>
      </c>
      <c r="C71" s="47" t="s">
        <v>28</v>
      </c>
      <c r="D71" s="48">
        <v>0</v>
      </c>
      <c r="E71" s="49">
        <v>94</v>
      </c>
      <c r="F71" s="50">
        <f t="shared" si="10"/>
        <v>14.1</v>
      </c>
      <c r="G71" s="50">
        <f t="shared" si="11"/>
        <v>4.7</v>
      </c>
      <c r="H71" s="50">
        <f t="shared" si="12"/>
        <v>83.894999999999996</v>
      </c>
      <c r="I71" s="48">
        <f t="shared" si="13"/>
        <v>0</v>
      </c>
    </row>
    <row r="72" spans="1:9" ht="15" hidden="1" customHeight="1">
      <c r="A72" s="45" t="s">
        <v>97</v>
      </c>
      <c r="B72" s="46" t="s">
        <v>98</v>
      </c>
      <c r="C72" s="47" t="s">
        <v>28</v>
      </c>
      <c r="D72" s="48">
        <v>0</v>
      </c>
      <c r="E72" s="49">
        <v>157</v>
      </c>
      <c r="F72" s="50">
        <f t="shared" si="10"/>
        <v>23.55</v>
      </c>
      <c r="G72" s="50">
        <f t="shared" si="11"/>
        <v>7.8500000000000005</v>
      </c>
      <c r="H72" s="50">
        <f t="shared" si="12"/>
        <v>140.1225</v>
      </c>
      <c r="I72" s="48">
        <f t="shared" si="13"/>
        <v>0</v>
      </c>
    </row>
    <row r="73" spans="1:9" ht="15" hidden="1" customHeight="1">
      <c r="A73" s="45" t="s">
        <v>99</v>
      </c>
      <c r="B73" s="46" t="s">
        <v>100</v>
      </c>
      <c r="C73" s="47"/>
      <c r="D73" s="48"/>
      <c r="E73" s="49"/>
      <c r="F73" s="50"/>
      <c r="G73" s="50"/>
      <c r="H73" s="50"/>
      <c r="I73" s="48"/>
    </row>
    <row r="74" spans="1:9" ht="15" hidden="1" customHeight="1">
      <c r="A74" s="45" t="s">
        <v>101</v>
      </c>
      <c r="B74" s="46" t="s">
        <v>102</v>
      </c>
      <c r="C74" s="47"/>
      <c r="D74" s="48"/>
      <c r="E74" s="49"/>
      <c r="F74" s="50"/>
      <c r="G74" s="50"/>
      <c r="H74" s="50"/>
      <c r="I74" s="48"/>
    </row>
    <row r="75" spans="1:9" ht="28.5" hidden="1" customHeight="1">
      <c r="A75" s="45" t="s">
        <v>103</v>
      </c>
      <c r="B75" s="46" t="s">
        <v>298</v>
      </c>
      <c r="C75" s="47" t="s">
        <v>22</v>
      </c>
      <c r="D75" s="48">
        <v>0</v>
      </c>
      <c r="E75" s="49">
        <v>3500</v>
      </c>
      <c r="F75" s="50">
        <f>IF(E75="","",E75*0.15)</f>
        <v>525</v>
      </c>
      <c r="G75" s="50">
        <f>IF(E75="","",E75*0.05)</f>
        <v>175</v>
      </c>
      <c r="H75" s="50">
        <f>IF(E75="","",E75*1.05*0.85)</f>
        <v>3123.75</v>
      </c>
      <c r="I75" s="48">
        <f>IF(D75="","",H75*D75)</f>
        <v>0</v>
      </c>
    </row>
    <row r="76" spans="1:9" ht="42.75" hidden="1" customHeight="1">
      <c r="A76" s="45" t="s">
        <v>104</v>
      </c>
      <c r="B76" s="46" t="s">
        <v>299</v>
      </c>
      <c r="C76" s="47" t="s">
        <v>15</v>
      </c>
      <c r="D76" s="48">
        <v>0</v>
      </c>
      <c r="E76" s="49">
        <v>172</v>
      </c>
      <c r="F76" s="50">
        <f>IF(E76="","",E76*0.15)</f>
        <v>25.8</v>
      </c>
      <c r="G76" s="50">
        <f>IF(E76="","",E76*0.05)</f>
        <v>8.6</v>
      </c>
      <c r="H76" s="50">
        <f>IF(E76="","",E76*1.05*0.85)</f>
        <v>153.51</v>
      </c>
      <c r="I76" s="48">
        <f>IF(D76="","",H76*D76)</f>
        <v>0</v>
      </c>
    </row>
    <row r="77" spans="1:9" ht="15" customHeight="1">
      <c r="A77" s="45" t="s">
        <v>168</v>
      </c>
      <c r="B77" s="46" t="s">
        <v>300</v>
      </c>
      <c r="C77" s="47" t="s">
        <v>28</v>
      </c>
      <c r="D77" s="48">
        <f>D42+D43+D44+D45</f>
        <v>25.698700000000002</v>
      </c>
      <c r="E77" s="49">
        <v>48</v>
      </c>
      <c r="F77" s="50">
        <f>IF(E77="","",E77*0.15)</f>
        <v>7.1999999999999993</v>
      </c>
      <c r="G77" s="50">
        <f>IF(E77="","",E77*0.05)</f>
        <v>2.4000000000000004</v>
      </c>
      <c r="H77" s="50">
        <f>IF(E77="","",E77*1.05*0.85)</f>
        <v>42.84</v>
      </c>
      <c r="I77" s="48">
        <f>IF(D77="","",H77*D77)</f>
        <v>1100.9323080000001</v>
      </c>
    </row>
    <row r="78" spans="1:9" ht="14.4">
      <c r="A78" s="45" t="s">
        <v>105</v>
      </c>
      <c r="B78" s="46" t="s">
        <v>106</v>
      </c>
      <c r="C78" s="47"/>
      <c r="D78" s="48"/>
      <c r="E78" s="49"/>
      <c r="F78" s="50"/>
      <c r="G78" s="50"/>
      <c r="H78" s="50"/>
      <c r="I78" s="48"/>
    </row>
    <row r="79" spans="1:9" ht="14.4">
      <c r="A79" s="45" t="s">
        <v>107</v>
      </c>
      <c r="B79" s="46" t="s">
        <v>301</v>
      </c>
      <c r="C79" s="47"/>
      <c r="D79" s="48"/>
      <c r="E79" s="49"/>
      <c r="F79" s="50"/>
      <c r="G79" s="50"/>
      <c r="H79" s="50"/>
      <c r="I79" s="48"/>
    </row>
    <row r="80" spans="1:9" ht="14.4">
      <c r="A80" s="45" t="s">
        <v>223</v>
      </c>
      <c r="B80" s="46" t="s">
        <v>224</v>
      </c>
      <c r="C80" s="47" t="s">
        <v>108</v>
      </c>
      <c r="D80" s="48">
        <v>3</v>
      </c>
      <c r="E80" s="49">
        <v>130</v>
      </c>
      <c r="F80" s="50">
        <f>IF(E80="","",E80*0.15)</f>
        <v>19.5</v>
      </c>
      <c r="G80" s="50">
        <f>IF(E80="","",E80*0.05)</f>
        <v>6.5</v>
      </c>
      <c r="H80" s="50">
        <f>IF(E80="","",E80*1.05*0.85)</f>
        <v>116.02499999999999</v>
      </c>
      <c r="I80" s="48">
        <f>IF(D80="","",H80*D80)</f>
        <v>348.07499999999999</v>
      </c>
    </row>
    <row r="81" spans="1:9" ht="14.4">
      <c r="A81" s="45" t="s">
        <v>174</v>
      </c>
      <c r="B81" s="46" t="s">
        <v>175</v>
      </c>
      <c r="C81" s="47" t="s">
        <v>108</v>
      </c>
      <c r="D81" s="48">
        <f>D51*2+D46+D47+D48+D49+D50+L30</f>
        <v>9</v>
      </c>
      <c r="E81" s="49">
        <v>145</v>
      </c>
      <c r="F81" s="50">
        <f>IF(E81="","",E81*0.15)</f>
        <v>21.75</v>
      </c>
      <c r="G81" s="50">
        <f>IF(E81="","",E81*0.05)</f>
        <v>7.25</v>
      </c>
      <c r="H81" s="50">
        <f>IF(E81="","",E81*1.05*0.85)</f>
        <v>129.41249999999999</v>
      </c>
      <c r="I81" s="48">
        <f>IF(D81="","",H81*D81)</f>
        <v>1164.7124999999999</v>
      </c>
    </row>
    <row r="82" spans="1:9" ht="14.4">
      <c r="A82" s="45" t="s">
        <v>109</v>
      </c>
      <c r="B82" s="46" t="s">
        <v>302</v>
      </c>
      <c r="C82" s="47"/>
      <c r="D82" s="48"/>
      <c r="E82" s="49"/>
      <c r="F82" s="50"/>
      <c r="G82" s="50"/>
      <c r="H82" s="50"/>
      <c r="I82" s="48"/>
    </row>
    <row r="83" spans="1:9" ht="14.4" hidden="1">
      <c r="A83" s="45" t="s">
        <v>110</v>
      </c>
      <c r="B83" s="46" t="s">
        <v>303</v>
      </c>
      <c r="C83" s="47" t="s">
        <v>2</v>
      </c>
      <c r="D83" s="48">
        <f>IF(L19&gt;0,IF(SUM(D46,D47,D48,D49,D50,D51)&gt;5,2,1),0)</f>
        <v>0</v>
      </c>
      <c r="E83" s="49">
        <v>1460</v>
      </c>
      <c r="F83" s="50">
        <f>IF(E83="","",E83*0.15)</f>
        <v>219</v>
      </c>
      <c r="G83" s="50">
        <f>IF(E83="","",E83*0.05)</f>
        <v>73</v>
      </c>
      <c r="H83" s="50">
        <f>IF(E83="","",E83*1.05*0.85)</f>
        <v>1303.05</v>
      </c>
      <c r="I83" s="48">
        <f>IF(D83="","",H83*D83)</f>
        <v>0</v>
      </c>
    </row>
    <row r="84" spans="1:9" ht="14.4">
      <c r="A84" s="45" t="s">
        <v>111</v>
      </c>
      <c r="B84" s="46" t="s">
        <v>304</v>
      </c>
      <c r="C84" s="47" t="s">
        <v>2</v>
      </c>
      <c r="D84" s="48">
        <f>IF(L20&gt;0,IF(SUM(D46,D47,D48,D49,D50,D51)&gt;5,2,1),0)</f>
        <v>2</v>
      </c>
      <c r="E84" s="49">
        <v>1810</v>
      </c>
      <c r="F84" s="50">
        <f>IF(E84="","",E84*0.15)</f>
        <v>271.5</v>
      </c>
      <c r="G84" s="50">
        <f>IF(E84="","",E84*0.05)</f>
        <v>90.5</v>
      </c>
      <c r="H84" s="50">
        <f>IF(E84="","",E84*1.05*0.85)</f>
        <v>1615.425</v>
      </c>
      <c r="I84" s="48">
        <f>IF(D84="","",H84*D84)</f>
        <v>3230.85</v>
      </c>
    </row>
    <row r="85" spans="1:9" ht="14.4" hidden="1">
      <c r="A85" s="45" t="s">
        <v>191</v>
      </c>
      <c r="B85" s="46" t="s">
        <v>305</v>
      </c>
      <c r="C85" s="47" t="s">
        <v>2</v>
      </c>
      <c r="D85" s="48">
        <f>IF(L21&gt;0,IF(SUM(D46,D47,D48,D49,D50,D51)&gt;5,2,1),0)</f>
        <v>0</v>
      </c>
      <c r="E85" s="49">
        <v>2200</v>
      </c>
      <c r="F85" s="50">
        <f>IF(E85="","",E85*0.15)</f>
        <v>330</v>
      </c>
      <c r="G85" s="50">
        <f>IF(E85="","",E85*0.05)</f>
        <v>110</v>
      </c>
      <c r="H85" s="50">
        <f>IF(E85="","",E85*1.05*0.85)</f>
        <v>1963.5</v>
      </c>
      <c r="I85" s="48">
        <f>IF(D85="","",H85*D85)</f>
        <v>0</v>
      </c>
    </row>
    <row r="86" spans="1:9" ht="14.4">
      <c r="A86" s="45" t="s">
        <v>112</v>
      </c>
      <c r="B86" s="46" t="s">
        <v>113</v>
      </c>
      <c r="C86" s="47"/>
      <c r="D86" s="48"/>
      <c r="E86" s="49"/>
      <c r="F86" s="50"/>
      <c r="G86" s="50"/>
      <c r="H86" s="50"/>
      <c r="I86" s="48"/>
    </row>
    <row r="87" spans="1:9" ht="14.4">
      <c r="A87" s="45" t="s">
        <v>114</v>
      </c>
      <c r="B87" s="46" t="s">
        <v>115</v>
      </c>
      <c r="C87" s="47"/>
      <c r="D87" s="48"/>
      <c r="E87" s="49"/>
      <c r="F87" s="50"/>
      <c r="G87" s="50"/>
      <c r="H87" s="50"/>
      <c r="I87" s="48"/>
    </row>
    <row r="88" spans="1:9" ht="14.4">
      <c r="A88" s="45" t="s">
        <v>116</v>
      </c>
      <c r="B88" s="46" t="s">
        <v>306</v>
      </c>
      <c r="C88" s="47" t="s">
        <v>28</v>
      </c>
      <c r="D88" s="48">
        <f>L31</f>
        <v>3.387</v>
      </c>
      <c r="E88" s="49">
        <v>129.78142076502701</v>
      </c>
      <c r="F88" s="50">
        <f>IF(E88="","",E88*0.15)</f>
        <v>19.467213114754049</v>
      </c>
      <c r="G88" s="50">
        <f>IF(E88="","",E88*0.05)</f>
        <v>6.4890710382513506</v>
      </c>
      <c r="H88" s="50">
        <f>IF(E88="","",E88*1.05*0.85)</f>
        <v>115.82991803278661</v>
      </c>
      <c r="I88" s="48">
        <f>IF(D88="","",H88*D88)</f>
        <v>392.31593237704823</v>
      </c>
    </row>
    <row r="89" spans="1:9" ht="14.4">
      <c r="A89" s="45" t="s">
        <v>117</v>
      </c>
      <c r="B89" s="46" t="s">
        <v>118</v>
      </c>
      <c r="C89" s="47" t="s">
        <v>2</v>
      </c>
      <c r="D89" s="48">
        <v>0</v>
      </c>
      <c r="E89" s="49">
        <v>2375.3501400560199</v>
      </c>
      <c r="F89" s="50">
        <f>IF(E89="","",E89*0.15)</f>
        <v>356.30252100840295</v>
      </c>
      <c r="G89" s="50">
        <f>IF(E89="","",E89*0.05)</f>
        <v>118.767507002801</v>
      </c>
      <c r="H89" s="50">
        <f>IF(E89="","",E89*1.05*0.85)</f>
        <v>2119.9999999999977</v>
      </c>
      <c r="I89" s="48">
        <f>IF(D89="","",H89*D89)</f>
        <v>0</v>
      </c>
    </row>
    <row r="90" spans="1:9" ht="14.4">
      <c r="A90" s="45" t="s">
        <v>119</v>
      </c>
      <c r="B90" s="46" t="s">
        <v>120</v>
      </c>
      <c r="C90" s="47" t="s">
        <v>2</v>
      </c>
      <c r="D90" s="48">
        <v>0</v>
      </c>
      <c r="E90" s="49">
        <v>950.140056022409</v>
      </c>
      <c r="F90" s="50">
        <f>IF(E90="","",E90*0.15)</f>
        <v>142.52100840336135</v>
      </c>
      <c r="G90" s="50">
        <f>IF(E90="","",E90*0.05)</f>
        <v>47.50700280112045</v>
      </c>
      <c r="H90" s="50">
        <f>IF(E90="","",E90*1.05*0.85)</f>
        <v>848.00000000000011</v>
      </c>
      <c r="I90" s="48">
        <f>IF(D90="","",H90*D90)</f>
        <v>0</v>
      </c>
    </row>
    <row r="91" spans="1:9" ht="14.4">
      <c r="A91" s="45" t="s">
        <v>121</v>
      </c>
      <c r="B91" s="46" t="s">
        <v>307</v>
      </c>
      <c r="C91" s="51" t="s">
        <v>122</v>
      </c>
      <c r="D91" s="48">
        <f>SUM(I17:I20,I25:I27,I29:I30,I32:I34,I36:I38,I42:I45,I64:I65,I89:I90)/0.85/1.05</f>
        <v>80225.752500000017</v>
      </c>
      <c r="E91" s="49">
        <v>0.06</v>
      </c>
      <c r="F91" s="50">
        <f>IF(E91="","",E91*0.15)</f>
        <v>8.9999999999999993E-3</v>
      </c>
      <c r="G91" s="50">
        <f>IF(E91="","",E91*0.05)</f>
        <v>3.0000000000000001E-3</v>
      </c>
      <c r="H91" s="50">
        <f>IF(E91="","",E91*1.05*0.85)</f>
        <v>5.355E-2</v>
      </c>
      <c r="I91" s="48">
        <f>IF(D91="","",H91*D91)</f>
        <v>4296.0890463750011</v>
      </c>
    </row>
    <row r="92" spans="1:9" ht="14.4" hidden="1">
      <c r="A92" s="45" t="s">
        <v>182</v>
      </c>
      <c r="B92" s="46" t="s">
        <v>308</v>
      </c>
      <c r="C92" s="47" t="s">
        <v>183</v>
      </c>
      <c r="D92" s="48">
        <v>0</v>
      </c>
      <c r="E92" s="49">
        <v>3500</v>
      </c>
      <c r="F92" s="50">
        <f>IF(E92="","",E92*0.15)</f>
        <v>525</v>
      </c>
      <c r="G92" s="50">
        <f>IF(E92="","",E92*0.05)</f>
        <v>175</v>
      </c>
      <c r="H92" s="50">
        <f>IF(E92="","",E92*1.05*0.85)</f>
        <v>3123.75</v>
      </c>
      <c r="I92" s="48">
        <f>IF(D92="","",H92*D92)</f>
        <v>0</v>
      </c>
    </row>
    <row r="93" spans="1:9" ht="14.4">
      <c r="A93" s="52"/>
      <c r="B93" s="53" t="s">
        <v>309</v>
      </c>
      <c r="C93" s="54"/>
      <c r="D93" s="55"/>
      <c r="E93" s="56"/>
      <c r="F93" s="55"/>
      <c r="G93" s="55"/>
      <c r="H93" s="55"/>
      <c r="I93" s="57">
        <f>SUMIF(A:A,"01.*",I:I)</f>
        <v>0</v>
      </c>
    </row>
    <row r="94" spans="1:9" ht="14.4" hidden="1">
      <c r="A94" s="52"/>
      <c r="B94" s="53" t="s">
        <v>310</v>
      </c>
      <c r="C94" s="54"/>
      <c r="D94" s="55"/>
      <c r="E94" s="56"/>
      <c r="F94" s="55"/>
      <c r="G94" s="55"/>
      <c r="H94" s="55"/>
      <c r="I94" s="57">
        <f>SUMIF(A:A,"05.*",I:I)</f>
        <v>0</v>
      </c>
    </row>
    <row r="95" spans="1:9" ht="14.4">
      <c r="A95" s="52"/>
      <c r="B95" s="53" t="s">
        <v>311</v>
      </c>
      <c r="C95" s="54"/>
      <c r="D95" s="55"/>
      <c r="E95" s="56"/>
      <c r="F95" s="55"/>
      <c r="G95" s="55"/>
      <c r="H95" s="55"/>
      <c r="I95" s="57">
        <f>SUMIF(A:A,"09.*",I:I)</f>
        <v>2635.5167999999999</v>
      </c>
    </row>
    <row r="96" spans="1:9" ht="14.4">
      <c r="A96" s="52"/>
      <c r="B96" s="53" t="s">
        <v>312</v>
      </c>
      <c r="C96" s="54"/>
      <c r="D96" s="55"/>
      <c r="E96" s="56"/>
      <c r="F96" s="55"/>
      <c r="G96" s="55"/>
      <c r="H96" s="55"/>
      <c r="I96" s="57">
        <f>SUMIF(A:A,"11.*",I:I)</f>
        <v>6318.9</v>
      </c>
    </row>
    <row r="97" spans="1:9" ht="14.4">
      <c r="A97" s="52"/>
      <c r="B97" s="53" t="s">
        <v>313</v>
      </c>
      <c r="C97" s="54"/>
      <c r="D97" s="55"/>
      <c r="E97" s="56"/>
      <c r="F97" s="55"/>
      <c r="G97" s="55"/>
      <c r="H97" s="55"/>
      <c r="I97" s="57">
        <f>SUMIF(A:A,"12.*",I:I)</f>
        <v>90932.286503625015</v>
      </c>
    </row>
    <row r="98" spans="1:9" ht="14.4" hidden="1">
      <c r="A98" s="52"/>
      <c r="B98" s="53" t="s">
        <v>314</v>
      </c>
      <c r="C98" s="54"/>
      <c r="D98" s="55"/>
      <c r="E98" s="56"/>
      <c r="F98" s="55"/>
      <c r="G98" s="55"/>
      <c r="H98" s="55"/>
      <c r="I98" s="57">
        <f>SUMIF(A:A,"15.*",I:I)</f>
        <v>0</v>
      </c>
    </row>
    <row r="99" spans="1:9" ht="14.4">
      <c r="A99" s="52"/>
      <c r="B99" s="58" t="s">
        <v>184</v>
      </c>
      <c r="C99" s="54"/>
      <c r="D99" s="55"/>
      <c r="E99" s="56"/>
      <c r="F99" s="55"/>
      <c r="G99" s="55"/>
      <c r="H99" s="55"/>
      <c r="I99" s="57">
        <f>SUMIF(A:A,"30.*",I:I)</f>
        <v>1100.9323080000001</v>
      </c>
    </row>
    <row r="100" spans="1:9" ht="14.4">
      <c r="A100" s="52"/>
      <c r="B100" s="53" t="s">
        <v>315</v>
      </c>
      <c r="C100" s="54"/>
      <c r="D100" s="55"/>
      <c r="E100" s="56"/>
      <c r="F100" s="55"/>
      <c r="G100" s="55"/>
      <c r="H100" s="55"/>
      <c r="I100" s="57">
        <f>SUMIF(A:A,"60.*",I:I)</f>
        <v>5011.3874999999998</v>
      </c>
    </row>
    <row r="101" spans="1:9" ht="14.4">
      <c r="A101" s="52"/>
      <c r="B101" s="53" t="s">
        <v>316</v>
      </c>
      <c r="C101" s="54"/>
      <c r="D101" s="55"/>
      <c r="E101" s="56"/>
      <c r="F101" s="55"/>
      <c r="G101" s="55"/>
      <c r="H101" s="55"/>
      <c r="I101" s="57">
        <f>SUMIF(A:A,"85.*",I:I)</f>
        <v>392.31593237704823</v>
      </c>
    </row>
    <row r="102" spans="1:9" ht="14.4">
      <c r="A102" s="59"/>
      <c r="B102" s="60" t="s">
        <v>123</v>
      </c>
      <c r="C102" s="54"/>
      <c r="D102" s="55"/>
      <c r="E102" s="56"/>
      <c r="F102" s="61"/>
      <c r="G102" s="61"/>
      <c r="H102" s="61"/>
      <c r="I102" s="61">
        <f>SUM(I93:I101)</f>
        <v>106391.33904400207</v>
      </c>
    </row>
    <row r="103" spans="1:9" ht="14.4">
      <c r="A103" s="59"/>
      <c r="B103" s="60" t="s">
        <v>124</v>
      </c>
      <c r="C103" s="54"/>
      <c r="D103" s="55"/>
      <c r="E103" s="56"/>
      <c r="F103" s="61"/>
      <c r="G103" s="61"/>
      <c r="H103" s="61"/>
      <c r="I103" s="61">
        <f>(I102*(1/100*18))</f>
        <v>19150.441027920373</v>
      </c>
    </row>
    <row r="104" spans="1:9" ht="14.4">
      <c r="A104" s="59"/>
      <c r="B104" s="60" t="s">
        <v>317</v>
      </c>
      <c r="C104" s="54"/>
      <c r="D104" s="55"/>
      <c r="E104" s="56"/>
      <c r="F104" s="61"/>
      <c r="G104" s="61"/>
      <c r="H104" s="61"/>
      <c r="I104" s="61">
        <f>I102+I103</f>
        <v>125541.78007192245</v>
      </c>
    </row>
  </sheetData>
  <phoneticPr fontId="5" type="noConversion"/>
  <conditionalFormatting sqref="A7:D84">
    <cfRule type="expression" dxfId="2" priority="1">
      <formula>$K7="אין"</formula>
    </cfRule>
  </conditionalFormatting>
  <conditionalFormatting sqref="F7:K92 D85 A86:D92">
    <cfRule type="expression" dxfId="1" priority="2">
      <formula>$K7="אין"</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C668-6A75-4029-9468-34CCAD018929}">
  <sheetPr>
    <pageSetUpPr fitToPage="1"/>
  </sheetPr>
  <dimension ref="A2:E144"/>
  <sheetViews>
    <sheetView rightToLeft="1" tabSelected="1" zoomScale="85" zoomScaleNormal="85" workbookViewId="0">
      <selection activeCell="B3" sqref="B3"/>
    </sheetView>
  </sheetViews>
  <sheetFormatPr defaultRowHeight="13.8"/>
  <cols>
    <col min="1" max="1" width="17.59765625" customWidth="1"/>
    <col min="2" max="2" width="14" style="6" customWidth="1"/>
    <col min="3" max="3" width="12.09765625" style="6" customWidth="1"/>
    <col min="5" max="5" width="33" style="7" customWidth="1"/>
  </cols>
  <sheetData>
    <row r="2" spans="1:5" ht="20.399999999999999">
      <c r="A2" s="35" t="s">
        <v>125</v>
      </c>
      <c r="B2" s="35"/>
      <c r="C2" s="35"/>
      <c r="D2" s="35"/>
      <c r="E2" s="35"/>
    </row>
    <row r="3" spans="1:5">
      <c r="A3" s="4" t="s">
        <v>126</v>
      </c>
      <c r="B3" s="19">
        <f>גיליון1!D1</f>
        <v>1776</v>
      </c>
      <c r="C3" s="5"/>
      <c r="D3" s="4" t="s">
        <v>127</v>
      </c>
      <c r="E3" s="3" t="s">
        <v>318</v>
      </c>
    </row>
    <row r="6" spans="1:5" ht="14.4" thickBot="1"/>
    <row r="7" spans="1:5">
      <c r="A7" s="8" t="s">
        <v>128</v>
      </c>
      <c r="B7" s="9" t="s">
        <v>3</v>
      </c>
      <c r="C7" s="10" t="s">
        <v>129</v>
      </c>
    </row>
    <row r="8" spans="1:5" ht="14.4" thickBot="1">
      <c r="A8" s="11" t="s">
        <v>130</v>
      </c>
      <c r="B8" s="12">
        <f>_xlfn.XLOOKUP(A11,גיליון1!A:A,גיליון1!D:D,"לא מוצא")</f>
        <v>4.8159999999999998</v>
      </c>
      <c r="C8" s="13" t="s">
        <v>28</v>
      </c>
    </row>
    <row r="9" spans="1:5" ht="14.4" thickBot="1">
      <c r="A9" s="28" t="s">
        <v>131</v>
      </c>
      <c r="B9" s="29"/>
      <c r="C9" s="30"/>
      <c r="E9" s="7" t="s">
        <v>132</v>
      </c>
    </row>
    <row r="10" spans="1:5">
      <c r="A10" s="8" t="s">
        <v>133</v>
      </c>
      <c r="B10" s="31" t="s">
        <v>134</v>
      </c>
      <c r="C10" s="32"/>
    </row>
    <row r="11" spans="1:5">
      <c r="A11" s="14" t="s">
        <v>29</v>
      </c>
      <c r="B11" s="26" t="s">
        <v>135</v>
      </c>
      <c r="C11" s="27"/>
    </row>
    <row r="12" spans="1:5">
      <c r="A12" s="14" t="s">
        <v>32</v>
      </c>
      <c r="B12" s="26" t="s">
        <v>136</v>
      </c>
      <c r="C12" s="27"/>
    </row>
    <row r="13" spans="1:5">
      <c r="A13" s="14" t="s">
        <v>62</v>
      </c>
      <c r="B13" s="26" t="s">
        <v>137</v>
      </c>
      <c r="C13" s="27"/>
    </row>
    <row r="14" spans="1:5" ht="14.4" thickBot="1">
      <c r="A14" s="15" t="s">
        <v>121</v>
      </c>
      <c r="B14" s="33" t="s">
        <v>138</v>
      </c>
      <c r="C14" s="34"/>
    </row>
    <row r="15" spans="1:5" ht="14.4" thickBot="1">
      <c r="A15" s="16"/>
      <c r="B15" s="36"/>
      <c r="C15" s="36"/>
    </row>
    <row r="16" spans="1:5">
      <c r="A16" s="8" t="s">
        <v>128</v>
      </c>
      <c r="B16" s="9" t="s">
        <v>3</v>
      </c>
      <c r="C16" s="10" t="s">
        <v>129</v>
      </c>
    </row>
    <row r="17" spans="1:5" ht="28.2" thickBot="1">
      <c r="A17" s="17" t="s">
        <v>139</v>
      </c>
      <c r="B17" s="12">
        <f>_xlfn.XLOOKUP(A20,גיליון1!A:A,גיליון1!D:D,"לא מוצא")</f>
        <v>46.14</v>
      </c>
      <c r="C17" s="13" t="s">
        <v>140</v>
      </c>
    </row>
    <row r="18" spans="1:5" ht="42" thickBot="1">
      <c r="A18" s="28" t="s">
        <v>131</v>
      </c>
      <c r="B18" s="29"/>
      <c r="C18" s="30"/>
      <c r="E18" s="7" t="s">
        <v>141</v>
      </c>
    </row>
    <row r="19" spans="1:5">
      <c r="A19" s="8" t="s">
        <v>133</v>
      </c>
      <c r="B19" s="31" t="s">
        <v>134</v>
      </c>
      <c r="C19" s="32"/>
    </row>
    <row r="20" spans="1:5">
      <c r="A20" s="14" t="s">
        <v>13</v>
      </c>
      <c r="B20" s="26" t="s">
        <v>142</v>
      </c>
      <c r="C20" s="27"/>
    </row>
    <row r="21" spans="1:5" ht="14.4" thickBot="1">
      <c r="A21" s="15"/>
      <c r="B21" s="33"/>
      <c r="C21" s="34"/>
    </row>
    <row r="22" spans="1:5" ht="14.4" thickBot="1"/>
    <row r="23" spans="1:5">
      <c r="A23" s="8" t="s">
        <v>128</v>
      </c>
      <c r="B23" s="9" t="s">
        <v>3</v>
      </c>
      <c r="C23" s="10" t="s">
        <v>129</v>
      </c>
    </row>
    <row r="24" spans="1:5" ht="28.2" thickBot="1">
      <c r="A24" s="17" t="s">
        <v>143</v>
      </c>
      <c r="B24" s="12">
        <f>_xlfn.XLOOKUP(A27,גיליון1!A:A,גיליון1!D:D,"לא מוצא")</f>
        <v>4</v>
      </c>
      <c r="C24" s="13" t="s">
        <v>144</v>
      </c>
      <c r="E24" s="7" t="s">
        <v>145</v>
      </c>
    </row>
    <row r="25" spans="1:5" ht="14.4" thickBot="1">
      <c r="A25" s="28" t="s">
        <v>131</v>
      </c>
      <c r="B25" s="29"/>
      <c r="C25" s="30"/>
    </row>
    <row r="26" spans="1:5">
      <c r="A26" s="8" t="s">
        <v>133</v>
      </c>
      <c r="B26" s="31" t="s">
        <v>134</v>
      </c>
      <c r="C26" s="32"/>
    </row>
    <row r="27" spans="1:5">
      <c r="A27" s="14" t="s">
        <v>20</v>
      </c>
      <c r="B27" s="26" t="s">
        <v>146</v>
      </c>
      <c r="C27" s="27"/>
    </row>
    <row r="28" spans="1:5" ht="14.4" thickBot="1">
      <c r="A28" s="15"/>
      <c r="B28" s="33"/>
      <c r="C28" s="34"/>
    </row>
    <row r="29" spans="1:5" ht="14.4" thickBot="1"/>
    <row r="30" spans="1:5">
      <c r="A30" s="8" t="s">
        <v>128</v>
      </c>
      <c r="B30" s="9" t="s">
        <v>3</v>
      </c>
      <c r="C30" s="10" t="s">
        <v>129</v>
      </c>
      <c r="E30" s="7" t="s">
        <v>147</v>
      </c>
    </row>
    <row r="31" spans="1:5" ht="14.4" thickBot="1">
      <c r="A31" s="17" t="s">
        <v>148</v>
      </c>
      <c r="B31" s="12">
        <f>_xlfn.XLOOKUP(A34,גיליון1!A:A,גיליון1!D:D,"לא מוצא")</f>
        <v>0</v>
      </c>
      <c r="C31" s="13" t="s">
        <v>2</v>
      </c>
    </row>
    <row r="32" spans="1:5" ht="14.4" thickBot="1">
      <c r="A32" s="28" t="s">
        <v>131</v>
      </c>
      <c r="B32" s="29"/>
      <c r="C32" s="30"/>
    </row>
    <row r="33" spans="1:5">
      <c r="A33" s="8" t="s">
        <v>133</v>
      </c>
      <c r="B33" s="31" t="s">
        <v>134</v>
      </c>
      <c r="C33" s="32"/>
    </row>
    <row r="34" spans="1:5">
      <c r="A34" s="18" t="s">
        <v>38</v>
      </c>
      <c r="B34" s="26" t="s">
        <v>149</v>
      </c>
      <c r="C34" s="27"/>
    </row>
    <row r="35" spans="1:5" ht="14.4" thickBot="1">
      <c r="A35" s="15"/>
      <c r="B35" s="33"/>
      <c r="C35" s="34"/>
    </row>
    <row r="36" spans="1:5" ht="14.4" thickBot="1"/>
    <row r="37" spans="1:5">
      <c r="A37" s="8" t="s">
        <v>128</v>
      </c>
      <c r="B37" s="9" t="s">
        <v>3</v>
      </c>
      <c r="C37" s="10" t="s">
        <v>129</v>
      </c>
      <c r="E37" s="7" t="s">
        <v>150</v>
      </c>
    </row>
    <row r="38" spans="1:5" ht="14.4" thickBot="1">
      <c r="A38" s="11" t="s">
        <v>151</v>
      </c>
      <c r="B38" s="12">
        <f>_xlfn.XLOOKUP(A41,גיליון1!A:A,גיליון1!D:D,"לא מוצא")</f>
        <v>13.543200000000001</v>
      </c>
      <c r="C38" s="13" t="s">
        <v>28</v>
      </c>
    </row>
    <row r="39" spans="1:5" ht="14.4" thickBot="1">
      <c r="A39" s="28" t="s">
        <v>131</v>
      </c>
      <c r="B39" s="29"/>
      <c r="C39" s="30"/>
    </row>
    <row r="40" spans="1:5">
      <c r="A40" s="8" t="s">
        <v>133</v>
      </c>
      <c r="B40" s="31" t="s">
        <v>134</v>
      </c>
      <c r="C40" s="32"/>
    </row>
    <row r="41" spans="1:5">
      <c r="A41" s="18" t="s">
        <v>50</v>
      </c>
      <c r="B41" s="26" t="s">
        <v>51</v>
      </c>
      <c r="C41" s="27"/>
    </row>
    <row r="42" spans="1:5">
      <c r="A42" s="18" t="s">
        <v>59</v>
      </c>
      <c r="B42" s="26" t="s">
        <v>60</v>
      </c>
      <c r="C42" s="27"/>
    </row>
    <row r="43" spans="1:5">
      <c r="A43" s="18" t="s">
        <v>90</v>
      </c>
      <c r="B43" s="26" t="s">
        <v>91</v>
      </c>
      <c r="C43" s="27"/>
    </row>
    <row r="44" spans="1:5">
      <c r="A44" s="18" t="s">
        <v>93</v>
      </c>
      <c r="B44" s="26" t="s">
        <v>152</v>
      </c>
      <c r="C44" s="27"/>
    </row>
    <row r="45" spans="1:5">
      <c r="A45" s="18" t="s">
        <v>63</v>
      </c>
      <c r="B45" s="26" t="s">
        <v>64</v>
      </c>
      <c r="C45" s="27"/>
    </row>
    <row r="46" spans="1:5" ht="14.4" thickBot="1">
      <c r="A46" s="15" t="s">
        <v>121</v>
      </c>
      <c r="B46" s="33" t="s">
        <v>138</v>
      </c>
      <c r="C46" s="34"/>
    </row>
    <row r="47" spans="1:5" ht="14.4" thickBot="1"/>
    <row r="48" spans="1:5" ht="41.4">
      <c r="A48" s="8" t="s">
        <v>128</v>
      </c>
      <c r="B48" s="9" t="s">
        <v>3</v>
      </c>
      <c r="C48" s="10" t="s">
        <v>129</v>
      </c>
      <c r="E48" s="7" t="s">
        <v>153</v>
      </c>
    </row>
    <row r="49" spans="1:5" ht="14.4" thickBot="1">
      <c r="A49" s="17" t="s">
        <v>154</v>
      </c>
      <c r="B49" s="12">
        <f>SUM(D52:D57)</f>
        <v>7</v>
      </c>
      <c r="C49" s="13" t="s">
        <v>2</v>
      </c>
    </row>
    <row r="50" spans="1:5" ht="14.4" thickBot="1">
      <c r="A50" s="28" t="s">
        <v>131</v>
      </c>
      <c r="B50" s="29"/>
      <c r="C50" s="30"/>
    </row>
    <row r="51" spans="1:5">
      <c r="A51" s="8" t="s">
        <v>133</v>
      </c>
      <c r="B51" s="31" t="s">
        <v>134</v>
      </c>
      <c r="C51" s="32"/>
      <c r="D51" t="s">
        <v>3</v>
      </c>
    </row>
    <row r="52" spans="1:5">
      <c r="A52" s="18" t="s">
        <v>65</v>
      </c>
      <c r="B52" s="26" t="s">
        <v>66</v>
      </c>
      <c r="C52" s="27" t="s">
        <v>66</v>
      </c>
      <c r="D52">
        <f>_xlfn.XLOOKUP(A52,גיליון1!A:A,גיליון1!D:D,0)</f>
        <v>0</v>
      </c>
    </row>
    <row r="53" spans="1:5">
      <c r="A53" s="18" t="s">
        <v>67</v>
      </c>
      <c r="B53" s="26" t="s">
        <v>68</v>
      </c>
      <c r="C53" s="27" t="s">
        <v>68</v>
      </c>
      <c r="D53">
        <f>_xlfn.XLOOKUP(A53,גיליון1!A:A,גיליון1!D:D,0)</f>
        <v>0</v>
      </c>
    </row>
    <row r="54" spans="1:5">
      <c r="A54" s="18" t="s">
        <v>69</v>
      </c>
      <c r="B54" s="26" t="s">
        <v>70</v>
      </c>
      <c r="C54" s="27" t="s">
        <v>70</v>
      </c>
      <c r="D54">
        <f>_xlfn.XLOOKUP(A54,גיליון1!A:A,גיליון1!D:D,0)</f>
        <v>3</v>
      </c>
    </row>
    <row r="55" spans="1:5">
      <c r="A55" s="18" t="s">
        <v>71</v>
      </c>
      <c r="B55" s="26" t="s">
        <v>72</v>
      </c>
      <c r="C55" s="27" t="s">
        <v>72</v>
      </c>
      <c r="D55">
        <f>_xlfn.XLOOKUP(A55,גיליון1!A:A,גיליון1!D:D,0)</f>
        <v>2</v>
      </c>
    </row>
    <row r="56" spans="1:5">
      <c r="A56" s="18" t="s">
        <v>73</v>
      </c>
      <c r="B56" s="26" t="s">
        <v>74</v>
      </c>
      <c r="C56" s="27" t="s">
        <v>74</v>
      </c>
      <c r="D56">
        <f>_xlfn.XLOOKUP(A56,גיליון1!A:A,גיליון1!D:D,0)</f>
        <v>0</v>
      </c>
    </row>
    <row r="57" spans="1:5">
      <c r="A57" s="18" t="s">
        <v>75</v>
      </c>
      <c r="B57" s="26" t="s">
        <v>76</v>
      </c>
      <c r="C57" s="27" t="s">
        <v>76</v>
      </c>
      <c r="D57">
        <f>_xlfn.XLOOKUP(A57,גיליון1!A:A,גיליון1!D:D,0)</f>
        <v>2</v>
      </c>
    </row>
    <row r="58" spans="1:5" ht="14.4" thickBot="1"/>
    <row r="59" spans="1:5">
      <c r="A59" s="8" t="s">
        <v>128</v>
      </c>
      <c r="B59" s="9" t="s">
        <v>3</v>
      </c>
      <c r="C59" s="10" t="s">
        <v>129</v>
      </c>
      <c r="E59" s="7" t="s">
        <v>220</v>
      </c>
    </row>
    <row r="60" spans="1:5" ht="14.4" thickBot="1">
      <c r="A60" s="17" t="s">
        <v>219</v>
      </c>
      <c r="B60" s="12">
        <f>SUM(D63:D70)</f>
        <v>7</v>
      </c>
      <c r="C60" s="13" t="s">
        <v>2</v>
      </c>
    </row>
    <row r="61" spans="1:5" ht="14.4" thickBot="1">
      <c r="A61" s="28" t="s">
        <v>131</v>
      </c>
      <c r="B61" s="29"/>
      <c r="C61" s="30"/>
    </row>
    <row r="62" spans="1:5">
      <c r="A62" s="8" t="s">
        <v>133</v>
      </c>
      <c r="B62" s="31" t="s">
        <v>134</v>
      </c>
      <c r="C62" s="32"/>
      <c r="D62" t="s">
        <v>3</v>
      </c>
    </row>
    <row r="63" spans="1:5">
      <c r="A63" s="18" t="s">
        <v>79</v>
      </c>
      <c r="B63" s="26" t="s">
        <v>155</v>
      </c>
      <c r="C63" s="27" t="s">
        <v>74</v>
      </c>
      <c r="D63">
        <f>_xlfn.XLOOKUP(A63,גיליון1!A:A,גיליון1!D:D,0)</f>
        <v>3</v>
      </c>
    </row>
    <row r="64" spans="1:5">
      <c r="A64" s="18" t="s">
        <v>81</v>
      </c>
      <c r="B64" s="26" t="s">
        <v>156</v>
      </c>
      <c r="C64" s="27" t="s">
        <v>74</v>
      </c>
      <c r="D64">
        <f>_xlfn.XLOOKUP(A64,גיליון1!A:A,גיליון1!D:D,0)</f>
        <v>2</v>
      </c>
    </row>
    <row r="65" spans="1:5">
      <c r="A65" s="25" t="s">
        <v>213</v>
      </c>
      <c r="B65" s="26" t="s">
        <v>192</v>
      </c>
      <c r="C65" s="26" t="s">
        <v>74</v>
      </c>
      <c r="D65">
        <f>_xlfn.XLOOKUP(A65,גיליון1!A:A,גיליון1!D:D,0)</f>
        <v>0</v>
      </c>
    </row>
    <row r="66" spans="1:5">
      <c r="A66" s="25" t="s">
        <v>214</v>
      </c>
      <c r="B66" s="26" t="s">
        <v>193</v>
      </c>
      <c r="C66" s="26" t="s">
        <v>74</v>
      </c>
      <c r="D66">
        <f>_xlfn.XLOOKUP(A66,גיליון1!A:A,גיליון1!D:D,0)</f>
        <v>1</v>
      </c>
    </row>
    <row r="67" spans="1:5">
      <c r="A67" s="25" t="s">
        <v>215</v>
      </c>
      <c r="B67" s="26" t="s">
        <v>194</v>
      </c>
      <c r="C67" s="26" t="s">
        <v>74</v>
      </c>
      <c r="D67">
        <f>_xlfn.XLOOKUP(A67,גיליון1!A:A,גיליון1!D:D,0)</f>
        <v>0</v>
      </c>
    </row>
    <row r="68" spans="1:5">
      <c r="A68" s="25" t="s">
        <v>216</v>
      </c>
      <c r="B68" s="26" t="s">
        <v>195</v>
      </c>
      <c r="C68" s="26" t="s">
        <v>74</v>
      </c>
      <c r="D68">
        <f>_xlfn.XLOOKUP(A68,גיליון1!A:A,גיליון1!D:D,0)</f>
        <v>0</v>
      </c>
    </row>
    <row r="69" spans="1:5">
      <c r="A69" s="25" t="s">
        <v>217</v>
      </c>
      <c r="B69" s="26" t="s">
        <v>196</v>
      </c>
      <c r="C69" s="26" t="s">
        <v>74</v>
      </c>
      <c r="D69">
        <f>_xlfn.XLOOKUP(A69,גיליון1!A:A,גיליון1!D:D,0)</f>
        <v>1</v>
      </c>
    </row>
    <row r="70" spans="1:5">
      <c r="A70" s="25" t="s">
        <v>218</v>
      </c>
      <c r="B70" s="26" t="s">
        <v>197</v>
      </c>
      <c r="C70" s="26" t="s">
        <v>74</v>
      </c>
      <c r="D70">
        <f>_xlfn.XLOOKUP(A70,גיליון1!A:A,גיליון1!D:D,0)</f>
        <v>0</v>
      </c>
    </row>
    <row r="71" spans="1:5">
      <c r="A71" s="24"/>
    </row>
    <row r="73" spans="1:5" ht="27.6" hidden="1">
      <c r="A73" s="8" t="s">
        <v>128</v>
      </c>
      <c r="B73" s="9" t="s">
        <v>3</v>
      </c>
      <c r="C73" s="10" t="s">
        <v>129</v>
      </c>
      <c r="E73" s="7" t="s">
        <v>165</v>
      </c>
    </row>
    <row r="74" spans="1:5" ht="14.4" hidden="1" thickBot="1">
      <c r="A74" s="17" t="s">
        <v>157</v>
      </c>
      <c r="B74" s="20">
        <v>0</v>
      </c>
      <c r="C74" s="13" t="s">
        <v>28</v>
      </c>
    </row>
    <row r="75" spans="1:5" ht="14.4" hidden="1" thickBot="1">
      <c r="A75" s="28" t="s">
        <v>131</v>
      </c>
      <c r="B75" s="29"/>
      <c r="C75" s="30"/>
    </row>
    <row r="76" spans="1:5" hidden="1">
      <c r="A76" s="8" t="s">
        <v>133</v>
      </c>
      <c r="B76" s="31" t="s">
        <v>134</v>
      </c>
      <c r="C76" s="32"/>
    </row>
    <row r="77" spans="1:5" hidden="1">
      <c r="A77" s="18" t="s">
        <v>85</v>
      </c>
      <c r="B77" s="26" t="s">
        <v>158</v>
      </c>
      <c r="C77" s="27"/>
    </row>
    <row r="78" spans="1:5" ht="14.4" hidden="1" thickBot="1">
      <c r="A78" s="15" t="s">
        <v>87</v>
      </c>
      <c r="B78" s="33" t="s">
        <v>159</v>
      </c>
      <c r="C78" s="34"/>
    </row>
    <row r="79" spans="1:5" ht="14.4" thickBot="1"/>
    <row r="80" spans="1:5" ht="27.6">
      <c r="A80" s="8" t="s">
        <v>128</v>
      </c>
      <c r="B80" s="9" t="s">
        <v>3</v>
      </c>
      <c r="C80" s="10" t="s">
        <v>129</v>
      </c>
      <c r="E80" s="7" t="s">
        <v>185</v>
      </c>
    </row>
    <row r="81" spans="1:5" ht="14.4" thickBot="1">
      <c r="A81" s="17" t="s">
        <v>160</v>
      </c>
      <c r="B81" s="12">
        <f>SUM(D84:D86)</f>
        <v>2</v>
      </c>
      <c r="C81" s="13" t="s">
        <v>2</v>
      </c>
      <c r="E81" s="7" t="s">
        <v>225</v>
      </c>
    </row>
    <row r="82" spans="1:5" ht="14.4" thickBot="1">
      <c r="A82" s="28" t="s">
        <v>131</v>
      </c>
      <c r="B82" s="29"/>
      <c r="C82" s="30"/>
    </row>
    <row r="83" spans="1:5">
      <c r="A83" s="8" t="s">
        <v>133</v>
      </c>
      <c r="B83" s="31" t="s">
        <v>134</v>
      </c>
      <c r="C83" s="32"/>
      <c r="D83" t="s">
        <v>3</v>
      </c>
    </row>
    <row r="84" spans="1:5" ht="13.95" customHeight="1">
      <c r="A84" s="18" t="s">
        <v>110</v>
      </c>
      <c r="B84" s="26" t="s">
        <v>186</v>
      </c>
      <c r="C84" s="27"/>
      <c r="D84">
        <f>_xlfn.XLOOKUP(A84,גיליון1!A:A,גיליון1!D:D,0)</f>
        <v>0</v>
      </c>
      <c r="E84" s="7" t="s">
        <v>187</v>
      </c>
    </row>
    <row r="85" spans="1:5" ht="13.95" customHeight="1">
      <c r="A85" s="18" t="s">
        <v>111</v>
      </c>
      <c r="B85" s="26" t="s">
        <v>161</v>
      </c>
      <c r="C85" s="27"/>
      <c r="D85">
        <f>_xlfn.XLOOKUP(A85,גיליון1!A:A,גיליון1!D:D,0)</f>
        <v>2</v>
      </c>
      <c r="E85" s="7" t="s">
        <v>188</v>
      </c>
    </row>
    <row r="86" spans="1:5" ht="13.95" customHeight="1">
      <c r="A86" s="18" t="s">
        <v>191</v>
      </c>
      <c r="B86" s="26" t="s">
        <v>189</v>
      </c>
      <c r="C86" s="27"/>
      <c r="D86">
        <f>_xlfn.XLOOKUP(A86,גיליון1!A:A,גיליון1!D:D,0)</f>
        <v>0</v>
      </c>
      <c r="E86" s="7" t="s">
        <v>190</v>
      </c>
    </row>
    <row r="87" spans="1:5" ht="14.4" thickBot="1">
      <c r="B87"/>
      <c r="C87"/>
    </row>
    <row r="88" spans="1:5" ht="82.8">
      <c r="A88" s="8" t="s">
        <v>128</v>
      </c>
      <c r="B88" s="9" t="s">
        <v>3</v>
      </c>
      <c r="C88" s="10" t="s">
        <v>129</v>
      </c>
      <c r="E88" s="7" t="s">
        <v>162</v>
      </c>
    </row>
    <row r="89" spans="1:5" ht="14.4" thickBot="1">
      <c r="A89" s="17" t="s">
        <v>163</v>
      </c>
      <c r="B89" s="12">
        <f>_xlfn.XLOOKUP(A92,גיליון1!A:A,גיליון1!D:D,"לא מוצא")</f>
        <v>3.387</v>
      </c>
      <c r="C89" s="13" t="s">
        <v>28</v>
      </c>
    </row>
    <row r="90" spans="1:5" ht="14.4" thickBot="1">
      <c r="A90" s="28" t="s">
        <v>131</v>
      </c>
      <c r="B90" s="29"/>
      <c r="C90" s="30"/>
    </row>
    <row r="91" spans="1:5">
      <c r="A91" s="8" t="s">
        <v>133</v>
      </c>
      <c r="B91" s="31" t="s">
        <v>134</v>
      </c>
      <c r="C91" s="32"/>
    </row>
    <row r="92" spans="1:5">
      <c r="A92" s="18" t="s">
        <v>116</v>
      </c>
      <c r="B92" s="26" t="s">
        <v>164</v>
      </c>
      <c r="C92" s="27"/>
    </row>
    <row r="93" spans="1:5" ht="14.4" thickBot="1"/>
    <row r="94" spans="1:5">
      <c r="A94" s="8" t="s">
        <v>128</v>
      </c>
      <c r="B94" s="9" t="s">
        <v>3</v>
      </c>
      <c r="C94" s="10" t="s">
        <v>129</v>
      </c>
      <c r="E94" s="7" t="s">
        <v>166</v>
      </c>
    </row>
    <row r="95" spans="1:5" ht="14.4" thickBot="1">
      <c r="A95" s="17" t="s">
        <v>167</v>
      </c>
      <c r="B95" s="12">
        <f>B38+B8</f>
        <v>18.359200000000001</v>
      </c>
      <c r="C95" s="13" t="s">
        <v>28</v>
      </c>
    </row>
    <row r="96" spans="1:5" ht="14.4" thickBot="1">
      <c r="A96" s="28" t="s">
        <v>131</v>
      </c>
      <c r="B96" s="29"/>
      <c r="C96" s="30"/>
    </row>
    <row r="97" spans="1:5">
      <c r="A97" s="8" t="s">
        <v>133</v>
      </c>
      <c r="B97" s="31" t="s">
        <v>134</v>
      </c>
      <c r="C97" s="32"/>
    </row>
    <row r="98" spans="1:5" ht="14.4" customHeight="1">
      <c r="A98" s="21" t="s">
        <v>168</v>
      </c>
      <c r="B98" s="26" t="s">
        <v>170</v>
      </c>
      <c r="C98" s="27"/>
    </row>
    <row r="99" spans="1:5" ht="15" customHeight="1" thickBot="1">
      <c r="A99" s="22" t="s">
        <v>169</v>
      </c>
      <c r="B99" s="33" t="s">
        <v>171</v>
      </c>
      <c r="C99" s="34"/>
    </row>
    <row r="100" spans="1:5" ht="14.4" thickBot="1"/>
    <row r="101" spans="1:5">
      <c r="A101" s="8" t="s">
        <v>128</v>
      </c>
      <c r="B101" s="9" t="s">
        <v>3</v>
      </c>
      <c r="C101" s="10" t="s">
        <v>129</v>
      </c>
      <c r="E101" s="23" t="s">
        <v>172</v>
      </c>
    </row>
    <row r="102" spans="1:5" ht="28.2" thickBot="1">
      <c r="A102" s="17" t="s">
        <v>173</v>
      </c>
      <c r="B102" s="12">
        <f>_xlfn.XLOOKUP(A105,גיליון1!A:A,גיליון1!D:D,"לא מוצא")</f>
        <v>9</v>
      </c>
      <c r="C102" s="13" t="s">
        <v>108</v>
      </c>
    </row>
    <row r="103" spans="1:5" ht="14.4" thickBot="1">
      <c r="A103" s="28" t="s">
        <v>131</v>
      </c>
      <c r="B103" s="29"/>
      <c r="C103" s="30"/>
    </row>
    <row r="104" spans="1:5">
      <c r="A104" s="8" t="s">
        <v>133</v>
      </c>
      <c r="B104" s="31" t="s">
        <v>134</v>
      </c>
      <c r="C104" s="32"/>
    </row>
    <row r="105" spans="1:5" ht="14.4">
      <c r="A105" s="2" t="s">
        <v>174</v>
      </c>
      <c r="B105" s="26" t="s">
        <v>175</v>
      </c>
      <c r="C105" s="27"/>
    </row>
    <row r="106" spans="1:5" ht="15" thickBot="1">
      <c r="A106" s="22"/>
      <c r="B106" s="33"/>
      <c r="C106" s="34"/>
    </row>
    <row r="107" spans="1:5" ht="14.4" thickBot="1"/>
    <row r="108" spans="1:5">
      <c r="A108" s="8" t="s">
        <v>128</v>
      </c>
      <c r="B108" s="9" t="s">
        <v>3</v>
      </c>
      <c r="C108" s="10" t="s">
        <v>129</v>
      </c>
    </row>
    <row r="109" spans="1:5" ht="14.4" thickBot="1">
      <c r="A109" s="17" t="s">
        <v>176</v>
      </c>
      <c r="B109" s="12">
        <f>(B49)</f>
        <v>7</v>
      </c>
      <c r="C109" s="13" t="s">
        <v>2</v>
      </c>
    </row>
    <row r="110" spans="1:5" ht="14.4" thickBot="1">
      <c r="A110" s="28" t="s">
        <v>131</v>
      </c>
      <c r="B110" s="29"/>
      <c r="C110" s="30"/>
    </row>
    <row r="111" spans="1:5">
      <c r="A111" s="8" t="s">
        <v>133</v>
      </c>
      <c r="B111" s="31" t="s">
        <v>134</v>
      </c>
      <c r="C111" s="32"/>
      <c r="D111" t="s">
        <v>3</v>
      </c>
    </row>
    <row r="112" spans="1:5" ht="29.4" customHeight="1">
      <c r="A112" s="2" t="s">
        <v>117</v>
      </c>
      <c r="B112" s="26" t="s">
        <v>118</v>
      </c>
      <c r="C112" s="27"/>
      <c r="D112">
        <f>B109-D113</f>
        <v>7</v>
      </c>
    </row>
    <row r="113" spans="1:4" ht="34.950000000000003" customHeight="1">
      <c r="A113" s="2" t="s">
        <v>119</v>
      </c>
      <c r="B113" s="26" t="s">
        <v>120</v>
      </c>
      <c r="C113" s="27"/>
      <c r="D113">
        <f>B31</f>
        <v>0</v>
      </c>
    </row>
    <row r="116" spans="1:4" ht="14.4" thickBot="1"/>
    <row r="117" spans="1:4">
      <c r="A117" s="8" t="s">
        <v>128</v>
      </c>
      <c r="B117" s="9" t="s">
        <v>3</v>
      </c>
      <c r="C117" s="10" t="s">
        <v>129</v>
      </c>
    </row>
    <row r="118" spans="1:4" ht="14.4" thickBot="1">
      <c r="A118" s="17" t="s">
        <v>198</v>
      </c>
      <c r="B118" s="12">
        <f>_xlfn.XLOOKUP(A121,גיליון1!A:A,גיליון1!D:D,"לא מוצא")</f>
        <v>80225.752500000017</v>
      </c>
      <c r="C118" s="13" t="s">
        <v>2</v>
      </c>
    </row>
    <row r="119" spans="1:4" ht="14.4" thickBot="1">
      <c r="A119" s="28" t="s">
        <v>131</v>
      </c>
      <c r="B119" s="29"/>
      <c r="C119" s="30"/>
    </row>
    <row r="120" spans="1:4">
      <c r="A120" s="8" t="s">
        <v>133</v>
      </c>
      <c r="B120" s="31" t="s">
        <v>134</v>
      </c>
      <c r="C120" s="32"/>
    </row>
    <row r="121" spans="1:4" ht="14.4">
      <c r="A121" s="1" t="s">
        <v>121</v>
      </c>
      <c r="B121" s="26" t="s">
        <v>199</v>
      </c>
      <c r="C121" s="27"/>
    </row>
    <row r="122" spans="1:4" ht="14.4">
      <c r="A122" s="2"/>
      <c r="B122" s="26"/>
      <c r="C122" s="27"/>
    </row>
    <row r="123" spans="1:4">
      <c r="A123" t="s">
        <v>200</v>
      </c>
    </row>
    <row r="124" spans="1:4" ht="27.6">
      <c r="A124" t="s">
        <v>26</v>
      </c>
      <c r="B124" s="6" t="s">
        <v>201</v>
      </c>
    </row>
    <row r="125" spans="1:4" ht="27.6">
      <c r="A125" t="s">
        <v>29</v>
      </c>
      <c r="B125" s="6" t="s">
        <v>201</v>
      </c>
    </row>
    <row r="126" spans="1:4" ht="27.6">
      <c r="A126" t="s">
        <v>30</v>
      </c>
      <c r="B126" s="6" t="s">
        <v>202</v>
      </c>
    </row>
    <row r="127" spans="1:4" ht="27.6">
      <c r="A127" t="s">
        <v>32</v>
      </c>
      <c r="B127" s="6" t="s">
        <v>203</v>
      </c>
    </row>
    <row r="128" spans="1:4" ht="27.6">
      <c r="A128" t="s">
        <v>41</v>
      </c>
      <c r="B128" s="6" t="s">
        <v>204</v>
      </c>
    </row>
    <row r="129" spans="1:2" ht="27.6">
      <c r="A129" t="s">
        <v>42</v>
      </c>
      <c r="B129" s="6" t="s">
        <v>204</v>
      </c>
    </row>
    <row r="130" spans="1:2" ht="27.6">
      <c r="A130" t="s">
        <v>43</v>
      </c>
      <c r="B130" s="6" t="s">
        <v>205</v>
      </c>
    </row>
    <row r="131" spans="1:2" ht="27.6">
      <c r="A131" t="s">
        <v>46</v>
      </c>
      <c r="B131" s="6" t="s">
        <v>206</v>
      </c>
    </row>
    <row r="132" spans="1:2" ht="27.6">
      <c r="A132" t="s">
        <v>47</v>
      </c>
      <c r="B132" s="6" t="s">
        <v>206</v>
      </c>
    </row>
    <row r="133" spans="1:2" ht="27.6">
      <c r="A133" t="s">
        <v>49</v>
      </c>
      <c r="B133" s="6" t="s">
        <v>207</v>
      </c>
    </row>
    <row r="134" spans="1:2" ht="27.6">
      <c r="A134" t="s">
        <v>50</v>
      </c>
      <c r="B134" s="6" t="s">
        <v>207</v>
      </c>
    </row>
    <row r="135" spans="1:2" ht="27.6">
      <c r="A135" t="s">
        <v>52</v>
      </c>
      <c r="B135" s="6" t="s">
        <v>207</v>
      </c>
    </row>
    <row r="136" spans="1:2" ht="27.6">
      <c r="A136" t="s">
        <v>178</v>
      </c>
      <c r="B136" s="6" t="s">
        <v>208</v>
      </c>
    </row>
    <row r="137" spans="1:2" ht="27.6">
      <c r="A137" t="s">
        <v>55</v>
      </c>
      <c r="B137" s="6" t="s">
        <v>208</v>
      </c>
    </row>
    <row r="138" spans="1:2" ht="41.4">
      <c r="A138" t="s">
        <v>56</v>
      </c>
      <c r="B138" s="6" t="s">
        <v>209</v>
      </c>
    </row>
    <row r="139" spans="1:2" ht="27.6">
      <c r="A139" t="s">
        <v>62</v>
      </c>
      <c r="B139" s="6" t="s">
        <v>210</v>
      </c>
    </row>
    <row r="140" spans="1:2" ht="27.6">
      <c r="A140" t="s">
        <v>63</v>
      </c>
      <c r="B140" s="6" t="s">
        <v>210</v>
      </c>
    </row>
    <row r="141" spans="1:2" ht="41.4">
      <c r="A141" t="s">
        <v>179</v>
      </c>
      <c r="B141" s="6" t="s">
        <v>211</v>
      </c>
    </row>
    <row r="142" spans="1:2" ht="41.4">
      <c r="A142" t="s">
        <v>180</v>
      </c>
      <c r="B142" s="6" t="s">
        <v>211</v>
      </c>
    </row>
    <row r="143" spans="1:2" ht="27.6">
      <c r="A143" t="s">
        <v>86</v>
      </c>
      <c r="B143" s="6" t="s">
        <v>212</v>
      </c>
    </row>
    <row r="144" spans="1:2" ht="27.6">
      <c r="A144" t="s">
        <v>87</v>
      </c>
      <c r="B144" s="6" t="s">
        <v>212</v>
      </c>
    </row>
  </sheetData>
  <mergeCells count="74">
    <mergeCell ref="B21:C21"/>
    <mergeCell ref="A2:E2"/>
    <mergeCell ref="A9:C9"/>
    <mergeCell ref="B10:C10"/>
    <mergeCell ref="B11:C11"/>
    <mergeCell ref="B12:C12"/>
    <mergeCell ref="B13:C13"/>
    <mergeCell ref="B14:C14"/>
    <mergeCell ref="B15:C15"/>
    <mergeCell ref="A18:C18"/>
    <mergeCell ref="B19:C19"/>
    <mergeCell ref="B20:C20"/>
    <mergeCell ref="A25:C25"/>
    <mergeCell ref="B26:C26"/>
    <mergeCell ref="B27:C27"/>
    <mergeCell ref="B28:C28"/>
    <mergeCell ref="A32:C32"/>
    <mergeCell ref="B33:C33"/>
    <mergeCell ref="B34:C34"/>
    <mergeCell ref="B35:C35"/>
    <mergeCell ref="A39:C39"/>
    <mergeCell ref="B40:C40"/>
    <mergeCell ref="B41:C41"/>
    <mergeCell ref="B57:C57"/>
    <mergeCell ref="B43:C43"/>
    <mergeCell ref="B44:C44"/>
    <mergeCell ref="B45:C45"/>
    <mergeCell ref="B46:C46"/>
    <mergeCell ref="A50:C50"/>
    <mergeCell ref="B51:C51"/>
    <mergeCell ref="B52:C52"/>
    <mergeCell ref="B53:C53"/>
    <mergeCell ref="B54:C54"/>
    <mergeCell ref="B55:C55"/>
    <mergeCell ref="B56:C56"/>
    <mergeCell ref="B42:C42"/>
    <mergeCell ref="B83:C83"/>
    <mergeCell ref="A61:C61"/>
    <mergeCell ref="B62:C62"/>
    <mergeCell ref="B63:C63"/>
    <mergeCell ref="A75:C75"/>
    <mergeCell ref="B76:C76"/>
    <mergeCell ref="B77:C77"/>
    <mergeCell ref="B78:C78"/>
    <mergeCell ref="A82:C82"/>
    <mergeCell ref="B64:C64"/>
    <mergeCell ref="B65:C65"/>
    <mergeCell ref="B66:C66"/>
    <mergeCell ref="B67:C67"/>
    <mergeCell ref="B68:C68"/>
    <mergeCell ref="B69:C69"/>
    <mergeCell ref="B70:C70"/>
    <mergeCell ref="B84:C84"/>
    <mergeCell ref="B85:C85"/>
    <mergeCell ref="A90:C90"/>
    <mergeCell ref="B91:C91"/>
    <mergeCell ref="B92:C92"/>
    <mergeCell ref="B86:C86"/>
    <mergeCell ref="A96:C96"/>
    <mergeCell ref="B97:C97"/>
    <mergeCell ref="B98:C98"/>
    <mergeCell ref="B99:C99"/>
    <mergeCell ref="A103:C103"/>
    <mergeCell ref="B104:C104"/>
    <mergeCell ref="B105:C105"/>
    <mergeCell ref="B106:C106"/>
    <mergeCell ref="A110:C110"/>
    <mergeCell ref="B111:C111"/>
    <mergeCell ref="B122:C122"/>
    <mergeCell ref="B112:C112"/>
    <mergeCell ref="B113:C113"/>
    <mergeCell ref="A119:C119"/>
    <mergeCell ref="B120:C120"/>
    <mergeCell ref="B121:C121"/>
  </mergeCells>
  <phoneticPr fontId="5" type="noConversion"/>
  <conditionalFormatting sqref="A121">
    <cfRule type="expression" dxfId="0" priority="1">
      <formula>$K121="אין"</formula>
    </cfRule>
  </conditionalFormatting>
  <pageMargins left="0.7" right="0.7" top="0.75" bottom="0.75" header="0.3" footer="0.3"/>
  <pageSetup paperSize="9" scale="94"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גיליון1</vt:lpstr>
      <vt:lpstr>גיליון2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Ohad</dc:creator>
  <cp:lastModifiedBy>Ohad</cp:lastModifiedBy>
  <cp:lastPrinted>2026-07-08T18:45:17Z</cp:lastPrinted>
  <dcterms:created xsi:type="dcterms:W3CDTF">2026-05-26T18:31:26Z</dcterms:created>
  <dcterms:modified xsi:type="dcterms:W3CDTF">2026-08-19T07:09:35Z</dcterms:modified>
</cp:coreProperties>
</file>